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omments1.xml" ContentType="application/vnd.openxmlformats-officedocument.spreadsheetml.comments+xml"/>
  <Override PartName="/xl/drawings/drawing2.xml" ContentType="application/vnd.openxmlformats-officedocument.drawing+xml"/>
  <Override PartName="/xl/charts/chart1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aily\MIS\"/>
    </mc:Choice>
  </mc:AlternateContent>
  <xr:revisionPtr revIDLastSave="0" documentId="13_ncr:1_{2E63ED9F-5088-4C93-A5C7-F4AC104A53E6}" xr6:coauthVersionLast="47" xr6:coauthVersionMax="47" xr10:uidLastSave="{00000000-0000-0000-0000-000000000000}"/>
  <bookViews>
    <workbookView xWindow="-120" yWindow="-120" windowWidth="20730" windowHeight="11040" activeTab="2" xr2:uid="{00000000-000D-0000-FFFF-FFFF00000000}"/>
  </bookViews>
  <sheets>
    <sheet name="FM_Dashboard" sheetId="1" r:id="rId1"/>
    <sheet name="Electrical Consmp." sheetId="2" r:id="rId2"/>
    <sheet name="Water Consmp." sheetId="3" r:id="rId3"/>
    <sheet name="REPAIRS" sheetId="4" r:id="rId4"/>
    <sheet name="GENERATOR CONSMP." sheetId="5" r:id="rId5"/>
    <sheet name="WATER TESTS" sheetId="6" r:id="rId6"/>
    <sheet name="AMC-LOG" sheetId="7" r:id="rId7"/>
    <sheet name="check list" sheetId="8" r:id="rId8"/>
    <sheet name="CONFIG" sheetId="9" r:id="rId9"/>
    <sheet name="AUDIT CONTROL" sheetId="10" r:id="rId10"/>
    <sheet name="KPI ENGINE" sheetId="11" r:id="rId11"/>
    <sheet name="DASHBOARD" sheetId="12" r:id="rId12"/>
    <sheet name="MIS_Calc" sheetId="13" r:id="rId13"/>
  </sheets>
  <definedNames>
    <definedName name="_xlnm.Print_Area" localSheetId="0">FM_Dashboard!$A$1:$Y$98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18" i="13" l="1"/>
  <c r="D818" i="13"/>
  <c r="C818" i="13"/>
  <c r="E817" i="13"/>
  <c r="D817" i="13"/>
  <c r="C817" i="13"/>
  <c r="E816" i="13"/>
  <c r="D816" i="13"/>
  <c r="C816" i="13"/>
  <c r="E815" i="13"/>
  <c r="D815" i="13"/>
  <c r="C815" i="13"/>
  <c r="E814" i="13"/>
  <c r="D814" i="13"/>
  <c r="C814" i="13"/>
  <c r="E813" i="13"/>
  <c r="D813" i="13"/>
  <c r="C813" i="13"/>
  <c r="E812" i="13"/>
  <c r="D812" i="13"/>
  <c r="C812" i="13"/>
  <c r="E811" i="13"/>
  <c r="D811" i="13"/>
  <c r="C811" i="13"/>
  <c r="E810" i="13"/>
  <c r="D810" i="13"/>
  <c r="C810" i="13"/>
  <c r="E809" i="13"/>
  <c r="D809" i="13"/>
  <c r="C809" i="13"/>
  <c r="E808" i="13"/>
  <c r="D808" i="13"/>
  <c r="C808" i="13"/>
  <c r="E807" i="13"/>
  <c r="D807" i="13"/>
  <c r="C807" i="13"/>
  <c r="E806" i="13"/>
  <c r="D806" i="13"/>
  <c r="C806" i="13"/>
  <c r="E805" i="13"/>
  <c r="D805" i="13"/>
  <c r="C805" i="13"/>
  <c r="E804" i="13"/>
  <c r="D804" i="13"/>
  <c r="C804" i="13"/>
  <c r="E803" i="13"/>
  <c r="D803" i="13"/>
  <c r="C803" i="13"/>
  <c r="E802" i="13"/>
  <c r="D802" i="13"/>
  <c r="C802" i="13"/>
  <c r="E801" i="13"/>
  <c r="D801" i="13"/>
  <c r="C801" i="13"/>
  <c r="E800" i="13"/>
  <c r="D800" i="13"/>
  <c r="C800" i="13"/>
  <c r="E799" i="13"/>
  <c r="D799" i="13"/>
  <c r="C799" i="13"/>
  <c r="E798" i="13"/>
  <c r="D798" i="13"/>
  <c r="C798" i="13"/>
  <c r="E797" i="13"/>
  <c r="D797" i="13"/>
  <c r="C797" i="13"/>
  <c r="E796" i="13"/>
  <c r="D796" i="13"/>
  <c r="C796" i="13"/>
  <c r="E795" i="13"/>
  <c r="D795" i="13"/>
  <c r="C795" i="13"/>
  <c r="E794" i="13"/>
  <c r="D794" i="13"/>
  <c r="C794" i="13"/>
  <c r="E793" i="13"/>
  <c r="D793" i="13"/>
  <c r="C793" i="13"/>
  <c r="E792" i="13"/>
  <c r="D792" i="13"/>
  <c r="C792" i="13"/>
  <c r="E791" i="13"/>
  <c r="D791" i="13"/>
  <c r="C791" i="13"/>
  <c r="B791" i="13"/>
  <c r="B792" i="13" s="1"/>
  <c r="B793" i="13" s="1"/>
  <c r="B794" i="13" s="1"/>
  <c r="B795" i="13" s="1"/>
  <c r="B796" i="13" s="1"/>
  <c r="B797" i="13" s="1"/>
  <c r="B798" i="13" s="1"/>
  <c r="B799" i="13" s="1"/>
  <c r="B800" i="13" s="1"/>
  <c r="B801" i="13" s="1"/>
  <c r="B802" i="13" s="1"/>
  <c r="B803" i="13" s="1"/>
  <c r="B804" i="13" s="1"/>
  <c r="B805" i="13" s="1"/>
  <c r="B806" i="13" s="1"/>
  <c r="B807" i="13" s="1"/>
  <c r="B808" i="13" s="1"/>
  <c r="B809" i="13" s="1"/>
  <c r="B810" i="13" s="1"/>
  <c r="B811" i="13" s="1"/>
  <c r="B812" i="13" s="1"/>
  <c r="B813" i="13" s="1"/>
  <c r="B814" i="13" s="1"/>
  <c r="B815" i="13" s="1"/>
  <c r="B816" i="13" s="1"/>
  <c r="B817" i="13" s="1"/>
  <c r="B818" i="13" s="1"/>
  <c r="E790" i="13"/>
  <c r="D790" i="13"/>
  <c r="C790" i="13"/>
  <c r="E789" i="13"/>
  <c r="D789" i="13"/>
  <c r="C789" i="13"/>
  <c r="E788" i="13"/>
  <c r="D788" i="13"/>
  <c r="C788" i="13"/>
  <c r="E787" i="13"/>
  <c r="D787" i="13"/>
  <c r="C787" i="13"/>
  <c r="E786" i="13"/>
  <c r="D786" i="13"/>
  <c r="C786" i="13"/>
  <c r="E785" i="13"/>
  <c r="D785" i="13"/>
  <c r="C785" i="13"/>
  <c r="E784" i="13"/>
  <c r="D784" i="13"/>
  <c r="C784" i="13"/>
  <c r="E783" i="13"/>
  <c r="D783" i="13"/>
  <c r="C783" i="13"/>
  <c r="E782" i="13"/>
  <c r="D782" i="13"/>
  <c r="C782" i="13"/>
  <c r="B782" i="13"/>
  <c r="B783" i="13" s="1"/>
  <c r="B784" i="13" s="1"/>
  <c r="B785" i="13" s="1"/>
  <c r="B786" i="13" s="1"/>
  <c r="B787" i="13" s="1"/>
  <c r="B788" i="13" s="1"/>
  <c r="B789" i="13" s="1"/>
  <c r="B790" i="13" s="1"/>
  <c r="E781" i="13"/>
  <c r="D781" i="13"/>
  <c r="C781" i="13"/>
  <c r="E780" i="13"/>
  <c r="D780" i="13"/>
  <c r="C780" i="13"/>
  <c r="E779" i="13"/>
  <c r="D779" i="13"/>
  <c r="C779" i="13"/>
  <c r="E778" i="13"/>
  <c r="D778" i="13"/>
  <c r="C778" i="13"/>
  <c r="E777" i="13"/>
  <c r="D777" i="13"/>
  <c r="C777" i="13"/>
  <c r="E776" i="13"/>
  <c r="D776" i="13"/>
  <c r="C776" i="13"/>
  <c r="E775" i="13"/>
  <c r="D775" i="13"/>
  <c r="C775" i="13"/>
  <c r="E774" i="13"/>
  <c r="D774" i="13"/>
  <c r="C774" i="13"/>
  <c r="E773" i="13"/>
  <c r="D773" i="13"/>
  <c r="C773" i="13"/>
  <c r="E772" i="13"/>
  <c r="D772" i="13"/>
  <c r="C772" i="13"/>
  <c r="E771" i="13"/>
  <c r="D771" i="13"/>
  <c r="C771" i="13"/>
  <c r="E770" i="13"/>
  <c r="D770" i="13"/>
  <c r="C770" i="13"/>
  <c r="B770" i="13"/>
  <c r="B771" i="13" s="1"/>
  <c r="B772" i="13" s="1"/>
  <c r="B773" i="13" s="1"/>
  <c r="B774" i="13" s="1"/>
  <c r="B775" i="13" s="1"/>
  <c r="B776" i="13" s="1"/>
  <c r="B777" i="13" s="1"/>
  <c r="B778" i="13" s="1"/>
  <c r="B779" i="13" s="1"/>
  <c r="B780" i="13" s="1"/>
  <c r="B781" i="13" s="1"/>
  <c r="E769" i="13"/>
  <c r="D769" i="13"/>
  <c r="C769" i="13"/>
  <c r="E768" i="13"/>
  <c r="D768" i="13"/>
  <c r="C768" i="13"/>
  <c r="E767" i="13"/>
  <c r="D767" i="13"/>
  <c r="C767" i="13"/>
  <c r="E766" i="13"/>
  <c r="D766" i="13"/>
  <c r="C766" i="13"/>
  <c r="E765" i="13"/>
  <c r="D765" i="13"/>
  <c r="C765" i="13"/>
  <c r="E764" i="13"/>
  <c r="D764" i="13"/>
  <c r="C764" i="13"/>
  <c r="E763" i="13"/>
  <c r="D763" i="13"/>
  <c r="C763" i="13"/>
  <c r="E762" i="13"/>
  <c r="D762" i="13"/>
  <c r="C762" i="13"/>
  <c r="B762" i="13"/>
  <c r="B763" i="13" s="1"/>
  <c r="B764" i="13" s="1"/>
  <c r="B765" i="13" s="1"/>
  <c r="B766" i="13" s="1"/>
  <c r="B767" i="13" s="1"/>
  <c r="B768" i="13" s="1"/>
  <c r="B769" i="13" s="1"/>
  <c r="E761" i="13"/>
  <c r="D761" i="13"/>
  <c r="C761" i="13"/>
  <c r="E760" i="13"/>
  <c r="D760" i="13"/>
  <c r="C760" i="13"/>
  <c r="E759" i="13"/>
  <c r="D759" i="13"/>
  <c r="C759" i="13"/>
  <c r="E758" i="13"/>
  <c r="D758" i="13"/>
  <c r="C758" i="13"/>
  <c r="E757" i="13"/>
  <c r="D757" i="13"/>
  <c r="C757" i="13"/>
  <c r="E756" i="13"/>
  <c r="D756" i="13"/>
  <c r="C756" i="13"/>
  <c r="E755" i="13"/>
  <c r="D755" i="13"/>
  <c r="C755" i="13"/>
  <c r="E754" i="13"/>
  <c r="D754" i="13"/>
  <c r="C754" i="13"/>
  <c r="E753" i="13"/>
  <c r="D753" i="13"/>
  <c r="C753" i="13"/>
  <c r="E752" i="13"/>
  <c r="D752" i="13"/>
  <c r="C752" i="13"/>
  <c r="E751" i="13"/>
  <c r="D751" i="13"/>
  <c r="C751" i="13"/>
  <c r="E750" i="13"/>
  <c r="D750" i="13"/>
  <c r="C750" i="13"/>
  <c r="B750" i="13"/>
  <c r="B751" i="13" s="1"/>
  <c r="B752" i="13" s="1"/>
  <c r="B753" i="13" s="1"/>
  <c r="B754" i="13" s="1"/>
  <c r="B755" i="13" s="1"/>
  <c r="B756" i="13" s="1"/>
  <c r="B757" i="13" s="1"/>
  <c r="B758" i="13" s="1"/>
  <c r="B759" i="13" s="1"/>
  <c r="B760" i="13" s="1"/>
  <c r="B761" i="13" s="1"/>
  <c r="E749" i="13"/>
  <c r="D749" i="13"/>
  <c r="C749" i="13"/>
  <c r="E748" i="13"/>
  <c r="D748" i="13"/>
  <c r="C748" i="13"/>
  <c r="E747" i="13"/>
  <c r="D747" i="13"/>
  <c r="C747" i="13"/>
  <c r="B747" i="13"/>
  <c r="B748" i="13" s="1"/>
  <c r="B749" i="13" s="1"/>
  <c r="E746" i="13"/>
  <c r="D746" i="13"/>
  <c r="C746" i="13"/>
  <c r="B746" i="13"/>
  <c r="E745" i="13"/>
  <c r="D745" i="13"/>
  <c r="C745" i="13"/>
  <c r="E744" i="13"/>
  <c r="D744" i="13"/>
  <c r="C744" i="13"/>
  <c r="E743" i="13"/>
  <c r="D743" i="13"/>
  <c r="C743" i="13"/>
  <c r="E742" i="13"/>
  <c r="D742" i="13"/>
  <c r="C742" i="13"/>
  <c r="E741" i="13"/>
  <c r="D741" i="13"/>
  <c r="C741" i="13"/>
  <c r="E740" i="13"/>
  <c r="D740" i="13"/>
  <c r="C740" i="13"/>
  <c r="E739" i="13"/>
  <c r="D739" i="13"/>
  <c r="C739" i="13"/>
  <c r="E738" i="13"/>
  <c r="D738" i="13"/>
  <c r="C738" i="13"/>
  <c r="B738" i="13"/>
  <c r="B739" i="13" s="1"/>
  <c r="B740" i="13" s="1"/>
  <c r="B741" i="13" s="1"/>
  <c r="B742" i="13" s="1"/>
  <c r="B743" i="13" s="1"/>
  <c r="B744" i="13" s="1"/>
  <c r="B745" i="13" s="1"/>
  <c r="E737" i="13"/>
  <c r="D737" i="13"/>
  <c r="C737" i="13"/>
  <c r="E736" i="13"/>
  <c r="D736" i="13"/>
  <c r="C736" i="13"/>
  <c r="E735" i="13"/>
  <c r="D735" i="13"/>
  <c r="C735" i="13"/>
  <c r="B735" i="13"/>
  <c r="B736" i="13" s="1"/>
  <c r="B737" i="13" s="1"/>
  <c r="E734" i="13"/>
  <c r="D734" i="13"/>
  <c r="C734" i="13"/>
  <c r="B734" i="13"/>
  <c r="E733" i="13"/>
  <c r="D733" i="13"/>
  <c r="C733" i="13"/>
  <c r="E732" i="13"/>
  <c r="D732" i="13"/>
  <c r="C732" i="13"/>
  <c r="E731" i="13"/>
  <c r="D731" i="13"/>
  <c r="C731" i="13"/>
  <c r="E730" i="13"/>
  <c r="D730" i="13"/>
  <c r="C730" i="13"/>
  <c r="E729" i="13"/>
  <c r="D729" i="13"/>
  <c r="C729" i="13"/>
  <c r="B729" i="13"/>
  <c r="B730" i="13" s="1"/>
  <c r="B731" i="13" s="1"/>
  <c r="B732" i="13" s="1"/>
  <c r="B733" i="13" s="1"/>
  <c r="E728" i="13"/>
  <c r="D728" i="13"/>
  <c r="C728" i="13"/>
  <c r="E727" i="13"/>
  <c r="D727" i="13"/>
  <c r="C727" i="13"/>
  <c r="E726" i="13"/>
  <c r="D726" i="13"/>
  <c r="C726" i="13"/>
  <c r="B726" i="13"/>
  <c r="B727" i="13" s="1"/>
  <c r="B728" i="13" s="1"/>
  <c r="E725" i="13"/>
  <c r="D725" i="13"/>
  <c r="C725" i="13"/>
  <c r="E724" i="13"/>
  <c r="D724" i="13"/>
  <c r="C724" i="13"/>
  <c r="E723" i="13"/>
  <c r="D723" i="13"/>
  <c r="C723" i="13"/>
  <c r="E722" i="13"/>
  <c r="D722" i="13"/>
  <c r="C722" i="13"/>
  <c r="E721" i="13"/>
  <c r="D721" i="13"/>
  <c r="C721" i="13"/>
  <c r="E720" i="13"/>
  <c r="D720" i="13"/>
  <c r="C720" i="13"/>
  <c r="E719" i="13"/>
  <c r="D719" i="13"/>
  <c r="C719" i="13"/>
  <c r="E718" i="13"/>
  <c r="D718" i="13"/>
  <c r="C718" i="13"/>
  <c r="B718" i="13"/>
  <c r="B719" i="13" s="1"/>
  <c r="B720" i="13" s="1"/>
  <c r="B721" i="13" s="1"/>
  <c r="B722" i="13" s="1"/>
  <c r="B723" i="13" s="1"/>
  <c r="B724" i="13" s="1"/>
  <c r="B725" i="13" s="1"/>
  <c r="E717" i="13"/>
  <c r="D717" i="13"/>
  <c r="C717" i="13"/>
  <c r="E716" i="13"/>
  <c r="D716" i="13"/>
  <c r="C716" i="13"/>
  <c r="E715" i="13"/>
  <c r="D715" i="13"/>
  <c r="C715" i="13"/>
  <c r="E714" i="13"/>
  <c r="D714" i="13"/>
  <c r="C714" i="13"/>
  <c r="E713" i="13"/>
  <c r="D713" i="13"/>
  <c r="C713" i="13"/>
  <c r="E712" i="13"/>
  <c r="D712" i="13"/>
  <c r="C712" i="13"/>
  <c r="B712" i="13"/>
  <c r="B713" i="13" s="1"/>
  <c r="B714" i="13" s="1"/>
  <c r="B715" i="13" s="1"/>
  <c r="B716" i="13" s="1"/>
  <c r="B717" i="13" s="1"/>
  <c r="E711" i="13"/>
  <c r="D711" i="13"/>
  <c r="C711" i="13"/>
  <c r="B711" i="13"/>
  <c r="E710" i="13"/>
  <c r="D710" i="13"/>
  <c r="C710" i="13"/>
  <c r="B710" i="13"/>
  <c r="E709" i="13"/>
  <c r="D709" i="13"/>
  <c r="C709" i="13"/>
  <c r="E708" i="13"/>
  <c r="D708" i="13"/>
  <c r="C708" i="13"/>
  <c r="E707" i="13"/>
  <c r="D707" i="13"/>
  <c r="C707" i="13"/>
  <c r="E706" i="13"/>
  <c r="D706" i="13"/>
  <c r="C706" i="13"/>
  <c r="E705" i="13"/>
  <c r="D705" i="13"/>
  <c r="C705" i="13"/>
  <c r="E704" i="13"/>
  <c r="D704" i="13"/>
  <c r="C704" i="13"/>
  <c r="E703" i="13"/>
  <c r="D703" i="13"/>
  <c r="C703" i="13"/>
  <c r="E702" i="13"/>
  <c r="D702" i="13"/>
  <c r="C702" i="13"/>
  <c r="B702" i="13"/>
  <c r="C689" i="13"/>
  <c r="B689" i="13"/>
  <c r="C688" i="13"/>
  <c r="B688" i="13"/>
  <c r="C687" i="13"/>
  <c r="B687" i="13"/>
  <c r="C686" i="13"/>
  <c r="B686" i="13"/>
  <c r="C685" i="13"/>
  <c r="B685" i="13"/>
  <c r="C684" i="13"/>
  <c r="B684" i="13"/>
  <c r="C683" i="13"/>
  <c r="B683" i="13"/>
  <c r="C682" i="13"/>
  <c r="B682" i="13"/>
  <c r="C681" i="13"/>
  <c r="B681" i="13"/>
  <c r="C680" i="13"/>
  <c r="B680" i="13"/>
  <c r="C679" i="13"/>
  <c r="B679" i="13"/>
  <c r="C678" i="13"/>
  <c r="B678" i="13"/>
  <c r="C677" i="13"/>
  <c r="B677" i="13"/>
  <c r="C676" i="13"/>
  <c r="B676" i="13"/>
  <c r="C675" i="13"/>
  <c r="B675" i="13"/>
  <c r="C674" i="13"/>
  <c r="B674" i="13"/>
  <c r="C673" i="13"/>
  <c r="B673" i="13"/>
  <c r="C672" i="13"/>
  <c r="B672" i="13"/>
  <c r="C671" i="13"/>
  <c r="B671" i="13"/>
  <c r="C670" i="13"/>
  <c r="B670" i="13"/>
  <c r="C669" i="13"/>
  <c r="B669" i="13"/>
  <c r="C668" i="13"/>
  <c r="B668" i="13"/>
  <c r="C667" i="13"/>
  <c r="B667" i="13"/>
  <c r="C666" i="13"/>
  <c r="B666" i="13"/>
  <c r="C665" i="13"/>
  <c r="B665" i="13"/>
  <c r="C664" i="13"/>
  <c r="B664" i="13"/>
  <c r="C663" i="13"/>
  <c r="B663" i="13"/>
  <c r="C662" i="13"/>
  <c r="B662" i="13"/>
  <c r="C661" i="13"/>
  <c r="B661" i="13"/>
  <c r="C660" i="13"/>
  <c r="B660" i="13"/>
  <c r="C659" i="13"/>
  <c r="B659" i="13"/>
  <c r="C658" i="13"/>
  <c r="B658" i="13"/>
  <c r="C657" i="13"/>
  <c r="B657" i="13"/>
  <c r="C656" i="13"/>
  <c r="B656" i="13"/>
  <c r="C655" i="13"/>
  <c r="B655" i="13"/>
  <c r="C654" i="13"/>
  <c r="B654" i="13"/>
  <c r="C653" i="13"/>
  <c r="B653" i="13"/>
  <c r="C652" i="13"/>
  <c r="B652" i="13"/>
  <c r="C651" i="13"/>
  <c r="B651" i="13"/>
  <c r="C650" i="13"/>
  <c r="B650" i="13"/>
  <c r="C649" i="13"/>
  <c r="B649" i="13"/>
  <c r="C648" i="13"/>
  <c r="B648" i="13"/>
  <c r="C647" i="13"/>
  <c r="B647" i="13"/>
  <c r="C646" i="13"/>
  <c r="B646" i="13"/>
  <c r="C645" i="13"/>
  <c r="B645" i="13"/>
  <c r="C644" i="13"/>
  <c r="B644" i="13"/>
  <c r="C643" i="13"/>
  <c r="B643" i="13"/>
  <c r="B637" i="13"/>
  <c r="B638" i="13" s="1"/>
  <c r="B639" i="13" s="1"/>
  <c r="B640" i="13" s="1"/>
  <c r="B641" i="13" s="1"/>
  <c r="B642" i="13" s="1"/>
  <c r="B636" i="13"/>
  <c r="B631" i="13"/>
  <c r="B632" i="13" s="1"/>
  <c r="B633" i="13" s="1"/>
  <c r="B634" i="13" s="1"/>
  <c r="B635" i="13" s="1"/>
  <c r="B625" i="13"/>
  <c r="B626" i="13" s="1"/>
  <c r="B627" i="13" s="1"/>
  <c r="B628" i="13" s="1"/>
  <c r="B629" i="13" s="1"/>
  <c r="B630" i="13" s="1"/>
  <c r="B619" i="13"/>
  <c r="B620" i="13" s="1"/>
  <c r="B621" i="13" s="1"/>
  <c r="B622" i="13" s="1"/>
  <c r="B623" i="13" s="1"/>
  <c r="B624" i="13" s="1"/>
  <c r="B613" i="13"/>
  <c r="B614" i="13" s="1"/>
  <c r="B615" i="13" s="1"/>
  <c r="B616" i="13" s="1"/>
  <c r="B617" i="13" s="1"/>
  <c r="B618" i="13" s="1"/>
  <c r="B606" i="13"/>
  <c r="B607" i="13" s="1"/>
  <c r="B608" i="13" s="1"/>
  <c r="B609" i="13" s="1"/>
  <c r="B610" i="13" s="1"/>
  <c r="B611" i="13" s="1"/>
  <c r="B612" i="13" s="1"/>
  <c r="B605" i="13"/>
  <c r="B604" i="13"/>
  <c r="B597" i="13"/>
  <c r="B598" i="13" s="1"/>
  <c r="B599" i="13" s="1"/>
  <c r="B600" i="13" s="1"/>
  <c r="B601" i="13" s="1"/>
  <c r="B602" i="13" s="1"/>
  <c r="B603" i="13" s="1"/>
  <c r="B596" i="13"/>
  <c r="B589" i="13"/>
  <c r="B590" i="13" s="1"/>
  <c r="B591" i="13" s="1"/>
  <c r="B592" i="13" s="1"/>
  <c r="B593" i="13" s="1"/>
  <c r="B594" i="13" s="1"/>
  <c r="B595" i="13" s="1"/>
  <c r="B585" i="13"/>
  <c r="B586" i="13" s="1"/>
  <c r="B587" i="13" s="1"/>
  <c r="B588" i="13" s="1"/>
  <c r="B584" i="13"/>
  <c r="B579" i="13"/>
  <c r="B580" i="13" s="1"/>
  <c r="B581" i="13" s="1"/>
  <c r="B582" i="13" s="1"/>
  <c r="B583" i="13" s="1"/>
  <c r="B572" i="13"/>
  <c r="E558" i="13"/>
  <c r="D558" i="13"/>
  <c r="C558" i="13"/>
  <c r="E557" i="13"/>
  <c r="D557" i="13"/>
  <c r="C557" i="13"/>
  <c r="E556" i="13"/>
  <c r="D556" i="13"/>
  <c r="C556" i="13"/>
  <c r="E555" i="13"/>
  <c r="D555" i="13"/>
  <c r="C555" i="13"/>
  <c r="E554" i="13"/>
  <c r="D554" i="13"/>
  <c r="C554" i="13"/>
  <c r="B554" i="13"/>
  <c r="B555" i="13" s="1"/>
  <c r="B556" i="13" s="1"/>
  <c r="B557" i="13" s="1"/>
  <c r="B558" i="13" s="1"/>
  <c r="E553" i="13"/>
  <c r="D553" i="13"/>
  <c r="C553" i="13"/>
  <c r="E552" i="13"/>
  <c r="D552" i="13"/>
  <c r="C552" i="13"/>
  <c r="E551" i="13"/>
  <c r="D551" i="13"/>
  <c r="C551" i="13"/>
  <c r="E550" i="13"/>
  <c r="D550" i="13"/>
  <c r="C550" i="13"/>
  <c r="E549" i="13"/>
  <c r="D549" i="13"/>
  <c r="C549" i="13"/>
  <c r="E548" i="13"/>
  <c r="D548" i="13"/>
  <c r="C548" i="13"/>
  <c r="E547" i="13"/>
  <c r="D547" i="13"/>
  <c r="C547" i="13"/>
  <c r="E546" i="13"/>
  <c r="D546" i="13"/>
  <c r="C546" i="13"/>
  <c r="E545" i="13"/>
  <c r="D545" i="13"/>
  <c r="C545" i="13"/>
  <c r="E544" i="13"/>
  <c r="D544" i="13"/>
  <c r="C544" i="13"/>
  <c r="E543" i="13"/>
  <c r="D543" i="13"/>
  <c r="C543" i="13"/>
  <c r="E542" i="13"/>
  <c r="D542" i="13"/>
  <c r="C542" i="13"/>
  <c r="E541" i="13"/>
  <c r="D541" i="13"/>
  <c r="C541" i="13"/>
  <c r="E540" i="13"/>
  <c r="D540" i="13"/>
  <c r="C540" i="13"/>
  <c r="E539" i="13"/>
  <c r="D539" i="13"/>
  <c r="C539" i="13"/>
  <c r="E538" i="13"/>
  <c r="D538" i="13"/>
  <c r="C538" i="13"/>
  <c r="E537" i="13"/>
  <c r="D537" i="13"/>
  <c r="C537" i="13"/>
  <c r="E536" i="13"/>
  <c r="D536" i="13"/>
  <c r="C536" i="13"/>
  <c r="E535" i="13"/>
  <c r="D535" i="13"/>
  <c r="C535" i="13"/>
  <c r="E534" i="13"/>
  <c r="D534" i="13"/>
  <c r="C534" i="13"/>
  <c r="E533" i="13"/>
  <c r="D533" i="13"/>
  <c r="C533" i="13"/>
  <c r="E532" i="13"/>
  <c r="D532" i="13"/>
  <c r="C532" i="13"/>
  <c r="E531" i="13"/>
  <c r="D531" i="13"/>
  <c r="C531" i="13"/>
  <c r="E530" i="13"/>
  <c r="D530" i="13"/>
  <c r="C530" i="13"/>
  <c r="B530" i="13"/>
  <c r="B531" i="13" s="1"/>
  <c r="B532" i="13" s="1"/>
  <c r="B533" i="13" s="1"/>
  <c r="B534" i="13" s="1"/>
  <c r="B535" i="13" s="1"/>
  <c r="B536" i="13" s="1"/>
  <c r="B537" i="13" s="1"/>
  <c r="B538" i="13" s="1"/>
  <c r="B539" i="13" s="1"/>
  <c r="B540" i="13" s="1"/>
  <c r="B541" i="13" s="1"/>
  <c r="B542" i="13" s="1"/>
  <c r="B543" i="13" s="1"/>
  <c r="B544" i="13" s="1"/>
  <c r="B545" i="13" s="1"/>
  <c r="B546" i="13" s="1"/>
  <c r="B547" i="13" s="1"/>
  <c r="B548" i="13" s="1"/>
  <c r="B549" i="13" s="1"/>
  <c r="B550" i="13" s="1"/>
  <c r="B551" i="13" s="1"/>
  <c r="B552" i="13" s="1"/>
  <c r="B553" i="13" s="1"/>
  <c r="E529" i="13"/>
  <c r="D529" i="13"/>
  <c r="C529" i="13"/>
  <c r="E528" i="13"/>
  <c r="D528" i="13"/>
  <c r="C528" i="13"/>
  <c r="E527" i="13"/>
  <c r="D527" i="13"/>
  <c r="C527" i="13"/>
  <c r="E526" i="13"/>
  <c r="D526" i="13"/>
  <c r="C526" i="13"/>
  <c r="E525" i="13"/>
  <c r="D525" i="13"/>
  <c r="C525" i="13"/>
  <c r="E524" i="13"/>
  <c r="D524" i="13"/>
  <c r="C524" i="13"/>
  <c r="E523" i="13"/>
  <c r="D523" i="13"/>
  <c r="C523" i="13"/>
  <c r="E522" i="13"/>
  <c r="D522" i="13"/>
  <c r="C522" i="13"/>
  <c r="E521" i="13"/>
  <c r="D521" i="13"/>
  <c r="C521" i="13"/>
  <c r="E520" i="13"/>
  <c r="D520" i="13"/>
  <c r="C520" i="13"/>
  <c r="E519" i="13"/>
  <c r="D519" i="13"/>
  <c r="C519" i="13"/>
  <c r="E518" i="13"/>
  <c r="D518" i="13"/>
  <c r="C518" i="13"/>
  <c r="B518" i="13"/>
  <c r="B519" i="13" s="1"/>
  <c r="B520" i="13" s="1"/>
  <c r="B521" i="13" s="1"/>
  <c r="B522" i="13" s="1"/>
  <c r="B523" i="13" s="1"/>
  <c r="B524" i="13" s="1"/>
  <c r="B525" i="13" s="1"/>
  <c r="B526" i="13" s="1"/>
  <c r="B527" i="13" s="1"/>
  <c r="B528" i="13" s="1"/>
  <c r="B529" i="13" s="1"/>
  <c r="E517" i="13"/>
  <c r="D517" i="13"/>
  <c r="C517" i="13"/>
  <c r="B517" i="13"/>
  <c r="E516" i="13"/>
  <c r="D516" i="13"/>
  <c r="C516" i="13"/>
  <c r="E515" i="13"/>
  <c r="D515" i="13"/>
  <c r="C515" i="13"/>
  <c r="E514" i="13"/>
  <c r="D514" i="13"/>
  <c r="C514" i="13"/>
  <c r="E513" i="13"/>
  <c r="D513" i="13"/>
  <c r="C513" i="13"/>
  <c r="B513" i="13"/>
  <c r="B514" i="13" s="1"/>
  <c r="B515" i="13" s="1"/>
  <c r="B516" i="13" s="1"/>
  <c r="E512" i="13"/>
  <c r="D512" i="13"/>
  <c r="C512" i="13"/>
  <c r="E511" i="13"/>
  <c r="D511" i="13"/>
  <c r="C511" i="13"/>
  <c r="B511" i="13"/>
  <c r="B512" i="13" s="1"/>
  <c r="E510" i="13"/>
  <c r="D510" i="13"/>
  <c r="C510" i="13"/>
  <c r="E509" i="13"/>
  <c r="D509" i="13"/>
  <c r="C509" i="13"/>
  <c r="E508" i="13"/>
  <c r="D508" i="13"/>
  <c r="C508" i="13"/>
  <c r="E507" i="13"/>
  <c r="D507" i="13"/>
  <c r="C507" i="13"/>
  <c r="E506" i="13"/>
  <c r="D506" i="13"/>
  <c r="C506" i="13"/>
  <c r="B506" i="13"/>
  <c r="B507" i="13" s="1"/>
  <c r="B508" i="13" s="1"/>
  <c r="B509" i="13" s="1"/>
  <c r="B510" i="13" s="1"/>
  <c r="E505" i="13"/>
  <c r="D505" i="13"/>
  <c r="C505" i="13"/>
  <c r="B505" i="13"/>
  <c r="D504" i="13"/>
  <c r="C504" i="13"/>
  <c r="E503" i="13"/>
  <c r="D503" i="13"/>
  <c r="C503" i="13"/>
  <c r="E502" i="13"/>
  <c r="D502" i="13"/>
  <c r="C502" i="13"/>
  <c r="E501" i="13"/>
  <c r="D501" i="13"/>
  <c r="C501" i="13"/>
  <c r="E500" i="13"/>
  <c r="D500" i="13"/>
  <c r="C500" i="13"/>
  <c r="E499" i="13"/>
  <c r="D499" i="13"/>
  <c r="C499" i="13"/>
  <c r="B499" i="13"/>
  <c r="B500" i="13" s="1"/>
  <c r="B501" i="13" s="1"/>
  <c r="B502" i="13" s="1"/>
  <c r="B503" i="13" s="1"/>
  <c r="B504" i="13" s="1"/>
  <c r="D498" i="13"/>
  <c r="C498" i="13"/>
  <c r="B498" i="13"/>
  <c r="D497" i="13"/>
  <c r="C497" i="13"/>
  <c r="D496" i="13"/>
  <c r="C496" i="13"/>
  <c r="D495" i="13"/>
  <c r="C495" i="13"/>
  <c r="D494" i="13"/>
  <c r="C494" i="13"/>
  <c r="D493" i="13"/>
  <c r="C493" i="13"/>
  <c r="D492" i="13"/>
  <c r="C492" i="13"/>
  <c r="E491" i="13"/>
  <c r="D491" i="13"/>
  <c r="C491" i="13"/>
  <c r="B491" i="13"/>
  <c r="B492" i="13" s="1"/>
  <c r="B493" i="13" s="1"/>
  <c r="B494" i="13" s="1"/>
  <c r="B495" i="13" s="1"/>
  <c r="B496" i="13" s="1"/>
  <c r="B497" i="13" s="1"/>
  <c r="C490" i="13"/>
  <c r="E489" i="13"/>
  <c r="D489" i="13"/>
  <c r="C489" i="13"/>
  <c r="D488" i="13"/>
  <c r="C488" i="13"/>
  <c r="D487" i="13"/>
  <c r="C487" i="13"/>
  <c r="D486" i="13"/>
  <c r="C486" i="13"/>
  <c r="B486" i="13"/>
  <c r="B487" i="13" s="1"/>
  <c r="B488" i="13" s="1"/>
  <c r="B489" i="13" s="1"/>
  <c r="B490" i="13" s="1"/>
  <c r="E485" i="13"/>
  <c r="D485" i="13"/>
  <c r="C485" i="13"/>
  <c r="E484" i="13"/>
  <c r="D484" i="13"/>
  <c r="C484" i="13"/>
  <c r="B484" i="13"/>
  <c r="B485" i="13" s="1"/>
  <c r="C483" i="13"/>
  <c r="D482" i="13"/>
  <c r="C482" i="13"/>
  <c r="C481" i="13"/>
  <c r="B481" i="13"/>
  <c r="B482" i="13" s="1"/>
  <c r="B483" i="13" s="1"/>
  <c r="C480" i="13"/>
  <c r="C479" i="13"/>
  <c r="E478" i="13"/>
  <c r="D478" i="13"/>
  <c r="C478" i="13"/>
  <c r="B478" i="13"/>
  <c r="B479" i="13" s="1"/>
  <c r="B480" i="13" s="1"/>
  <c r="C477" i="13"/>
  <c r="B477" i="13"/>
  <c r="D476" i="13"/>
  <c r="C476" i="13"/>
  <c r="E475" i="13"/>
  <c r="D475" i="13"/>
  <c r="C475" i="13"/>
  <c r="C474" i="13"/>
  <c r="D473" i="13"/>
  <c r="C473" i="13"/>
  <c r="D472" i="13"/>
  <c r="C472" i="13"/>
  <c r="E471" i="13"/>
  <c r="D471" i="13"/>
  <c r="C471" i="13"/>
  <c r="B471" i="13"/>
  <c r="B472" i="13" s="1"/>
  <c r="B473" i="13" s="1"/>
  <c r="B474" i="13" s="1"/>
  <c r="B475" i="13" s="1"/>
  <c r="B476" i="13" s="1"/>
  <c r="E470" i="13"/>
  <c r="D470" i="13"/>
  <c r="C470" i="13"/>
  <c r="B470" i="13"/>
  <c r="C469" i="13"/>
  <c r="B469" i="13"/>
  <c r="E468" i="13"/>
  <c r="D468" i="13"/>
  <c r="C468" i="13"/>
  <c r="E467" i="13"/>
  <c r="D467" i="13"/>
  <c r="C467" i="13"/>
  <c r="D466" i="13"/>
  <c r="C466" i="13"/>
  <c r="D465" i="13"/>
  <c r="C465" i="13"/>
  <c r="E464" i="13"/>
  <c r="D464" i="13"/>
  <c r="C464" i="13"/>
  <c r="B464" i="13"/>
  <c r="B465" i="13" s="1"/>
  <c r="B466" i="13" s="1"/>
  <c r="B467" i="13" s="1"/>
  <c r="B468" i="13" s="1"/>
  <c r="E463" i="13"/>
  <c r="D463" i="13"/>
  <c r="C463" i="13"/>
  <c r="B463" i="13"/>
  <c r="D462" i="13"/>
  <c r="C462" i="13"/>
  <c r="E461" i="13"/>
  <c r="D461" i="13"/>
  <c r="C461" i="13"/>
  <c r="D460" i="13"/>
  <c r="C460" i="13"/>
  <c r="B460" i="13"/>
  <c r="B461" i="13" s="1"/>
  <c r="B462" i="13" s="1"/>
  <c r="E459" i="13"/>
  <c r="D459" i="13"/>
  <c r="C459" i="13"/>
  <c r="B459" i="13"/>
  <c r="D458" i="13"/>
  <c r="C458" i="13"/>
  <c r="B458" i="13"/>
  <c r="E457" i="13"/>
  <c r="D457" i="13"/>
  <c r="C457" i="13"/>
  <c r="B457" i="13"/>
  <c r="E456" i="13"/>
  <c r="D456" i="13"/>
  <c r="C456" i="13"/>
  <c r="B456" i="13"/>
  <c r="C455" i="13"/>
  <c r="E454" i="13"/>
  <c r="D454" i="13"/>
  <c r="C454" i="13"/>
  <c r="D453" i="13"/>
  <c r="C453" i="13"/>
  <c r="B453" i="13"/>
  <c r="B454" i="13" s="1"/>
  <c r="B455" i="13" s="1"/>
  <c r="D452" i="13"/>
  <c r="C452" i="13"/>
  <c r="B452" i="13"/>
  <c r="D451" i="13"/>
  <c r="C451" i="13"/>
  <c r="B451" i="13"/>
  <c r="E450" i="13"/>
  <c r="D450" i="13"/>
  <c r="C450" i="13"/>
  <c r="B450" i="13"/>
  <c r="E449" i="13"/>
  <c r="D449" i="13"/>
  <c r="C449" i="13"/>
  <c r="B449" i="13"/>
  <c r="D448" i="13"/>
  <c r="C448" i="13"/>
  <c r="E447" i="13"/>
  <c r="D447" i="13"/>
  <c r="C447" i="13"/>
  <c r="D446" i="13"/>
  <c r="C446" i="13"/>
  <c r="B446" i="13"/>
  <c r="D445" i="13"/>
  <c r="C445" i="13"/>
  <c r="D444" i="13"/>
  <c r="C444" i="13"/>
  <c r="B444" i="13"/>
  <c r="B445" i="13" s="1"/>
  <c r="D443" i="13"/>
  <c r="C443" i="13"/>
  <c r="B443" i="13"/>
  <c r="E442" i="13"/>
  <c r="D442" i="13"/>
  <c r="C442" i="13"/>
  <c r="B442" i="13"/>
  <c r="M330" i="13"/>
  <c r="L330" i="13"/>
  <c r="F330" i="13"/>
  <c r="C330" i="13"/>
  <c r="M329" i="13"/>
  <c r="I329" i="13"/>
  <c r="G329" i="13"/>
  <c r="F329" i="13"/>
  <c r="C329" i="13"/>
  <c r="J328" i="13"/>
  <c r="K326" i="13"/>
  <c r="C325" i="13"/>
  <c r="L271" i="13"/>
  <c r="K255" i="13"/>
  <c r="M254" i="13"/>
  <c r="M253" i="13"/>
  <c r="G251" i="13"/>
  <c r="I250" i="13"/>
  <c r="M248" i="13"/>
  <c r="D247" i="13"/>
  <c r="C247" i="13"/>
  <c r="E236" i="13"/>
  <c r="M223" i="13"/>
  <c r="M268" i="13" s="1"/>
  <c r="D222" i="13"/>
  <c r="D267" i="13" s="1"/>
  <c r="K221" i="13"/>
  <c r="I217" i="13"/>
  <c r="C210" i="13"/>
  <c r="D209" i="13"/>
  <c r="K206" i="13"/>
  <c r="K236" i="13" s="1"/>
  <c r="J206" i="13"/>
  <c r="J236" i="13" s="1"/>
  <c r="L205" i="13"/>
  <c r="D203" i="13"/>
  <c r="M196" i="13"/>
  <c r="L196" i="13"/>
  <c r="K196" i="13"/>
  <c r="J196" i="13"/>
  <c r="I196" i="13"/>
  <c r="H196" i="13"/>
  <c r="G196" i="13"/>
  <c r="G197" i="13" s="1"/>
  <c r="F196" i="13"/>
  <c r="E196" i="13"/>
  <c r="D196" i="13"/>
  <c r="C196" i="13"/>
  <c r="B196" i="13"/>
  <c r="M195" i="13"/>
  <c r="L195" i="13"/>
  <c r="K195" i="13"/>
  <c r="J195" i="13"/>
  <c r="I195" i="13"/>
  <c r="H195" i="13"/>
  <c r="G195" i="13"/>
  <c r="F195" i="13"/>
  <c r="E195" i="13"/>
  <c r="D195" i="13"/>
  <c r="C195" i="13"/>
  <c r="B195" i="13"/>
  <c r="M194" i="13"/>
  <c r="L194" i="13"/>
  <c r="K194" i="13"/>
  <c r="J194" i="13"/>
  <c r="I194" i="13"/>
  <c r="H194" i="13"/>
  <c r="G194" i="13"/>
  <c r="F194" i="13"/>
  <c r="E194" i="13"/>
  <c r="D194" i="13"/>
  <c r="C194" i="13"/>
  <c r="B194" i="13"/>
  <c r="M193" i="13"/>
  <c r="L193" i="13"/>
  <c r="K193" i="13"/>
  <c r="J193" i="13"/>
  <c r="I193" i="13"/>
  <c r="H193" i="13"/>
  <c r="G193" i="13"/>
  <c r="F193" i="13"/>
  <c r="E193" i="13"/>
  <c r="D193" i="13"/>
  <c r="C193" i="13"/>
  <c r="B193" i="13"/>
  <c r="M192" i="13"/>
  <c r="L192" i="13"/>
  <c r="K192" i="13"/>
  <c r="J192" i="13"/>
  <c r="I192" i="13"/>
  <c r="H192" i="13"/>
  <c r="G192" i="13"/>
  <c r="F192" i="13"/>
  <c r="E192" i="13"/>
  <c r="D192" i="13"/>
  <c r="C192" i="13"/>
  <c r="B192" i="13"/>
  <c r="B198" i="13" s="1"/>
  <c r="M191" i="13"/>
  <c r="L191" i="13"/>
  <c r="K191" i="13"/>
  <c r="J191" i="13"/>
  <c r="I191" i="13"/>
  <c r="H191" i="13"/>
  <c r="G191" i="13"/>
  <c r="F191" i="13"/>
  <c r="E191" i="13"/>
  <c r="D191" i="13"/>
  <c r="C191" i="13"/>
  <c r="O191" i="13" s="1"/>
  <c r="B191" i="13"/>
  <c r="O190" i="13"/>
  <c r="M190" i="13"/>
  <c r="L190" i="13"/>
  <c r="K190" i="13"/>
  <c r="J190" i="13"/>
  <c r="I190" i="13"/>
  <c r="H190" i="13"/>
  <c r="G190" i="13"/>
  <c r="F190" i="13"/>
  <c r="E190" i="13"/>
  <c r="D190" i="13"/>
  <c r="C190" i="13"/>
  <c r="B190" i="13"/>
  <c r="N190" i="13" s="1"/>
  <c r="M189" i="13"/>
  <c r="L189" i="13"/>
  <c r="K189" i="13"/>
  <c r="J189" i="13"/>
  <c r="I189" i="13"/>
  <c r="H189" i="13"/>
  <c r="G189" i="13"/>
  <c r="F189" i="13"/>
  <c r="E189" i="13"/>
  <c r="D189" i="13"/>
  <c r="D198" i="13" s="1"/>
  <c r="C189" i="13"/>
  <c r="B189" i="13"/>
  <c r="M188" i="13"/>
  <c r="L188" i="13"/>
  <c r="K188" i="13"/>
  <c r="J188" i="13"/>
  <c r="I188" i="13"/>
  <c r="H188" i="13"/>
  <c r="G188" i="13"/>
  <c r="F188" i="13"/>
  <c r="E188" i="13"/>
  <c r="D188" i="13"/>
  <c r="D197" i="13" s="1"/>
  <c r="C188" i="13"/>
  <c r="B188" i="13"/>
  <c r="M187" i="13"/>
  <c r="L187" i="13"/>
  <c r="K187" i="13"/>
  <c r="J187" i="13"/>
  <c r="I187" i="13"/>
  <c r="H187" i="13"/>
  <c r="G187" i="13"/>
  <c r="F187" i="13"/>
  <c r="E187" i="13"/>
  <c r="E197" i="13" s="1"/>
  <c r="D187" i="13"/>
  <c r="C187" i="13"/>
  <c r="B187" i="13"/>
  <c r="G183" i="13"/>
  <c r="F183" i="13"/>
  <c r="E183" i="13"/>
  <c r="M181" i="13"/>
  <c r="L181" i="13"/>
  <c r="K181" i="13"/>
  <c r="K330" i="13" s="1"/>
  <c r="J181" i="13"/>
  <c r="J330" i="13" s="1"/>
  <c r="I181" i="13"/>
  <c r="I330" i="13" s="1"/>
  <c r="H181" i="13"/>
  <c r="H330" i="13" s="1"/>
  <c r="G181" i="13"/>
  <c r="G330" i="13" s="1"/>
  <c r="F181" i="13"/>
  <c r="E181" i="13"/>
  <c r="E330" i="13" s="1"/>
  <c r="D181" i="13"/>
  <c r="D330" i="13" s="1"/>
  <c r="C181" i="13"/>
  <c r="B181" i="13"/>
  <c r="M180" i="13"/>
  <c r="L180" i="13"/>
  <c r="K180" i="13"/>
  <c r="J180" i="13"/>
  <c r="I180" i="13"/>
  <c r="H180" i="13"/>
  <c r="G180" i="13"/>
  <c r="F180" i="13"/>
  <c r="E180" i="13"/>
  <c r="D180" i="13"/>
  <c r="C180" i="13"/>
  <c r="B180" i="13"/>
  <c r="M179" i="13"/>
  <c r="L179" i="13"/>
  <c r="K179" i="13"/>
  <c r="J179" i="13"/>
  <c r="I179" i="13"/>
  <c r="H179" i="13"/>
  <c r="G179" i="13"/>
  <c r="F179" i="13"/>
  <c r="E179" i="13"/>
  <c r="D179" i="13"/>
  <c r="C179" i="13"/>
  <c r="B179" i="13"/>
  <c r="O179" i="13" s="1"/>
  <c r="M178" i="13"/>
  <c r="L178" i="13"/>
  <c r="K178" i="13"/>
  <c r="J178" i="13"/>
  <c r="I178" i="13"/>
  <c r="H178" i="13"/>
  <c r="G178" i="13"/>
  <c r="F178" i="13"/>
  <c r="E178" i="13"/>
  <c r="D178" i="13"/>
  <c r="D182" i="13" s="1"/>
  <c r="C178" i="13"/>
  <c r="O178" i="13" s="1"/>
  <c r="B178" i="13"/>
  <c r="N178" i="13" s="1"/>
  <c r="M177" i="13"/>
  <c r="L177" i="13"/>
  <c r="K177" i="13"/>
  <c r="J177" i="13"/>
  <c r="I177" i="13"/>
  <c r="H177" i="13"/>
  <c r="G177" i="13"/>
  <c r="F177" i="13"/>
  <c r="E177" i="13"/>
  <c r="D177" i="13"/>
  <c r="O177" i="13" s="1"/>
  <c r="C177" i="13"/>
  <c r="B177" i="13"/>
  <c r="M176" i="13"/>
  <c r="M328" i="13" s="1"/>
  <c r="L176" i="13"/>
  <c r="L328" i="13" s="1"/>
  <c r="K176" i="13"/>
  <c r="K328" i="13" s="1"/>
  <c r="J176" i="13"/>
  <c r="I176" i="13"/>
  <c r="I328" i="13" s="1"/>
  <c r="H176" i="13"/>
  <c r="H328" i="13" s="1"/>
  <c r="G176" i="13"/>
  <c r="F176" i="13"/>
  <c r="F328" i="13" s="1"/>
  <c r="E176" i="13"/>
  <c r="E328" i="13" s="1"/>
  <c r="D176" i="13"/>
  <c r="D328" i="13" s="1"/>
  <c r="C176" i="13"/>
  <c r="C328" i="13" s="1"/>
  <c r="B176" i="13"/>
  <c r="B328" i="13" s="1"/>
  <c r="M175" i="13"/>
  <c r="L175" i="13"/>
  <c r="K175" i="13"/>
  <c r="J175" i="13"/>
  <c r="I175" i="13"/>
  <c r="H175" i="13"/>
  <c r="H183" i="13" s="1"/>
  <c r="G175" i="13"/>
  <c r="F175" i="13"/>
  <c r="E175" i="13"/>
  <c r="D175" i="13"/>
  <c r="C175" i="13"/>
  <c r="B175" i="13"/>
  <c r="M174" i="13"/>
  <c r="L174" i="13"/>
  <c r="L329" i="13" s="1"/>
  <c r="K174" i="13"/>
  <c r="K329" i="13" s="1"/>
  <c r="J174" i="13"/>
  <c r="J329" i="13" s="1"/>
  <c r="I174" i="13"/>
  <c r="H174" i="13"/>
  <c r="H329" i="13" s="1"/>
  <c r="G174" i="13"/>
  <c r="F174" i="13"/>
  <c r="E174" i="13"/>
  <c r="E329" i="13" s="1"/>
  <c r="D174" i="13"/>
  <c r="D329" i="13" s="1"/>
  <c r="C174" i="13"/>
  <c r="B174" i="13"/>
  <c r="M173" i="13"/>
  <c r="L173" i="13"/>
  <c r="K173" i="13"/>
  <c r="K182" i="13" s="1"/>
  <c r="J173" i="13"/>
  <c r="J183" i="13" s="1"/>
  <c r="I173" i="13"/>
  <c r="H173" i="13"/>
  <c r="G173" i="13"/>
  <c r="F173" i="13"/>
  <c r="E173" i="13"/>
  <c r="D173" i="13"/>
  <c r="C173" i="13"/>
  <c r="B173" i="13"/>
  <c r="M172" i="13"/>
  <c r="L172" i="13"/>
  <c r="K172" i="13"/>
  <c r="J172" i="13"/>
  <c r="J182" i="13" s="1"/>
  <c r="I172" i="13"/>
  <c r="H172" i="13"/>
  <c r="G172" i="13"/>
  <c r="F172" i="13"/>
  <c r="F182" i="13" s="1"/>
  <c r="E172" i="13"/>
  <c r="D172" i="13"/>
  <c r="C172" i="13"/>
  <c r="B172" i="13"/>
  <c r="J167" i="13"/>
  <c r="M166" i="13"/>
  <c r="L166" i="13"/>
  <c r="K166" i="13"/>
  <c r="K168" i="13" s="1"/>
  <c r="J166" i="13"/>
  <c r="I166" i="13"/>
  <c r="H166" i="13"/>
  <c r="G166" i="13"/>
  <c r="F166" i="13"/>
  <c r="E166" i="13"/>
  <c r="D166" i="13"/>
  <c r="C166" i="13"/>
  <c r="B166" i="13"/>
  <c r="M165" i="13"/>
  <c r="L165" i="13"/>
  <c r="K165" i="13"/>
  <c r="J165" i="13"/>
  <c r="I165" i="13"/>
  <c r="H165" i="13"/>
  <c r="G165" i="13"/>
  <c r="F165" i="13"/>
  <c r="E165" i="13"/>
  <c r="D165" i="13"/>
  <c r="C165" i="13"/>
  <c r="B165" i="13"/>
  <c r="O164" i="13"/>
  <c r="M164" i="13"/>
  <c r="L164" i="13"/>
  <c r="L167" i="13" s="1"/>
  <c r="K164" i="13"/>
  <c r="J164" i="13"/>
  <c r="I164" i="13"/>
  <c r="H164" i="13"/>
  <c r="G164" i="13"/>
  <c r="F164" i="13"/>
  <c r="E164" i="13"/>
  <c r="D164" i="13"/>
  <c r="C164" i="13"/>
  <c r="C168" i="13" s="1"/>
  <c r="B164" i="13"/>
  <c r="N164" i="13" s="1"/>
  <c r="M163" i="13"/>
  <c r="L163" i="13"/>
  <c r="K163" i="13"/>
  <c r="J163" i="13"/>
  <c r="I163" i="13"/>
  <c r="H163" i="13"/>
  <c r="G163" i="13"/>
  <c r="F163" i="13"/>
  <c r="E163" i="13"/>
  <c r="D163" i="13"/>
  <c r="C163" i="13"/>
  <c r="B163" i="13"/>
  <c r="M162" i="13"/>
  <c r="L162" i="13"/>
  <c r="K162" i="13"/>
  <c r="J162" i="13"/>
  <c r="I162" i="13"/>
  <c r="H162" i="13"/>
  <c r="G162" i="13"/>
  <c r="F162" i="13"/>
  <c r="E162" i="13"/>
  <c r="D162" i="13"/>
  <c r="C162" i="13"/>
  <c r="B162" i="13"/>
  <c r="M161" i="13"/>
  <c r="L161" i="13"/>
  <c r="K161" i="13"/>
  <c r="J161" i="13"/>
  <c r="I161" i="13"/>
  <c r="H161" i="13"/>
  <c r="G161" i="13"/>
  <c r="F161" i="13"/>
  <c r="E161" i="13"/>
  <c r="D161" i="13"/>
  <c r="C161" i="13"/>
  <c r="B161" i="13"/>
  <c r="M160" i="13"/>
  <c r="L160" i="13"/>
  <c r="K160" i="13"/>
  <c r="J160" i="13"/>
  <c r="I160" i="13"/>
  <c r="H160" i="13"/>
  <c r="G160" i="13"/>
  <c r="O160" i="13" s="1"/>
  <c r="F160" i="13"/>
  <c r="E160" i="13"/>
  <c r="D160" i="13"/>
  <c r="C160" i="13"/>
  <c r="B160" i="13"/>
  <c r="M159" i="13"/>
  <c r="L159" i="13"/>
  <c r="K159" i="13"/>
  <c r="J159" i="13"/>
  <c r="I159" i="13"/>
  <c r="H159" i="13"/>
  <c r="G159" i="13"/>
  <c r="F159" i="13"/>
  <c r="E159" i="13"/>
  <c r="D159" i="13"/>
  <c r="C159" i="13"/>
  <c r="B159" i="13"/>
  <c r="M158" i="13"/>
  <c r="L158" i="13"/>
  <c r="K158" i="13"/>
  <c r="K167" i="13" s="1"/>
  <c r="J158" i="13"/>
  <c r="I158" i="13"/>
  <c r="H158" i="13"/>
  <c r="G158" i="13"/>
  <c r="F158" i="13"/>
  <c r="E158" i="13"/>
  <c r="D158" i="13"/>
  <c r="C158" i="13"/>
  <c r="B158" i="13"/>
  <c r="M157" i="13"/>
  <c r="L157" i="13"/>
  <c r="K157" i="13"/>
  <c r="J157" i="13"/>
  <c r="I157" i="13"/>
  <c r="I168" i="13" s="1"/>
  <c r="H157" i="13"/>
  <c r="G157" i="13"/>
  <c r="F157" i="13"/>
  <c r="E157" i="13"/>
  <c r="D157" i="13"/>
  <c r="C157" i="13"/>
  <c r="B157" i="13"/>
  <c r="M148" i="13"/>
  <c r="L148" i="13"/>
  <c r="K148" i="13"/>
  <c r="J148" i="13"/>
  <c r="I148" i="13"/>
  <c r="H148" i="13"/>
  <c r="O148" i="13" s="1"/>
  <c r="G148" i="13"/>
  <c r="F148" i="13"/>
  <c r="E148" i="13"/>
  <c r="D148" i="13"/>
  <c r="C148" i="13"/>
  <c r="B148" i="13"/>
  <c r="M133" i="13"/>
  <c r="L133" i="13"/>
  <c r="K133" i="13"/>
  <c r="J133" i="13"/>
  <c r="I133" i="13"/>
  <c r="H133" i="13"/>
  <c r="G133" i="13"/>
  <c r="F133" i="13"/>
  <c r="O133" i="13" s="1"/>
  <c r="E133" i="13"/>
  <c r="D133" i="13"/>
  <c r="C133" i="13"/>
  <c r="B133" i="13"/>
  <c r="M121" i="13"/>
  <c r="M271" i="13" s="1"/>
  <c r="L121" i="13"/>
  <c r="M120" i="13"/>
  <c r="L120" i="13"/>
  <c r="M119" i="13"/>
  <c r="L119" i="13"/>
  <c r="E119" i="13"/>
  <c r="M118" i="13"/>
  <c r="I117" i="13"/>
  <c r="K116" i="13"/>
  <c r="J116" i="13"/>
  <c r="E116" i="13"/>
  <c r="M115" i="13"/>
  <c r="K115" i="13"/>
  <c r="J115" i="13"/>
  <c r="L114" i="13"/>
  <c r="K114" i="13"/>
  <c r="J114" i="13"/>
  <c r="M113" i="13"/>
  <c r="L113" i="13"/>
  <c r="L112" i="13"/>
  <c r="L106" i="13"/>
  <c r="M105" i="13"/>
  <c r="K104" i="13"/>
  <c r="K239" i="13" s="1"/>
  <c r="D104" i="13"/>
  <c r="K103" i="13"/>
  <c r="K102" i="13"/>
  <c r="H102" i="13"/>
  <c r="G102" i="13"/>
  <c r="J101" i="13"/>
  <c r="H101" i="13"/>
  <c r="G101" i="13"/>
  <c r="E101" i="13"/>
  <c r="L100" i="13"/>
  <c r="K100" i="13"/>
  <c r="I100" i="13"/>
  <c r="H100" i="13"/>
  <c r="G100" i="13"/>
  <c r="L99" i="13"/>
  <c r="K98" i="13"/>
  <c r="I98" i="13"/>
  <c r="G98" i="13"/>
  <c r="D98" i="13"/>
  <c r="L97" i="13"/>
  <c r="K93" i="13"/>
  <c r="M91" i="13"/>
  <c r="L91" i="13"/>
  <c r="K91" i="13"/>
  <c r="K211" i="13" s="1"/>
  <c r="J91" i="13"/>
  <c r="J106" i="13" s="1"/>
  <c r="F91" i="13"/>
  <c r="E91" i="13"/>
  <c r="D91" i="13"/>
  <c r="C91" i="13"/>
  <c r="B91" i="13"/>
  <c r="M90" i="13"/>
  <c r="M210" i="13" s="1"/>
  <c r="M240" i="13" s="1"/>
  <c r="L90" i="13"/>
  <c r="K90" i="13"/>
  <c r="K120" i="13" s="1"/>
  <c r="I90" i="13"/>
  <c r="G90" i="13"/>
  <c r="F90" i="13"/>
  <c r="F105" i="13" s="1"/>
  <c r="E90" i="13"/>
  <c r="D90" i="13"/>
  <c r="C90" i="13"/>
  <c r="B90" i="13"/>
  <c r="M89" i="13"/>
  <c r="L89" i="13"/>
  <c r="L224" i="13" s="1"/>
  <c r="K89" i="13"/>
  <c r="J89" i="13"/>
  <c r="I89" i="13"/>
  <c r="H89" i="13"/>
  <c r="G89" i="13"/>
  <c r="F89" i="13"/>
  <c r="F92" i="13" s="1"/>
  <c r="E89" i="13"/>
  <c r="D89" i="13"/>
  <c r="C89" i="13"/>
  <c r="C104" i="13" s="1"/>
  <c r="B89" i="13"/>
  <c r="M88" i="13"/>
  <c r="L88" i="13"/>
  <c r="L118" i="13" s="1"/>
  <c r="K88" i="13"/>
  <c r="J88" i="13"/>
  <c r="I88" i="13"/>
  <c r="H88" i="13"/>
  <c r="H223" i="13" s="1"/>
  <c r="G88" i="13"/>
  <c r="F88" i="13"/>
  <c r="E88" i="13"/>
  <c r="D88" i="13"/>
  <c r="C88" i="13"/>
  <c r="B88" i="13"/>
  <c r="M87" i="13"/>
  <c r="M117" i="13" s="1"/>
  <c r="L87" i="13"/>
  <c r="L117" i="13" s="1"/>
  <c r="K87" i="13"/>
  <c r="J87" i="13"/>
  <c r="I87" i="13"/>
  <c r="H87" i="13"/>
  <c r="F87" i="13"/>
  <c r="E87" i="13"/>
  <c r="E222" i="13" s="1"/>
  <c r="D87" i="13"/>
  <c r="D117" i="13" s="1"/>
  <c r="C87" i="13"/>
  <c r="B87" i="13"/>
  <c r="N87" i="13" s="1"/>
  <c r="N86" i="13"/>
  <c r="M86" i="13"/>
  <c r="M206" i="13" s="1"/>
  <c r="L86" i="13"/>
  <c r="L206" i="13" s="1"/>
  <c r="K86" i="13"/>
  <c r="J86" i="13"/>
  <c r="I86" i="13"/>
  <c r="H86" i="13"/>
  <c r="G86" i="13"/>
  <c r="F86" i="13"/>
  <c r="E86" i="13"/>
  <c r="D86" i="13"/>
  <c r="C86" i="13"/>
  <c r="B86" i="13"/>
  <c r="B116" i="13" s="1"/>
  <c r="M85" i="13"/>
  <c r="L85" i="13"/>
  <c r="K85" i="13"/>
  <c r="K205" i="13" s="1"/>
  <c r="K235" i="13" s="1"/>
  <c r="J85" i="13"/>
  <c r="I85" i="13"/>
  <c r="I115" i="13" s="1"/>
  <c r="H85" i="13"/>
  <c r="H115" i="13" s="1"/>
  <c r="G85" i="13"/>
  <c r="F85" i="13"/>
  <c r="F100" i="13" s="1"/>
  <c r="E85" i="13"/>
  <c r="E220" i="13" s="1"/>
  <c r="D85" i="13"/>
  <c r="C85" i="13"/>
  <c r="C220" i="13" s="1"/>
  <c r="B85" i="13"/>
  <c r="M84" i="13"/>
  <c r="L84" i="13"/>
  <c r="K84" i="13"/>
  <c r="J84" i="13"/>
  <c r="I84" i="13"/>
  <c r="M83" i="13"/>
  <c r="M218" i="13" s="1"/>
  <c r="M263" i="13" s="1"/>
  <c r="L83" i="13"/>
  <c r="K83" i="13"/>
  <c r="J83" i="13"/>
  <c r="I83" i="13"/>
  <c r="H83" i="13"/>
  <c r="G83" i="13"/>
  <c r="F83" i="13"/>
  <c r="E83" i="13"/>
  <c r="D83" i="13"/>
  <c r="C83" i="13"/>
  <c r="C98" i="13" s="1"/>
  <c r="B83" i="13"/>
  <c r="O83" i="13" s="1"/>
  <c r="M82" i="13"/>
  <c r="L82" i="13"/>
  <c r="L93" i="13" s="1"/>
  <c r="K82" i="13"/>
  <c r="D82" i="13"/>
  <c r="N76" i="13"/>
  <c r="M76" i="13"/>
  <c r="L76" i="13"/>
  <c r="L211" i="13" s="1"/>
  <c r="L241" i="13" s="1"/>
  <c r="K76" i="13"/>
  <c r="J76" i="13"/>
  <c r="I76" i="13"/>
  <c r="H76" i="13"/>
  <c r="G76" i="13"/>
  <c r="F76" i="13"/>
  <c r="E76" i="13"/>
  <c r="D76" i="13"/>
  <c r="D211" i="13" s="1"/>
  <c r="C76" i="13"/>
  <c r="B76" i="13"/>
  <c r="M75" i="13"/>
  <c r="L75" i="13"/>
  <c r="L210" i="13" s="1"/>
  <c r="K75" i="13"/>
  <c r="J75" i="13"/>
  <c r="I75" i="13"/>
  <c r="I210" i="13" s="1"/>
  <c r="H75" i="13"/>
  <c r="G75" i="13"/>
  <c r="G210" i="13" s="1"/>
  <c r="F75" i="13"/>
  <c r="E75" i="13"/>
  <c r="D75" i="13"/>
  <c r="C75" i="13"/>
  <c r="B75" i="13"/>
  <c r="B210" i="13" s="1"/>
  <c r="M74" i="13"/>
  <c r="L74" i="13"/>
  <c r="K74" i="13"/>
  <c r="K209" i="13" s="1"/>
  <c r="J74" i="13"/>
  <c r="I74" i="13"/>
  <c r="H74" i="13"/>
  <c r="H104" i="13" s="1"/>
  <c r="G74" i="13"/>
  <c r="G209" i="13" s="1"/>
  <c r="F74" i="13"/>
  <c r="E74" i="13"/>
  <c r="D74" i="13"/>
  <c r="C74" i="13"/>
  <c r="B74" i="13"/>
  <c r="M73" i="13"/>
  <c r="L73" i="13"/>
  <c r="K73" i="13"/>
  <c r="J73" i="13"/>
  <c r="J208" i="13" s="1"/>
  <c r="H73" i="13"/>
  <c r="G73" i="13"/>
  <c r="D73" i="13"/>
  <c r="D208" i="13" s="1"/>
  <c r="C73" i="13"/>
  <c r="B73" i="13"/>
  <c r="M72" i="13"/>
  <c r="L72" i="13"/>
  <c r="L207" i="13" s="1"/>
  <c r="K72" i="13"/>
  <c r="F72" i="13"/>
  <c r="F207" i="13" s="1"/>
  <c r="E72" i="13"/>
  <c r="E207" i="13" s="1"/>
  <c r="D72" i="13"/>
  <c r="D207" i="13" s="1"/>
  <c r="M71" i="13"/>
  <c r="L71" i="13"/>
  <c r="K71" i="13"/>
  <c r="K101" i="13" s="1"/>
  <c r="J71" i="13"/>
  <c r="I71" i="13"/>
  <c r="I206" i="13" s="1"/>
  <c r="H71" i="13"/>
  <c r="H206" i="13" s="1"/>
  <c r="G71" i="13"/>
  <c r="G206" i="13" s="1"/>
  <c r="F71" i="13"/>
  <c r="E71" i="13"/>
  <c r="E206" i="13" s="1"/>
  <c r="D71" i="13"/>
  <c r="C71" i="13"/>
  <c r="B71" i="13"/>
  <c r="M70" i="13"/>
  <c r="L70" i="13"/>
  <c r="K70" i="13"/>
  <c r="J70" i="13"/>
  <c r="J100" i="13" s="1"/>
  <c r="I70" i="13"/>
  <c r="I205" i="13" s="1"/>
  <c r="I235" i="13" s="1"/>
  <c r="H70" i="13"/>
  <c r="H205" i="13" s="1"/>
  <c r="G70" i="13"/>
  <c r="G205" i="13" s="1"/>
  <c r="F70" i="13"/>
  <c r="E70" i="13"/>
  <c r="D70" i="13"/>
  <c r="D205" i="13" s="1"/>
  <c r="C70" i="13"/>
  <c r="B70" i="13"/>
  <c r="M69" i="13"/>
  <c r="L69" i="13"/>
  <c r="L204" i="13" s="1"/>
  <c r="K69" i="13"/>
  <c r="J69" i="13"/>
  <c r="I69" i="13"/>
  <c r="I204" i="13" s="1"/>
  <c r="M68" i="13"/>
  <c r="L68" i="13"/>
  <c r="K68" i="13"/>
  <c r="K203" i="13" s="1"/>
  <c r="J68" i="13"/>
  <c r="J98" i="13" s="1"/>
  <c r="I68" i="13"/>
  <c r="G68" i="13"/>
  <c r="G203" i="13" s="1"/>
  <c r="G233" i="13" s="1"/>
  <c r="F68" i="13"/>
  <c r="E68" i="13"/>
  <c r="D68" i="13"/>
  <c r="C68" i="13"/>
  <c r="B68" i="13"/>
  <c r="M67" i="13"/>
  <c r="L67" i="13"/>
  <c r="K67" i="13"/>
  <c r="K63" i="13"/>
  <c r="J63" i="13"/>
  <c r="D63" i="13"/>
  <c r="M61" i="13"/>
  <c r="M326" i="13" s="1"/>
  <c r="L61" i="13"/>
  <c r="L326" i="13" s="1"/>
  <c r="K61" i="13"/>
  <c r="J61" i="13"/>
  <c r="J326" i="13" s="1"/>
  <c r="I61" i="13"/>
  <c r="I326" i="13" s="1"/>
  <c r="H61" i="13"/>
  <c r="H326" i="13" s="1"/>
  <c r="G61" i="13"/>
  <c r="G326" i="13" s="1"/>
  <c r="F61" i="13"/>
  <c r="F326" i="13" s="1"/>
  <c r="E61" i="13"/>
  <c r="E326" i="13" s="1"/>
  <c r="D61" i="13"/>
  <c r="D326" i="13" s="1"/>
  <c r="C61" i="13"/>
  <c r="C326" i="13" s="1"/>
  <c r="B61" i="13"/>
  <c r="B326" i="13" s="1"/>
  <c r="M60" i="13"/>
  <c r="L60" i="13"/>
  <c r="K60" i="13"/>
  <c r="J60" i="13"/>
  <c r="I60" i="13"/>
  <c r="H60" i="13"/>
  <c r="G60" i="13"/>
  <c r="F60" i="13"/>
  <c r="E60" i="13"/>
  <c r="D60" i="13"/>
  <c r="C60" i="13"/>
  <c r="O60" i="13" s="1"/>
  <c r="B60" i="13"/>
  <c r="N60" i="13" s="1"/>
  <c r="M59" i="13"/>
  <c r="L59" i="13"/>
  <c r="K59" i="13"/>
  <c r="J59" i="13"/>
  <c r="I59" i="13"/>
  <c r="H59" i="13"/>
  <c r="G59" i="13"/>
  <c r="F59" i="13"/>
  <c r="E59" i="13"/>
  <c r="D59" i="13"/>
  <c r="C59" i="13"/>
  <c r="B59" i="13"/>
  <c r="M58" i="13"/>
  <c r="L58" i="13"/>
  <c r="K58" i="13"/>
  <c r="J58" i="13"/>
  <c r="I58" i="13"/>
  <c r="H58" i="13"/>
  <c r="G58" i="13"/>
  <c r="F58" i="13"/>
  <c r="E58" i="13"/>
  <c r="D58" i="13"/>
  <c r="C58" i="13"/>
  <c r="B58" i="13"/>
  <c r="M57" i="13"/>
  <c r="L57" i="13"/>
  <c r="L62" i="13" s="1"/>
  <c r="K57" i="13"/>
  <c r="J57" i="13"/>
  <c r="I57" i="13"/>
  <c r="H57" i="13"/>
  <c r="G57" i="13"/>
  <c r="F57" i="13"/>
  <c r="E57" i="13"/>
  <c r="D57" i="13"/>
  <c r="C57" i="13"/>
  <c r="B57" i="13"/>
  <c r="M56" i="13"/>
  <c r="M325" i="13" s="1"/>
  <c r="L56" i="13"/>
  <c r="L325" i="13" s="1"/>
  <c r="K56" i="13"/>
  <c r="K325" i="13" s="1"/>
  <c r="J56" i="13"/>
  <c r="J325" i="13" s="1"/>
  <c r="I56" i="13"/>
  <c r="I325" i="13" s="1"/>
  <c r="H56" i="13"/>
  <c r="H325" i="13" s="1"/>
  <c r="G56" i="13"/>
  <c r="G325" i="13" s="1"/>
  <c r="F56" i="13"/>
  <c r="F325" i="13" s="1"/>
  <c r="E56" i="13"/>
  <c r="E325" i="13" s="1"/>
  <c r="D56" i="13"/>
  <c r="D325" i="13" s="1"/>
  <c r="C56" i="13"/>
  <c r="B56" i="13"/>
  <c r="N56" i="13" s="1"/>
  <c r="O55" i="13"/>
  <c r="M55" i="13"/>
  <c r="L55" i="13"/>
  <c r="K55" i="13"/>
  <c r="J55" i="13"/>
  <c r="I55" i="13"/>
  <c r="H55" i="13"/>
  <c r="G55" i="13"/>
  <c r="F55" i="13"/>
  <c r="E55" i="13"/>
  <c r="D55" i="13"/>
  <c r="D62" i="13" s="1"/>
  <c r="C55" i="13"/>
  <c r="B55" i="13"/>
  <c r="N55" i="13" s="1"/>
  <c r="M54" i="13"/>
  <c r="M324" i="13" s="1"/>
  <c r="L54" i="13"/>
  <c r="L324" i="13" s="1"/>
  <c r="K54" i="13"/>
  <c r="K324" i="13" s="1"/>
  <c r="J54" i="13"/>
  <c r="J324" i="13" s="1"/>
  <c r="I54" i="13"/>
  <c r="I324" i="13" s="1"/>
  <c r="H54" i="13"/>
  <c r="H324" i="13" s="1"/>
  <c r="G54" i="13"/>
  <c r="G324" i="13" s="1"/>
  <c r="F54" i="13"/>
  <c r="F324" i="13" s="1"/>
  <c r="E54" i="13"/>
  <c r="E324" i="13" s="1"/>
  <c r="D54" i="13"/>
  <c r="D324" i="13" s="1"/>
  <c r="C54" i="13"/>
  <c r="C324" i="13" s="1"/>
  <c r="B54" i="13"/>
  <c r="B324" i="13" s="1"/>
  <c r="M53" i="13"/>
  <c r="L53" i="13"/>
  <c r="K53" i="13"/>
  <c r="K62" i="13" s="1"/>
  <c r="J53" i="13"/>
  <c r="J62" i="13" s="1"/>
  <c r="I53" i="13"/>
  <c r="H53" i="13"/>
  <c r="G53" i="13"/>
  <c r="F53" i="13"/>
  <c r="E53" i="13"/>
  <c r="D53" i="13"/>
  <c r="C53" i="13"/>
  <c r="O53" i="13" s="1"/>
  <c r="B53" i="13"/>
  <c r="M52" i="13"/>
  <c r="L52" i="13"/>
  <c r="K52" i="13"/>
  <c r="J52" i="13"/>
  <c r="I52" i="13"/>
  <c r="H52" i="13"/>
  <c r="G52" i="13"/>
  <c r="F52" i="13"/>
  <c r="E52" i="13"/>
  <c r="D52" i="13"/>
  <c r="C52" i="13"/>
  <c r="O52" i="13" s="1"/>
  <c r="B52" i="13"/>
  <c r="M46" i="13"/>
  <c r="M256" i="13" s="1"/>
  <c r="L46" i="13"/>
  <c r="K46" i="13"/>
  <c r="K256" i="13" s="1"/>
  <c r="J46" i="13"/>
  <c r="I46" i="13"/>
  <c r="H46" i="13"/>
  <c r="H256" i="13" s="1"/>
  <c r="G46" i="13"/>
  <c r="E46" i="13"/>
  <c r="E256" i="13" s="1"/>
  <c r="D46" i="13"/>
  <c r="D256" i="13" s="1"/>
  <c r="C46" i="13"/>
  <c r="C256" i="13" s="1"/>
  <c r="B46" i="13"/>
  <c r="M45" i="13"/>
  <c r="L45" i="13"/>
  <c r="K45" i="13"/>
  <c r="J45" i="13"/>
  <c r="J255" i="13" s="1"/>
  <c r="M44" i="13"/>
  <c r="L44" i="13"/>
  <c r="L254" i="13" s="1"/>
  <c r="K44" i="13"/>
  <c r="J44" i="13"/>
  <c r="I44" i="13"/>
  <c r="I254" i="13" s="1"/>
  <c r="H44" i="13"/>
  <c r="G44" i="13"/>
  <c r="F44" i="13"/>
  <c r="E44" i="13"/>
  <c r="E254" i="13" s="1"/>
  <c r="D44" i="13"/>
  <c r="D254" i="13" s="1"/>
  <c r="M43" i="13"/>
  <c r="L43" i="13"/>
  <c r="L253" i="13" s="1"/>
  <c r="K43" i="13"/>
  <c r="K253" i="13" s="1"/>
  <c r="I43" i="13"/>
  <c r="I253" i="13" s="1"/>
  <c r="H43" i="13"/>
  <c r="H253" i="13" s="1"/>
  <c r="F43" i="13"/>
  <c r="F253" i="13" s="1"/>
  <c r="M42" i="13"/>
  <c r="L42" i="13"/>
  <c r="L252" i="13" s="1"/>
  <c r="K42" i="13"/>
  <c r="K252" i="13" s="1"/>
  <c r="J42" i="13"/>
  <c r="I42" i="13"/>
  <c r="I252" i="13" s="1"/>
  <c r="H42" i="13"/>
  <c r="G42" i="13"/>
  <c r="G252" i="13" s="1"/>
  <c r="F42" i="13"/>
  <c r="D42" i="13"/>
  <c r="D252" i="13" s="1"/>
  <c r="C42" i="13"/>
  <c r="B42" i="13"/>
  <c r="M41" i="13"/>
  <c r="M251" i="13" s="1"/>
  <c r="L41" i="13"/>
  <c r="K41" i="13"/>
  <c r="J41" i="13"/>
  <c r="J251" i="13" s="1"/>
  <c r="I41" i="13"/>
  <c r="H41" i="13"/>
  <c r="H251" i="13" s="1"/>
  <c r="G41" i="13"/>
  <c r="F41" i="13"/>
  <c r="F251" i="13" s="1"/>
  <c r="E41" i="13"/>
  <c r="E251" i="13" s="1"/>
  <c r="D41" i="13"/>
  <c r="C41" i="13"/>
  <c r="B41" i="13"/>
  <c r="M40" i="13"/>
  <c r="L40" i="13"/>
  <c r="L250" i="13" s="1"/>
  <c r="K40" i="13"/>
  <c r="K250" i="13" s="1"/>
  <c r="J40" i="13"/>
  <c r="I40" i="13"/>
  <c r="H40" i="13"/>
  <c r="H250" i="13" s="1"/>
  <c r="G40" i="13"/>
  <c r="F40" i="13"/>
  <c r="F250" i="13" s="1"/>
  <c r="E40" i="13"/>
  <c r="D40" i="13"/>
  <c r="C40" i="13"/>
  <c r="C250" i="13" s="1"/>
  <c r="B40" i="13"/>
  <c r="M39" i="13"/>
  <c r="M249" i="13" s="1"/>
  <c r="L39" i="13"/>
  <c r="K39" i="13"/>
  <c r="J39" i="13"/>
  <c r="J249" i="13" s="1"/>
  <c r="E39" i="13"/>
  <c r="B39" i="13"/>
  <c r="M38" i="13"/>
  <c r="L38" i="13"/>
  <c r="L248" i="13" s="1"/>
  <c r="K38" i="13"/>
  <c r="J38" i="13"/>
  <c r="F38" i="13"/>
  <c r="E38" i="13"/>
  <c r="M37" i="13"/>
  <c r="L37" i="13"/>
  <c r="K37" i="13"/>
  <c r="J37" i="13"/>
  <c r="I37" i="13"/>
  <c r="H37" i="13"/>
  <c r="G37" i="13"/>
  <c r="F37" i="13"/>
  <c r="E37" i="13"/>
  <c r="D37" i="13"/>
  <c r="C37" i="13"/>
  <c r="B37" i="13"/>
  <c r="M33" i="13"/>
  <c r="M31" i="13"/>
  <c r="M226" i="13" s="1"/>
  <c r="L31" i="13"/>
  <c r="L226" i="13" s="1"/>
  <c r="K31" i="13"/>
  <c r="J31" i="13"/>
  <c r="I31" i="13"/>
  <c r="H31" i="13"/>
  <c r="G31" i="13"/>
  <c r="F31" i="13"/>
  <c r="E31" i="13"/>
  <c r="E226" i="13" s="1"/>
  <c r="D31" i="13"/>
  <c r="C31" i="13"/>
  <c r="B31" i="13"/>
  <c r="M30" i="13"/>
  <c r="L30" i="13"/>
  <c r="L225" i="13" s="1"/>
  <c r="K30" i="13"/>
  <c r="J30" i="13"/>
  <c r="I30" i="13"/>
  <c r="H30" i="13"/>
  <c r="M29" i="13"/>
  <c r="L29" i="13"/>
  <c r="K29" i="13"/>
  <c r="J29" i="13"/>
  <c r="I29" i="13"/>
  <c r="G29" i="13"/>
  <c r="F29" i="13"/>
  <c r="E29" i="13"/>
  <c r="E224" i="13" s="1"/>
  <c r="D29" i="13"/>
  <c r="M28" i="13"/>
  <c r="L28" i="13"/>
  <c r="K28" i="13"/>
  <c r="J28" i="13"/>
  <c r="H28" i="13"/>
  <c r="F28" i="13"/>
  <c r="D28" i="13"/>
  <c r="M27" i="13"/>
  <c r="L27" i="13"/>
  <c r="K27" i="13"/>
  <c r="J27" i="13"/>
  <c r="I27" i="13"/>
  <c r="I222" i="13" s="1"/>
  <c r="I267" i="13" s="1"/>
  <c r="H27" i="13"/>
  <c r="G27" i="13"/>
  <c r="F27" i="13"/>
  <c r="E27" i="13"/>
  <c r="D27" i="13"/>
  <c r="C27" i="13"/>
  <c r="B27" i="13"/>
  <c r="M26" i="13"/>
  <c r="L26" i="13"/>
  <c r="K26" i="13"/>
  <c r="J26" i="13"/>
  <c r="J221" i="13" s="1"/>
  <c r="J266" i="13" s="1"/>
  <c r="I26" i="13"/>
  <c r="H26" i="13"/>
  <c r="G26" i="13"/>
  <c r="F26" i="13"/>
  <c r="E26" i="13"/>
  <c r="D26" i="13"/>
  <c r="C26" i="13"/>
  <c r="B26" i="13"/>
  <c r="M25" i="13"/>
  <c r="M220" i="13" s="1"/>
  <c r="L25" i="13"/>
  <c r="L220" i="13" s="1"/>
  <c r="K25" i="13"/>
  <c r="K220" i="13" s="1"/>
  <c r="J25" i="13"/>
  <c r="J220" i="13" s="1"/>
  <c r="I25" i="13"/>
  <c r="H25" i="13"/>
  <c r="H220" i="13" s="1"/>
  <c r="H265" i="13" s="1"/>
  <c r="G25" i="13"/>
  <c r="F25" i="13"/>
  <c r="E25" i="13"/>
  <c r="D25" i="13"/>
  <c r="C25" i="13"/>
  <c r="B25" i="13"/>
  <c r="M24" i="13"/>
  <c r="L24" i="13"/>
  <c r="K24" i="13"/>
  <c r="J24" i="13"/>
  <c r="I24" i="13"/>
  <c r="B24" i="13"/>
  <c r="M23" i="13"/>
  <c r="L23" i="13"/>
  <c r="K23" i="13"/>
  <c r="K218" i="13" s="1"/>
  <c r="D23" i="13"/>
  <c r="C23" i="13"/>
  <c r="B23" i="13"/>
  <c r="M22" i="13"/>
  <c r="M217" i="13" s="1"/>
  <c r="L22" i="13"/>
  <c r="L217" i="13" s="1"/>
  <c r="K22" i="13"/>
  <c r="J22" i="13"/>
  <c r="I22" i="13"/>
  <c r="H22" i="13"/>
  <c r="G22" i="13"/>
  <c r="F22" i="13"/>
  <c r="E22" i="13"/>
  <c r="D22" i="13"/>
  <c r="C22" i="13"/>
  <c r="B22" i="13"/>
  <c r="F15" i="13"/>
  <c r="F14" i="13"/>
  <c r="F13" i="13"/>
  <c r="F12" i="13"/>
  <c r="F11" i="13"/>
  <c r="I101" i="13" s="1"/>
  <c r="F10" i="13"/>
  <c r="F9" i="13"/>
  <c r="F8" i="13"/>
  <c r="F7" i="13"/>
  <c r="F6" i="13"/>
  <c r="F5" i="13"/>
  <c r="F4" i="13"/>
  <c r="B105" i="13" s="1"/>
  <c r="B4" i="13"/>
  <c r="B6" i="13" s="1"/>
  <c r="B3" i="13"/>
  <c r="B5" i="13" s="1"/>
  <c r="B11" i="13" s="1"/>
  <c r="D10" i="12"/>
  <c r="K20" i="11"/>
  <c r="J20" i="11"/>
  <c r="I20" i="11"/>
  <c r="K19" i="11"/>
  <c r="J19" i="11"/>
  <c r="I19" i="11"/>
  <c r="K18" i="11"/>
  <c r="J18" i="11"/>
  <c r="I18" i="11"/>
  <c r="K17" i="11"/>
  <c r="B17" i="11"/>
  <c r="K16" i="11"/>
  <c r="I16" i="11"/>
  <c r="K15" i="11"/>
  <c r="B15" i="11"/>
  <c r="K14" i="11"/>
  <c r="K13" i="11"/>
  <c r="K12" i="11"/>
  <c r="K11" i="11"/>
  <c r="K10" i="11"/>
  <c r="K9" i="11"/>
  <c r="M10" i="12" s="1"/>
  <c r="I9" i="11"/>
  <c r="B8" i="11"/>
  <c r="B7" i="11"/>
  <c r="B6" i="11"/>
  <c r="T5" i="11"/>
  <c r="S5" i="11"/>
  <c r="R5" i="11"/>
  <c r="Q5" i="11"/>
  <c r="P5" i="11"/>
  <c r="O5" i="11"/>
  <c r="N5" i="11"/>
  <c r="M5" i="11"/>
  <c r="L5" i="11"/>
  <c r="K5" i="11"/>
  <c r="J5" i="11"/>
  <c r="I5" i="11"/>
  <c r="T4" i="11"/>
  <c r="S4" i="11"/>
  <c r="R4" i="11"/>
  <c r="T3" i="11"/>
  <c r="S3" i="11"/>
  <c r="R3" i="11"/>
  <c r="K3" i="11"/>
  <c r="U75" i="7"/>
  <c r="U74" i="7"/>
  <c r="U73" i="7"/>
  <c r="C642" i="13" s="1"/>
  <c r="U72" i="7"/>
  <c r="C641" i="13" s="1"/>
  <c r="U71" i="7"/>
  <c r="C640" i="13" s="1"/>
  <c r="U70" i="7"/>
  <c r="C639" i="13" s="1"/>
  <c r="U69" i="7"/>
  <c r="C638" i="13" s="1"/>
  <c r="G69" i="7"/>
  <c r="U68" i="7"/>
  <c r="C637" i="13" s="1"/>
  <c r="U67" i="7"/>
  <c r="C636" i="13" s="1"/>
  <c r="U66" i="7"/>
  <c r="C635" i="13" s="1"/>
  <c r="G66" i="7"/>
  <c r="U65" i="7"/>
  <c r="C634" i="13" s="1"/>
  <c r="U64" i="7"/>
  <c r="C633" i="13" s="1"/>
  <c r="G64" i="7"/>
  <c r="U63" i="7"/>
  <c r="C632" i="13" s="1"/>
  <c r="U62" i="7"/>
  <c r="C631" i="13" s="1"/>
  <c r="U61" i="7"/>
  <c r="C630" i="13" s="1"/>
  <c r="U60" i="7"/>
  <c r="C629" i="13" s="1"/>
  <c r="U59" i="7"/>
  <c r="C628" i="13" s="1"/>
  <c r="G59" i="7"/>
  <c r="U58" i="7"/>
  <c r="C627" i="13" s="1"/>
  <c r="G58" i="7"/>
  <c r="U57" i="7"/>
  <c r="C626" i="13" s="1"/>
  <c r="U56" i="7"/>
  <c r="C625" i="13" s="1"/>
  <c r="U55" i="7"/>
  <c r="C624" i="13" s="1"/>
  <c r="U54" i="7"/>
  <c r="C623" i="13" s="1"/>
  <c r="G54" i="7"/>
  <c r="U53" i="7"/>
  <c r="C622" i="13" s="1"/>
  <c r="G53" i="7"/>
  <c r="U52" i="7"/>
  <c r="C621" i="13" s="1"/>
  <c r="G52" i="7"/>
  <c r="U51" i="7"/>
  <c r="C620" i="13" s="1"/>
  <c r="U50" i="7"/>
  <c r="C619" i="13" s="1"/>
  <c r="U49" i="7"/>
  <c r="C618" i="13" s="1"/>
  <c r="U48" i="7"/>
  <c r="C617" i="13" s="1"/>
  <c r="U47" i="7"/>
  <c r="C616" i="13" s="1"/>
  <c r="U46" i="7"/>
  <c r="C615" i="13" s="1"/>
  <c r="U45" i="7"/>
  <c r="C614" i="13" s="1"/>
  <c r="U44" i="7"/>
  <c r="C613" i="13" s="1"/>
  <c r="U43" i="7"/>
  <c r="C612" i="13" s="1"/>
  <c r="U42" i="7"/>
  <c r="C611" i="13" s="1"/>
  <c r="U41" i="7"/>
  <c r="C610" i="13" s="1"/>
  <c r="U40" i="7"/>
  <c r="C609" i="13" s="1"/>
  <c r="U39" i="7"/>
  <c r="C608" i="13" s="1"/>
  <c r="U38" i="7"/>
  <c r="C607" i="13" s="1"/>
  <c r="U37" i="7"/>
  <c r="C606" i="13" s="1"/>
  <c r="U36" i="7"/>
  <c r="C605" i="13" s="1"/>
  <c r="U35" i="7"/>
  <c r="C604" i="13" s="1"/>
  <c r="U34" i="7"/>
  <c r="C603" i="13" s="1"/>
  <c r="U33" i="7"/>
  <c r="C602" i="13" s="1"/>
  <c r="U32" i="7"/>
  <c r="C601" i="13" s="1"/>
  <c r="U31" i="7"/>
  <c r="C600" i="13" s="1"/>
  <c r="U30" i="7"/>
  <c r="C599" i="13" s="1"/>
  <c r="U29" i="7"/>
  <c r="C598" i="13" s="1"/>
  <c r="U28" i="7"/>
  <c r="C597" i="13" s="1"/>
  <c r="U27" i="7"/>
  <c r="C596" i="13" s="1"/>
  <c r="U26" i="7"/>
  <c r="C595" i="13" s="1"/>
  <c r="U25" i="7"/>
  <c r="C594" i="13" s="1"/>
  <c r="U24" i="7"/>
  <c r="C593" i="13" s="1"/>
  <c r="U23" i="7"/>
  <c r="C592" i="13" s="1"/>
  <c r="U22" i="7"/>
  <c r="C591" i="13" s="1"/>
  <c r="U21" i="7"/>
  <c r="C590" i="13" s="1"/>
  <c r="U20" i="7"/>
  <c r="C589" i="13" s="1"/>
  <c r="U19" i="7"/>
  <c r="C588" i="13" s="1"/>
  <c r="U18" i="7"/>
  <c r="C587" i="13" s="1"/>
  <c r="U17" i="7"/>
  <c r="C586" i="13" s="1"/>
  <c r="U16" i="7"/>
  <c r="C585" i="13" s="1"/>
  <c r="G16" i="7"/>
  <c r="U15" i="7"/>
  <c r="C584" i="13" s="1"/>
  <c r="U14" i="7"/>
  <c r="C583" i="13" s="1"/>
  <c r="U13" i="7"/>
  <c r="C582" i="13" s="1"/>
  <c r="U12" i="7"/>
  <c r="C581" i="13" s="1"/>
  <c r="U11" i="7"/>
  <c r="C580" i="13" s="1"/>
  <c r="U10" i="7"/>
  <c r="C579" i="13" s="1"/>
  <c r="U9" i="7"/>
  <c r="C578" i="13" s="1"/>
  <c r="U8" i="7"/>
  <c r="C577" i="13" s="1"/>
  <c r="U7" i="7"/>
  <c r="C576" i="13" s="1"/>
  <c r="U6" i="7"/>
  <c r="C575" i="13" s="1"/>
  <c r="U5" i="7"/>
  <c r="C574" i="13" s="1"/>
  <c r="U4" i="7"/>
  <c r="C573" i="13" s="1"/>
  <c r="U3" i="7"/>
  <c r="C572" i="13" s="1"/>
  <c r="K20" i="5"/>
  <c r="H20" i="5"/>
  <c r="E20" i="5"/>
  <c r="B20" i="5"/>
  <c r="K14" i="5"/>
  <c r="H14" i="5"/>
  <c r="E14" i="5"/>
  <c r="B14" i="5"/>
  <c r="N11" i="5"/>
  <c r="K8" i="5"/>
  <c r="H8" i="5"/>
  <c r="E8" i="5"/>
  <c r="B8" i="5"/>
  <c r="H66" i="4"/>
  <c r="E504" i="13" s="1"/>
  <c r="F60" i="4"/>
  <c r="E498" i="13" s="1"/>
  <c r="P59" i="4"/>
  <c r="E497" i="13" s="1"/>
  <c r="P58" i="4"/>
  <c r="E496" i="13" s="1"/>
  <c r="F57" i="4"/>
  <c r="E495" i="13" s="1"/>
  <c r="H56" i="4"/>
  <c r="E494" i="13" s="1"/>
  <c r="F55" i="4"/>
  <c r="E493" i="13" s="1"/>
  <c r="F54" i="4"/>
  <c r="E492" i="13" s="1"/>
  <c r="P52" i="4"/>
  <c r="E490" i="13" s="1"/>
  <c r="O52" i="4"/>
  <c r="D490" i="13" s="1"/>
  <c r="F50" i="4"/>
  <c r="E488" i="13" s="1"/>
  <c r="H49" i="4"/>
  <c r="F49" i="4"/>
  <c r="H48" i="4"/>
  <c r="F48" i="4"/>
  <c r="W45" i="4"/>
  <c r="F45" i="4"/>
  <c r="D45" i="4"/>
  <c r="E483" i="13" s="1"/>
  <c r="C45" i="4"/>
  <c r="D483" i="13" s="1"/>
  <c r="D44" i="4"/>
  <c r="E482" i="13" s="1"/>
  <c r="W43" i="4"/>
  <c r="D43" i="4"/>
  <c r="E481" i="13" s="1"/>
  <c r="C43" i="4"/>
  <c r="D481" i="13" s="1"/>
  <c r="F42" i="4"/>
  <c r="D42" i="4"/>
  <c r="C42" i="4"/>
  <c r="D480" i="13" s="1"/>
  <c r="F41" i="4"/>
  <c r="D41" i="4"/>
  <c r="E479" i="13" s="1"/>
  <c r="C41" i="4"/>
  <c r="D479" i="13" s="1"/>
  <c r="D39" i="4"/>
  <c r="C39" i="4"/>
  <c r="D477" i="13" s="1"/>
  <c r="F38" i="4"/>
  <c r="E476" i="13" s="1"/>
  <c r="L36" i="4"/>
  <c r="E474" i="13" s="1"/>
  <c r="K36" i="4"/>
  <c r="D474" i="13" s="1"/>
  <c r="L35" i="4"/>
  <c r="E473" i="13" s="1"/>
  <c r="L34" i="4"/>
  <c r="E472" i="13" s="1"/>
  <c r="P31" i="4"/>
  <c r="O31" i="4"/>
  <c r="D469" i="13" s="1"/>
  <c r="H31" i="4"/>
  <c r="E469" i="13" s="1"/>
  <c r="F28" i="4"/>
  <c r="E466" i="13" s="1"/>
  <c r="L27" i="4"/>
  <c r="H27" i="4"/>
  <c r="E465" i="13" s="1"/>
  <c r="H24" i="4"/>
  <c r="E462" i="13" s="1"/>
  <c r="H22" i="4"/>
  <c r="E460" i="13" s="1"/>
  <c r="H20" i="4"/>
  <c r="E458" i="13" s="1"/>
  <c r="P17" i="4"/>
  <c r="O17" i="4"/>
  <c r="D455" i="13" s="1"/>
  <c r="F17" i="4"/>
  <c r="E455" i="13" s="1"/>
  <c r="H15" i="4"/>
  <c r="E453" i="13" s="1"/>
  <c r="H14" i="4"/>
  <c r="E452" i="13" s="1"/>
  <c r="L13" i="4"/>
  <c r="H13" i="4"/>
  <c r="F13" i="4"/>
  <c r="P10" i="4"/>
  <c r="H10" i="4"/>
  <c r="H8" i="4"/>
  <c r="E446" i="13" s="1"/>
  <c r="L7" i="4"/>
  <c r="H7" i="4"/>
  <c r="F7" i="4"/>
  <c r="L6" i="4"/>
  <c r="H5" i="4"/>
  <c r="E443" i="13" s="1"/>
  <c r="N41" i="3"/>
  <c r="M41" i="3"/>
  <c r="L41" i="3"/>
  <c r="K41" i="3"/>
  <c r="I41" i="3"/>
  <c r="G41" i="3"/>
  <c r="F41" i="3"/>
  <c r="E41" i="3"/>
  <c r="D41" i="3"/>
  <c r="C41" i="3"/>
  <c r="K40" i="3"/>
  <c r="J40" i="3"/>
  <c r="I91" i="13" s="1"/>
  <c r="I40" i="3"/>
  <c r="H91" i="13" s="1"/>
  <c r="H211" i="13" s="1"/>
  <c r="H40" i="3"/>
  <c r="O41" i="3" s="1"/>
  <c r="O39" i="3"/>
  <c r="H39" i="3"/>
  <c r="P39" i="3" s="1"/>
  <c r="Q37" i="3"/>
  <c r="N37" i="3"/>
  <c r="M37" i="3"/>
  <c r="L37" i="3"/>
  <c r="K37" i="3"/>
  <c r="H37" i="3"/>
  <c r="G37" i="3"/>
  <c r="F37" i="3"/>
  <c r="E37" i="3"/>
  <c r="D37" i="3"/>
  <c r="C37" i="3"/>
  <c r="J35" i="3"/>
  <c r="P35" i="3" s="1"/>
  <c r="I35" i="3"/>
  <c r="I37" i="3" s="1"/>
  <c r="H35" i="3"/>
  <c r="G35" i="3"/>
  <c r="F73" i="13" s="1"/>
  <c r="F208" i="13" s="1"/>
  <c r="F35" i="3"/>
  <c r="N33" i="3"/>
  <c r="M33" i="3"/>
  <c r="L33" i="3"/>
  <c r="J33" i="3"/>
  <c r="H33" i="3"/>
  <c r="G33" i="3"/>
  <c r="F33" i="3"/>
  <c r="E33" i="3"/>
  <c r="H32" i="3"/>
  <c r="G87" i="13" s="1"/>
  <c r="K31" i="3"/>
  <c r="J31" i="3"/>
  <c r="I72" i="13" s="1"/>
  <c r="I31" i="3"/>
  <c r="H72" i="13" s="1"/>
  <c r="H207" i="13" s="1"/>
  <c r="H31" i="3"/>
  <c r="G72" i="13" s="1"/>
  <c r="D31" i="3"/>
  <c r="C72" i="13" s="1"/>
  <c r="C31" i="3"/>
  <c r="J9" i="11" s="1"/>
  <c r="N29" i="3"/>
  <c r="M29" i="3"/>
  <c r="L29" i="3"/>
  <c r="J29" i="3"/>
  <c r="I29" i="3"/>
  <c r="H29" i="3"/>
  <c r="G29" i="3"/>
  <c r="F29" i="3"/>
  <c r="E29" i="3"/>
  <c r="D29" i="3"/>
  <c r="C29" i="3"/>
  <c r="K28" i="3"/>
  <c r="K29" i="3" s="1"/>
  <c r="I28" i="3"/>
  <c r="H90" i="13" s="1"/>
  <c r="P27" i="3"/>
  <c r="O27" i="3"/>
  <c r="O25" i="3"/>
  <c r="N25" i="3"/>
  <c r="M25" i="3"/>
  <c r="L25" i="3"/>
  <c r="K25" i="3"/>
  <c r="J25" i="3"/>
  <c r="I25" i="3"/>
  <c r="H25" i="3"/>
  <c r="G25" i="3"/>
  <c r="F25" i="3"/>
  <c r="E25" i="3"/>
  <c r="D25" i="3"/>
  <c r="C25" i="3"/>
  <c r="P23" i="3"/>
  <c r="O23" i="3"/>
  <c r="N21" i="3"/>
  <c r="M21" i="3"/>
  <c r="L21" i="3"/>
  <c r="K21" i="3"/>
  <c r="J21" i="3"/>
  <c r="I20" i="3"/>
  <c r="H84" i="13" s="1"/>
  <c r="H20" i="3"/>
  <c r="G84" i="13" s="1"/>
  <c r="G20" i="3"/>
  <c r="F84" i="13" s="1"/>
  <c r="F20" i="3"/>
  <c r="E84" i="13" s="1"/>
  <c r="E92" i="13" s="1"/>
  <c r="E20" i="3"/>
  <c r="D84" i="13" s="1"/>
  <c r="D20" i="3"/>
  <c r="C84" i="13" s="1"/>
  <c r="C20" i="3"/>
  <c r="C19" i="3"/>
  <c r="O17" i="3"/>
  <c r="N17" i="3"/>
  <c r="M17" i="3"/>
  <c r="L17" i="3"/>
  <c r="K17" i="3"/>
  <c r="J17" i="3"/>
  <c r="I17" i="3"/>
  <c r="H17" i="3"/>
  <c r="G17" i="3"/>
  <c r="F17" i="3"/>
  <c r="E17" i="3"/>
  <c r="D17" i="3"/>
  <c r="C17" i="3"/>
  <c r="P15" i="3"/>
  <c r="O15" i="3"/>
  <c r="O13" i="3"/>
  <c r="N13" i="3"/>
  <c r="M13" i="3"/>
  <c r="L13" i="3"/>
  <c r="K13" i="3"/>
  <c r="J13" i="3"/>
  <c r="I13" i="3"/>
  <c r="H13" i="3"/>
  <c r="G13" i="3"/>
  <c r="F13" i="3"/>
  <c r="E13" i="3"/>
  <c r="D13" i="3"/>
  <c r="C13" i="3"/>
  <c r="P11" i="3"/>
  <c r="O11" i="3"/>
  <c r="O9" i="3"/>
  <c r="N9" i="3"/>
  <c r="M9" i="3"/>
  <c r="L9" i="3"/>
  <c r="K9" i="3"/>
  <c r="J9" i="3"/>
  <c r="I9" i="3"/>
  <c r="H9" i="3"/>
  <c r="G9" i="3"/>
  <c r="F9" i="3"/>
  <c r="E9" i="3"/>
  <c r="D9" i="3"/>
  <c r="C9" i="3"/>
  <c r="K7" i="3"/>
  <c r="J7" i="3"/>
  <c r="I7" i="3"/>
  <c r="N5" i="3"/>
  <c r="M5" i="3"/>
  <c r="L5" i="3"/>
  <c r="I5" i="3"/>
  <c r="G5" i="3"/>
  <c r="K4" i="3"/>
  <c r="J82" i="13" s="1"/>
  <c r="J4" i="3"/>
  <c r="I82" i="13" s="1"/>
  <c r="I97" i="13" s="1"/>
  <c r="I4" i="3"/>
  <c r="H82" i="13" s="1"/>
  <c r="H93" i="13" s="1"/>
  <c r="H4" i="3"/>
  <c r="G82" i="13" s="1"/>
  <c r="G4" i="3"/>
  <c r="F82" i="13" s="1"/>
  <c r="F4" i="3"/>
  <c r="E82" i="13" s="1"/>
  <c r="E4" i="3"/>
  <c r="D4" i="3"/>
  <c r="D5" i="3" s="1"/>
  <c r="C4" i="3"/>
  <c r="O5" i="3" s="1"/>
  <c r="K3" i="3"/>
  <c r="J3" i="3"/>
  <c r="I67" i="13" s="1"/>
  <c r="I3" i="3"/>
  <c r="H67" i="13" s="1"/>
  <c r="H3" i="3"/>
  <c r="G67" i="13" s="1"/>
  <c r="G3" i="3"/>
  <c r="F3" i="3"/>
  <c r="E3" i="3"/>
  <c r="D3" i="3"/>
  <c r="C67" i="13" s="1"/>
  <c r="C3" i="3"/>
  <c r="K67" i="2"/>
  <c r="J67" i="2"/>
  <c r="I67" i="2"/>
  <c r="H67" i="2"/>
  <c r="G67" i="2"/>
  <c r="F67" i="2"/>
  <c r="E67" i="2"/>
  <c r="D67" i="2"/>
  <c r="C67" i="2"/>
  <c r="N66" i="2"/>
  <c r="M66" i="2"/>
  <c r="L66" i="2"/>
  <c r="L68" i="2" s="1"/>
  <c r="K66" i="2"/>
  <c r="J66" i="2"/>
  <c r="I68" i="2" s="1"/>
  <c r="I66" i="2"/>
  <c r="H66" i="2"/>
  <c r="G66" i="2"/>
  <c r="F66" i="2"/>
  <c r="F68" i="2" s="1"/>
  <c r="E66" i="2"/>
  <c r="C68" i="2" s="1"/>
  <c r="D66" i="2"/>
  <c r="C66" i="2"/>
  <c r="O64" i="2"/>
  <c r="G62" i="2"/>
  <c r="O62" i="2" s="1"/>
  <c r="O61" i="2"/>
  <c r="L60" i="2"/>
  <c r="C60" i="2"/>
  <c r="J56" i="2"/>
  <c r="I45" i="13" s="1"/>
  <c r="I56" i="2"/>
  <c r="H45" i="13" s="1"/>
  <c r="H56" i="2"/>
  <c r="G45" i="13" s="1"/>
  <c r="G255" i="13" s="1"/>
  <c r="G56" i="2"/>
  <c r="F45" i="13" s="1"/>
  <c r="F56" i="2"/>
  <c r="E45" i="13" s="1"/>
  <c r="E56" i="2"/>
  <c r="D45" i="13" s="1"/>
  <c r="D255" i="13" s="1"/>
  <c r="D56" i="2"/>
  <c r="C45" i="13" s="1"/>
  <c r="C56" i="2"/>
  <c r="B45" i="13" s="1"/>
  <c r="J55" i="2"/>
  <c r="I55" i="2"/>
  <c r="I60" i="2" s="1"/>
  <c r="H55" i="2"/>
  <c r="G30" i="13" s="1"/>
  <c r="G55" i="2"/>
  <c r="F30" i="13" s="1"/>
  <c r="F55" i="2"/>
  <c r="F60" i="2" s="1"/>
  <c r="E55" i="2"/>
  <c r="D30" i="13" s="1"/>
  <c r="D55" i="2"/>
  <c r="C30" i="13" s="1"/>
  <c r="C55" i="2"/>
  <c r="B30" i="13" s="1"/>
  <c r="B120" i="13" s="1"/>
  <c r="F54" i="2"/>
  <c r="O50" i="2"/>
  <c r="I50" i="2"/>
  <c r="D50" i="2"/>
  <c r="C44" i="13" s="1"/>
  <c r="C50" i="2"/>
  <c r="B44" i="13" s="1"/>
  <c r="I49" i="2"/>
  <c r="I54" i="2" s="1"/>
  <c r="E49" i="2"/>
  <c r="D49" i="2"/>
  <c r="C29" i="13" s="1"/>
  <c r="C49" i="2"/>
  <c r="L48" i="2"/>
  <c r="I48" i="2"/>
  <c r="C48" i="2"/>
  <c r="K45" i="2"/>
  <c r="J45" i="2"/>
  <c r="I45" i="2"/>
  <c r="H45" i="2"/>
  <c r="G45" i="2"/>
  <c r="F45" i="2"/>
  <c r="E45" i="2"/>
  <c r="D45" i="2"/>
  <c r="C45" i="2"/>
  <c r="K44" i="2"/>
  <c r="J43" i="13" s="1"/>
  <c r="J44" i="2"/>
  <c r="I44" i="2"/>
  <c r="H44" i="2"/>
  <c r="G43" i="13" s="1"/>
  <c r="G44" i="2"/>
  <c r="F44" i="2"/>
  <c r="E43" i="13" s="1"/>
  <c r="E44" i="2"/>
  <c r="D43" i="13" s="1"/>
  <c r="D44" i="2"/>
  <c r="C43" i="13" s="1"/>
  <c r="C44" i="2"/>
  <c r="B43" i="13" s="1"/>
  <c r="O43" i="2"/>
  <c r="K43" i="2"/>
  <c r="J43" i="2"/>
  <c r="I28" i="13" s="1"/>
  <c r="I43" i="2"/>
  <c r="H43" i="2"/>
  <c r="G28" i="13" s="1"/>
  <c r="G43" i="2"/>
  <c r="F43" i="2"/>
  <c r="F48" i="2" s="1"/>
  <c r="E43" i="2"/>
  <c r="D43" i="2"/>
  <c r="C28" i="13" s="1"/>
  <c r="C43" i="2"/>
  <c r="B28" i="13" s="1"/>
  <c r="L42" i="2"/>
  <c r="I42" i="2"/>
  <c r="F42" i="2"/>
  <c r="C42" i="2"/>
  <c r="H38" i="2"/>
  <c r="F38" i="2"/>
  <c r="E42" i="13" s="1"/>
  <c r="E252" i="13" s="1"/>
  <c r="O37" i="2"/>
  <c r="L36" i="2"/>
  <c r="I36" i="2"/>
  <c r="F36" i="2"/>
  <c r="N35" i="2"/>
  <c r="M35" i="2"/>
  <c r="L35" i="2"/>
  <c r="K35" i="2"/>
  <c r="J35" i="2"/>
  <c r="I35" i="2"/>
  <c r="H35" i="2"/>
  <c r="G35" i="2"/>
  <c r="F35" i="2"/>
  <c r="E35" i="2"/>
  <c r="D35" i="2"/>
  <c r="C35" i="2"/>
  <c r="O33" i="2"/>
  <c r="O31" i="2"/>
  <c r="O30" i="2"/>
  <c r="L29" i="2"/>
  <c r="I29" i="2"/>
  <c r="F29" i="2"/>
  <c r="C29" i="2"/>
  <c r="O24" i="2"/>
  <c r="O23" i="2"/>
  <c r="L22" i="2"/>
  <c r="I22" i="2"/>
  <c r="F22" i="2"/>
  <c r="N21" i="2"/>
  <c r="M21" i="2"/>
  <c r="L21" i="2"/>
  <c r="K21" i="2"/>
  <c r="J21" i="2"/>
  <c r="I21" i="2"/>
  <c r="H21" i="2"/>
  <c r="G21" i="2"/>
  <c r="F21" i="2"/>
  <c r="E21" i="2"/>
  <c r="D21" i="2"/>
  <c r="C21" i="2"/>
  <c r="O19" i="2"/>
  <c r="J18" i="2"/>
  <c r="I18" i="2"/>
  <c r="H18" i="2"/>
  <c r="G18" i="2"/>
  <c r="F18" i="2"/>
  <c r="E18" i="2"/>
  <c r="D18" i="2"/>
  <c r="C18" i="2"/>
  <c r="J17" i="2"/>
  <c r="O17" i="2" s="1"/>
  <c r="I17" i="2"/>
  <c r="H39" i="13" s="1"/>
  <c r="H17" i="2"/>
  <c r="G39" i="13" s="1"/>
  <c r="G17" i="2"/>
  <c r="F39" i="13" s="1"/>
  <c r="F17" i="2"/>
  <c r="E17" i="2"/>
  <c r="D39" i="13" s="1"/>
  <c r="D17" i="2"/>
  <c r="C39" i="13" s="1"/>
  <c r="C249" i="13" s="1"/>
  <c r="C17" i="2"/>
  <c r="J16" i="2"/>
  <c r="I16" i="2"/>
  <c r="H24" i="13" s="1"/>
  <c r="H16" i="2"/>
  <c r="G24" i="13" s="1"/>
  <c r="G16" i="2"/>
  <c r="F24" i="13" s="1"/>
  <c r="F16" i="2"/>
  <c r="E24" i="13" s="1"/>
  <c r="E16" i="2"/>
  <c r="D24" i="13" s="1"/>
  <c r="D16" i="2"/>
  <c r="C24" i="13" s="1"/>
  <c r="C219" i="13" s="1"/>
  <c r="C16" i="2"/>
  <c r="L15" i="2"/>
  <c r="I15" i="2"/>
  <c r="C15" i="2"/>
  <c r="K11" i="2"/>
  <c r="J11" i="2"/>
  <c r="I38" i="13" s="1"/>
  <c r="I11" i="2"/>
  <c r="H38" i="13" s="1"/>
  <c r="H248" i="13" s="1"/>
  <c r="H11" i="2"/>
  <c r="G38" i="13" s="1"/>
  <c r="G11" i="2"/>
  <c r="F11" i="2"/>
  <c r="E11" i="2"/>
  <c r="D38" i="13" s="1"/>
  <c r="D11" i="2"/>
  <c r="C38" i="13" s="1"/>
  <c r="C248" i="13" s="1"/>
  <c r="C11" i="2"/>
  <c r="K10" i="2"/>
  <c r="J10" i="2"/>
  <c r="I23" i="13" s="1"/>
  <c r="I10" i="2"/>
  <c r="H23" i="13" s="1"/>
  <c r="H10" i="2"/>
  <c r="G10" i="2"/>
  <c r="I13" i="11" s="1"/>
  <c r="F10" i="2"/>
  <c r="F15" i="2" s="1"/>
  <c r="F69" i="2" s="1"/>
  <c r="E10" i="2"/>
  <c r="D10" i="2"/>
  <c r="C10" i="2"/>
  <c r="L9" i="2"/>
  <c r="I9" i="2"/>
  <c r="F9" i="2"/>
  <c r="C9" i="2"/>
  <c r="O5" i="2"/>
  <c r="O4" i="2"/>
  <c r="B83" i="1"/>
  <c r="B82" i="1"/>
  <c r="B81" i="1"/>
  <c r="V80" i="1"/>
  <c r="T80" i="1"/>
  <c r="B80" i="1"/>
  <c r="B79" i="1"/>
  <c r="B78" i="1"/>
  <c r="B77" i="1"/>
  <c r="B76" i="1"/>
  <c r="B75" i="1"/>
  <c r="B74" i="1"/>
  <c r="F225" i="13" l="1"/>
  <c r="F120" i="13"/>
  <c r="G118" i="13"/>
  <c r="G223" i="13"/>
  <c r="G268" i="13" s="1"/>
  <c r="G219" i="13"/>
  <c r="G114" i="13"/>
  <c r="N30" i="13"/>
  <c r="D92" i="13"/>
  <c r="D93" i="13"/>
  <c r="I69" i="2"/>
  <c r="G253" i="13"/>
  <c r="G97" i="13"/>
  <c r="G202" i="13"/>
  <c r="J92" i="13"/>
  <c r="J93" i="13"/>
  <c r="J112" i="13"/>
  <c r="D249" i="13"/>
  <c r="D47" i="13"/>
  <c r="D257" i="13" s="1"/>
  <c r="C255" i="13"/>
  <c r="O45" i="13"/>
  <c r="E114" i="13"/>
  <c r="E219" i="13"/>
  <c r="E264" i="13" s="1"/>
  <c r="N24" i="13"/>
  <c r="F255" i="13"/>
  <c r="J3" i="11"/>
  <c r="L221" i="13"/>
  <c r="L266" i="13" s="1"/>
  <c r="L116" i="13"/>
  <c r="N179" i="13"/>
  <c r="B115" i="13"/>
  <c r="B220" i="13"/>
  <c r="O25" i="13"/>
  <c r="G91" i="13"/>
  <c r="G121" i="13" s="1"/>
  <c r="C240" i="13"/>
  <c r="I14" i="11"/>
  <c r="I248" i="13"/>
  <c r="H219" i="13"/>
  <c r="H264" i="13" s="1"/>
  <c r="H114" i="13"/>
  <c r="I255" i="13"/>
  <c r="N345" i="13" s="1"/>
  <c r="O345" i="13" s="1"/>
  <c r="B16" i="11"/>
  <c r="O3" i="3"/>
  <c r="J5" i="3"/>
  <c r="C102" i="13"/>
  <c r="C207" i="13"/>
  <c r="C237" i="13" s="1"/>
  <c r="M3" i="11"/>
  <c r="E63" i="13"/>
  <c r="E62" i="13"/>
  <c r="O57" i="13"/>
  <c r="K204" i="13"/>
  <c r="K99" i="13"/>
  <c r="H218" i="13"/>
  <c r="H113" i="13"/>
  <c r="B223" i="13"/>
  <c r="N28" i="13"/>
  <c r="D253" i="13"/>
  <c r="O49" i="2"/>
  <c r="G225" i="13"/>
  <c r="O56" i="2"/>
  <c r="E112" i="13"/>
  <c r="E93" i="13"/>
  <c r="K5" i="3"/>
  <c r="G207" i="13"/>
  <c r="G237" i="13" s="1"/>
  <c r="H41" i="3"/>
  <c r="N3" i="11"/>
  <c r="P4" i="11"/>
  <c r="I15" i="11"/>
  <c r="C393" i="13"/>
  <c r="H80" i="1" s="1"/>
  <c r="C387" i="13"/>
  <c r="H74" i="1" s="1"/>
  <c r="D355" i="13"/>
  <c r="E395" i="13"/>
  <c r="L82" i="1" s="1"/>
  <c r="C394" i="13"/>
  <c r="H81" i="1" s="1"/>
  <c r="C389" i="13"/>
  <c r="H76" i="1" s="1"/>
  <c r="C396" i="13"/>
  <c r="H83" i="1" s="1"/>
  <c r="E392" i="13"/>
  <c r="L79" i="1" s="1"/>
  <c r="C391" i="13"/>
  <c r="H78" i="1" s="1"/>
  <c r="F397" i="13"/>
  <c r="N84" i="1" s="1"/>
  <c r="D394" i="13"/>
  <c r="J81" i="1" s="1"/>
  <c r="F392" i="13"/>
  <c r="N79" i="1" s="1"/>
  <c r="H387" i="13"/>
  <c r="R74" i="1" s="1"/>
  <c r="H395" i="13"/>
  <c r="R82" i="1" s="1"/>
  <c r="B394" i="13"/>
  <c r="F81" i="1" s="1"/>
  <c r="D392" i="13"/>
  <c r="J79" i="1" s="1"/>
  <c r="H390" i="13"/>
  <c r="R77" i="1" s="1"/>
  <c r="B389" i="13"/>
  <c r="F76" i="1" s="1"/>
  <c r="F387" i="13"/>
  <c r="N74" i="1" s="1"/>
  <c r="C392" i="13"/>
  <c r="H79" i="1" s="1"/>
  <c r="G390" i="13"/>
  <c r="P77" i="1" s="1"/>
  <c r="F395" i="13"/>
  <c r="N82" i="1" s="1"/>
  <c r="H393" i="13"/>
  <c r="R80" i="1" s="1"/>
  <c r="B392" i="13"/>
  <c r="F79" i="1" s="1"/>
  <c r="F390" i="13"/>
  <c r="N77" i="1" s="1"/>
  <c r="D395" i="13"/>
  <c r="J82" i="1" s="1"/>
  <c r="D390" i="13"/>
  <c r="J77" i="1" s="1"/>
  <c r="H388" i="13"/>
  <c r="R75" i="1" s="1"/>
  <c r="B387" i="13"/>
  <c r="F74" i="1" s="1"/>
  <c r="C395" i="13"/>
  <c r="H82" i="1" s="1"/>
  <c r="C390" i="13"/>
  <c r="H77" i="1" s="1"/>
  <c r="H396" i="13"/>
  <c r="R83" i="1" s="1"/>
  <c r="B395" i="13"/>
  <c r="F82" i="1" s="1"/>
  <c r="D393" i="13"/>
  <c r="J80" i="1" s="1"/>
  <c r="H391" i="13"/>
  <c r="R78" i="1" s="1"/>
  <c r="B390" i="13"/>
  <c r="F77" i="1" s="1"/>
  <c r="F388" i="13"/>
  <c r="N75" i="1" s="1"/>
  <c r="F396" i="13"/>
  <c r="N83" i="1" s="1"/>
  <c r="B393" i="13"/>
  <c r="F80" i="1" s="1"/>
  <c r="F391" i="13"/>
  <c r="N78" i="1" s="1"/>
  <c r="D388" i="13"/>
  <c r="J75" i="1" s="1"/>
  <c r="C388" i="13"/>
  <c r="H75" i="1" s="1"/>
  <c r="H343" i="13"/>
  <c r="I343" i="13" s="1"/>
  <c r="E307" i="13"/>
  <c r="V12" i="1" s="1"/>
  <c r="H345" i="13"/>
  <c r="I345" i="13" s="1"/>
  <c r="B342" i="13"/>
  <c r="C342" i="13" s="1"/>
  <c r="K294" i="13"/>
  <c r="N344" i="13"/>
  <c r="O344" i="13" s="1"/>
  <c r="N343" i="13"/>
  <c r="O343" i="13" s="1"/>
  <c r="N341" i="13"/>
  <c r="O341" i="13" s="1"/>
  <c r="G307" i="13"/>
  <c r="B396" i="13"/>
  <c r="F83" i="1" s="1"/>
  <c r="B345" i="13"/>
  <c r="C345" i="13" s="1"/>
  <c r="B344" i="13"/>
  <c r="C344" i="13" s="1"/>
  <c r="B343" i="13"/>
  <c r="C343" i="13" s="1"/>
  <c r="K303" i="13"/>
  <c r="F394" i="13"/>
  <c r="N81" i="1" s="1"/>
  <c r="B388" i="13"/>
  <c r="F75" i="1" s="1"/>
  <c r="H346" i="13"/>
  <c r="I346" i="13" s="1"/>
  <c r="H340" i="13"/>
  <c r="I340" i="13" s="1"/>
  <c r="B339" i="13"/>
  <c r="C339" i="13" s="1"/>
  <c r="B346" i="13"/>
  <c r="C346" i="13" s="1"/>
  <c r="N342" i="13"/>
  <c r="O342" i="13" s="1"/>
  <c r="H341" i="13"/>
  <c r="I341" i="13" s="1"/>
  <c r="B340" i="13"/>
  <c r="C340" i="13" s="1"/>
  <c r="H392" i="13"/>
  <c r="R79" i="1" s="1"/>
  <c r="H344" i="13"/>
  <c r="I344" i="13" s="1"/>
  <c r="H337" i="13"/>
  <c r="I337" i="13" s="1"/>
  <c r="K301" i="13"/>
  <c r="H342" i="13"/>
  <c r="I342" i="13" s="1"/>
  <c r="H338" i="13"/>
  <c r="I338" i="13" s="1"/>
  <c r="H394" i="13"/>
  <c r="R81" i="1" s="1"/>
  <c r="N340" i="13"/>
  <c r="O340" i="13" s="1"/>
  <c r="K295" i="13"/>
  <c r="B337" i="13"/>
  <c r="C337" i="13" s="1"/>
  <c r="B391" i="13"/>
  <c r="F78" i="1" s="1"/>
  <c r="H389" i="13"/>
  <c r="R76" i="1" s="1"/>
  <c r="H339" i="13"/>
  <c r="I339" i="13" s="1"/>
  <c r="F389" i="13"/>
  <c r="N76" i="1" s="1"/>
  <c r="K292" i="13"/>
  <c r="N338" i="13"/>
  <c r="O338" i="13" s="1"/>
  <c r="B338" i="13"/>
  <c r="C338" i="13" s="1"/>
  <c r="C117" i="13"/>
  <c r="O27" i="13"/>
  <c r="E28" i="13"/>
  <c r="O28" i="13" s="1"/>
  <c r="H29" i="13"/>
  <c r="L33" i="13"/>
  <c r="K48" i="13"/>
  <c r="K47" i="13"/>
  <c r="K247" i="13"/>
  <c r="E249" i="13"/>
  <c r="G250" i="13"/>
  <c r="F46" i="13"/>
  <c r="F256" i="13" s="1"/>
  <c r="F62" i="13"/>
  <c r="N59" i="13"/>
  <c r="B67" i="13"/>
  <c r="L234" i="13"/>
  <c r="K241" i="13"/>
  <c r="D103" i="13"/>
  <c r="I105" i="13"/>
  <c r="I240" i="13" s="1"/>
  <c r="G395" i="13" s="1"/>
  <c r="P82" i="1" s="1"/>
  <c r="B341" i="13"/>
  <c r="C341" i="13" s="1"/>
  <c r="G248" i="13"/>
  <c r="C34" i="2" a="1"/>
  <c r="B253" i="13"/>
  <c r="O43" i="13"/>
  <c r="N43" i="13"/>
  <c r="F296" i="13"/>
  <c r="F294" i="13"/>
  <c r="N25" i="13"/>
  <c r="F119" i="13"/>
  <c r="F224" i="13"/>
  <c r="F269" i="13" s="1"/>
  <c r="I120" i="13"/>
  <c r="I225" i="13"/>
  <c r="I270" i="13" s="1"/>
  <c r="B249" i="13"/>
  <c r="C47" i="13"/>
  <c r="C257" i="13" s="1"/>
  <c r="O56" i="13"/>
  <c r="B325" i="13"/>
  <c r="I236" i="13"/>
  <c r="G391" i="13" s="1"/>
  <c r="P78" i="1" s="1"/>
  <c r="B211" i="13"/>
  <c r="B106" i="13"/>
  <c r="B82" i="13"/>
  <c r="K113" i="13"/>
  <c r="K263" i="13" s="1"/>
  <c r="I112" i="13"/>
  <c r="I262" i="13" s="1"/>
  <c r="I33" i="13"/>
  <c r="F307" i="13" s="1"/>
  <c r="V13" i="1" s="1"/>
  <c r="I32" i="13"/>
  <c r="E292" i="13" s="1"/>
  <c r="D223" i="13"/>
  <c r="D118" i="13"/>
  <c r="G224" i="13"/>
  <c r="G269" i="13" s="1"/>
  <c r="G119" i="13"/>
  <c r="B33" i="13"/>
  <c r="O58" i="13"/>
  <c r="N58" i="13"/>
  <c r="B103" i="13"/>
  <c r="C105" i="13"/>
  <c r="O75" i="13"/>
  <c r="C211" i="13"/>
  <c r="C106" i="13"/>
  <c r="O76" i="13"/>
  <c r="C82" i="13"/>
  <c r="H268" i="13"/>
  <c r="G105" i="13"/>
  <c r="G240" i="13" s="1"/>
  <c r="N133" i="13"/>
  <c r="N180" i="13"/>
  <c r="B330" i="13"/>
  <c r="O181" i="13"/>
  <c r="N181" i="13"/>
  <c r="J203" i="13"/>
  <c r="J233" i="13" s="1"/>
  <c r="I218" i="13"/>
  <c r="I263" i="13" s="1"/>
  <c r="E388" i="13" s="1"/>
  <c r="L75" i="1" s="1"/>
  <c r="I113" i="13"/>
  <c r="O16" i="2"/>
  <c r="C223" i="13"/>
  <c r="C268" i="13" s="1"/>
  <c r="C118" i="13"/>
  <c r="E253" i="13"/>
  <c r="B254" i="13"/>
  <c r="N44" i="13"/>
  <c r="O44" i="13"/>
  <c r="F93" i="13"/>
  <c r="O3" i="11"/>
  <c r="B11" i="11"/>
  <c r="M6" i="12" s="1"/>
  <c r="K217" i="13"/>
  <c r="K33" i="13"/>
  <c r="E115" i="13"/>
  <c r="E265" i="13" s="1"/>
  <c r="F223" i="13"/>
  <c r="F118" i="13"/>
  <c r="K226" i="13"/>
  <c r="K121" i="13"/>
  <c r="L247" i="13"/>
  <c r="L48" i="13"/>
  <c r="L47" i="13"/>
  <c r="I39" i="13"/>
  <c r="I249" i="13" s="1"/>
  <c r="N339" i="13" s="1"/>
  <c r="O339" i="13" s="1"/>
  <c r="G63" i="13"/>
  <c r="G62" i="13"/>
  <c r="O59" i="13"/>
  <c r="D67" i="13"/>
  <c r="D238" i="13"/>
  <c r="E104" i="13"/>
  <c r="E209" i="13"/>
  <c r="E239" i="13" s="1"/>
  <c r="E105" i="13"/>
  <c r="E210" i="13"/>
  <c r="E211" i="13"/>
  <c r="E106" i="13"/>
  <c r="M204" i="13"/>
  <c r="M99" i="13"/>
  <c r="I119" i="13"/>
  <c r="I104" i="13"/>
  <c r="J90" i="13"/>
  <c r="C97" i="13"/>
  <c r="C114" i="13"/>
  <c r="C264" i="13" s="1"/>
  <c r="J205" i="13"/>
  <c r="J235" i="13" s="1"/>
  <c r="F217" i="13"/>
  <c r="J23" i="13"/>
  <c r="J33" i="13" s="1"/>
  <c r="I17" i="11"/>
  <c r="Q3" i="11"/>
  <c r="C254" i="13"/>
  <c r="E67" i="13"/>
  <c r="I102" i="13"/>
  <c r="I207" i="13"/>
  <c r="I237" i="13" s="1"/>
  <c r="G392" i="13" s="1"/>
  <c r="P79" i="1" s="1"/>
  <c r="J41" i="3"/>
  <c r="E448" i="13"/>
  <c r="P3" i="11"/>
  <c r="F541" i="13"/>
  <c r="F537" i="13"/>
  <c r="F535" i="13"/>
  <c r="F519" i="13"/>
  <c r="F489" i="13"/>
  <c r="F487" i="13"/>
  <c r="G554" i="13"/>
  <c r="G540" i="13"/>
  <c r="G528" i="13"/>
  <c r="G520" i="13"/>
  <c r="G492" i="13"/>
  <c r="G490" i="13"/>
  <c r="G468" i="13"/>
  <c r="G466" i="13"/>
  <c r="G464" i="13"/>
  <c r="F500" i="13"/>
  <c r="G531" i="13"/>
  <c r="G519" i="13"/>
  <c r="G465" i="13"/>
  <c r="G449" i="13"/>
  <c r="F447" i="13"/>
  <c r="D318" i="13"/>
  <c r="D317" i="13"/>
  <c r="F449" i="13"/>
  <c r="F484" i="13"/>
  <c r="F476" i="13"/>
  <c r="F542" i="13"/>
  <c r="F518" i="13"/>
  <c r="F506" i="13"/>
  <c r="G549" i="13"/>
  <c r="F508" i="13"/>
  <c r="G473" i="13"/>
  <c r="G551" i="13"/>
  <c r="G529" i="13"/>
  <c r="L319" i="13"/>
  <c r="K318" i="13"/>
  <c r="J317" i="13"/>
  <c r="G459" i="13"/>
  <c r="E318" i="13"/>
  <c r="C317" i="13"/>
  <c r="F490" i="13"/>
  <c r="F475" i="13"/>
  <c r="I317" i="13"/>
  <c r="M318" i="13"/>
  <c r="E303" i="13"/>
  <c r="F522" i="13"/>
  <c r="F452" i="13"/>
  <c r="F498" i="13"/>
  <c r="I319" i="13"/>
  <c r="E301" i="13"/>
  <c r="B13" i="13"/>
  <c r="F485" i="13" s="1"/>
  <c r="B12" i="13"/>
  <c r="L318" i="13"/>
  <c r="H318" i="13"/>
  <c r="K317" i="13"/>
  <c r="G475" i="13"/>
  <c r="F115" i="13"/>
  <c r="E221" i="13"/>
  <c r="E266" i="13" s="1"/>
  <c r="O26" i="13"/>
  <c r="M225" i="13"/>
  <c r="M270" i="13" s="1"/>
  <c r="M255" i="13"/>
  <c r="M247" i="13"/>
  <c r="M258" i="13" s="1"/>
  <c r="M47" i="13"/>
  <c r="I251" i="13"/>
  <c r="D391" i="13" s="1"/>
  <c r="J78" i="1" s="1"/>
  <c r="J252" i="13"/>
  <c r="H62" i="13"/>
  <c r="H63" i="13"/>
  <c r="N61" i="13"/>
  <c r="I203" i="13"/>
  <c r="I233" i="13" s="1"/>
  <c r="G388" i="13" s="1"/>
  <c r="P75" i="1" s="1"/>
  <c r="M100" i="13"/>
  <c r="M205" i="13"/>
  <c r="G103" i="13"/>
  <c r="G208" i="13"/>
  <c r="G238" i="13" s="1"/>
  <c r="F104" i="13"/>
  <c r="F209" i="13"/>
  <c r="F210" i="13"/>
  <c r="F240" i="13" s="1"/>
  <c r="F211" i="13"/>
  <c r="F241" i="13" s="1"/>
  <c r="F106" i="13"/>
  <c r="K92" i="13"/>
  <c r="N85" i="13"/>
  <c r="O85" i="13"/>
  <c r="M236" i="13"/>
  <c r="J104" i="13"/>
  <c r="F103" i="13"/>
  <c r="F238" i="13" s="1"/>
  <c r="K105" i="13"/>
  <c r="G120" i="13"/>
  <c r="O158" i="13"/>
  <c r="B168" i="13"/>
  <c r="N158" i="13"/>
  <c r="M168" i="13"/>
  <c r="L197" i="13"/>
  <c r="H217" i="13"/>
  <c r="G226" i="13"/>
  <c r="H255" i="13"/>
  <c r="B84" i="13"/>
  <c r="B72" i="13"/>
  <c r="C33" i="3"/>
  <c r="K202" i="13"/>
  <c r="K78" i="13"/>
  <c r="K77" i="13"/>
  <c r="K319" i="13" s="1"/>
  <c r="B69" i="13"/>
  <c r="C21" i="3"/>
  <c r="O31" i="3"/>
  <c r="H226" i="13"/>
  <c r="H271" i="13" s="1"/>
  <c r="H121" i="13"/>
  <c r="B12" i="11"/>
  <c r="A10" i="12" s="1"/>
  <c r="J16" i="11"/>
  <c r="I114" i="13"/>
  <c r="I219" i="13"/>
  <c r="I264" i="13" s="1"/>
  <c r="E389" i="13" s="1"/>
  <c r="L76" i="1" s="1"/>
  <c r="J223" i="13"/>
  <c r="J118" i="13"/>
  <c r="B32" i="13"/>
  <c r="B317" i="13" s="1"/>
  <c r="H48" i="13"/>
  <c r="K233" i="13"/>
  <c r="C205" i="13"/>
  <c r="C235" i="13" s="1"/>
  <c r="C100" i="13"/>
  <c r="O70" i="13"/>
  <c r="I73" i="13"/>
  <c r="F393" i="13" s="1"/>
  <c r="N80" i="1" s="1"/>
  <c r="H210" i="13"/>
  <c r="H240" i="13" s="1"/>
  <c r="H105" i="13"/>
  <c r="M93" i="13"/>
  <c r="D115" i="13"/>
  <c r="D220" i="13"/>
  <c r="O86" i="13"/>
  <c r="L269" i="13"/>
  <c r="H106" i="13"/>
  <c r="H241" i="13" s="1"/>
  <c r="N148" i="13"/>
  <c r="N165" i="13"/>
  <c r="O166" i="13"/>
  <c r="N166" i="13"/>
  <c r="C197" i="13"/>
  <c r="O189" i="13"/>
  <c r="N191" i="13"/>
  <c r="F293" i="13"/>
  <c r="O37" i="3"/>
  <c r="K33" i="3"/>
  <c r="J72" i="13"/>
  <c r="E477" i="13"/>
  <c r="B10" i="11"/>
  <c r="J6" i="12" s="1"/>
  <c r="F252" i="13"/>
  <c r="F117" i="13"/>
  <c r="F222" i="13"/>
  <c r="F267" i="13" s="1"/>
  <c r="O37" i="13"/>
  <c r="B247" i="13"/>
  <c r="G239" i="13"/>
  <c r="C265" i="13"/>
  <c r="H5" i="3"/>
  <c r="O33" i="3"/>
  <c r="P31" i="3"/>
  <c r="N83" i="13"/>
  <c r="D116" i="13"/>
  <c r="N116" i="13" s="1"/>
  <c r="D101" i="13"/>
  <c r="O87" i="13"/>
  <c r="B117" i="13"/>
  <c r="O88" i="13"/>
  <c r="N88" i="13"/>
  <c r="K97" i="13"/>
  <c r="D100" i="13"/>
  <c r="D235" i="13" s="1"/>
  <c r="B118" i="13"/>
  <c r="O165" i="13"/>
  <c r="I167" i="13"/>
  <c r="N192" i="13"/>
  <c r="B208" i="13"/>
  <c r="K266" i="13"/>
  <c r="E23" i="13"/>
  <c r="E248" i="13" s="1"/>
  <c r="I12" i="11"/>
  <c r="L3" i="11"/>
  <c r="C224" i="13"/>
  <c r="C119" i="13"/>
  <c r="E445" i="13"/>
  <c r="O10" i="2"/>
  <c r="B3" i="11" s="1"/>
  <c r="A6" i="12" s="1"/>
  <c r="N37" i="13"/>
  <c r="H202" i="13"/>
  <c r="H97" i="13"/>
  <c r="I121" i="13"/>
  <c r="I226" i="13"/>
  <c r="I271" i="13" s="1"/>
  <c r="E396" i="13" s="1"/>
  <c r="L83" i="1" s="1"/>
  <c r="H222" i="13"/>
  <c r="H117" i="13"/>
  <c r="D32" i="13"/>
  <c r="L251" i="13"/>
  <c r="L98" i="13"/>
  <c r="L203" i="13"/>
  <c r="L233" i="13" s="1"/>
  <c r="D248" i="13"/>
  <c r="D48" i="13"/>
  <c r="C5" i="3"/>
  <c r="N39" i="13"/>
  <c r="N249" i="13" s="1"/>
  <c r="O249" i="13" s="1"/>
  <c r="L63" i="13"/>
  <c r="M98" i="13"/>
  <c r="M203" i="13"/>
  <c r="M233" i="13" s="1"/>
  <c r="H92" i="13"/>
  <c r="O161" i="13"/>
  <c r="O192" i="13"/>
  <c r="F219" i="13"/>
  <c r="F264" i="13" s="1"/>
  <c r="F114" i="13"/>
  <c r="E444" i="13"/>
  <c r="G444" i="13" s="1"/>
  <c r="H225" i="13"/>
  <c r="H120" i="13"/>
  <c r="C183" i="13"/>
  <c r="C182" i="13"/>
  <c r="K224" i="13"/>
  <c r="K119" i="13"/>
  <c r="O61" i="13"/>
  <c r="B206" i="13"/>
  <c r="B101" i="13"/>
  <c r="O71" i="13"/>
  <c r="N71" i="13"/>
  <c r="G211" i="13"/>
  <c r="G241" i="13" s="1"/>
  <c r="G106" i="13"/>
  <c r="I93" i="13"/>
  <c r="K296" i="13" s="1"/>
  <c r="I92" i="13"/>
  <c r="H397" i="13" s="1"/>
  <c r="R84" i="1" s="1"/>
  <c r="H68" i="13"/>
  <c r="P7" i="3"/>
  <c r="D19" i="3"/>
  <c r="J37" i="3"/>
  <c r="C218" i="13"/>
  <c r="C33" i="13"/>
  <c r="C32" i="13"/>
  <c r="C113" i="13"/>
  <c r="I48" i="13"/>
  <c r="K293" i="13" s="1"/>
  <c r="M78" i="13"/>
  <c r="M77" i="13"/>
  <c r="M319" i="13" s="1"/>
  <c r="M97" i="13"/>
  <c r="M202" i="13"/>
  <c r="I106" i="13"/>
  <c r="I202" i="13"/>
  <c r="I77" i="13"/>
  <c r="E295" i="13" s="1"/>
  <c r="I78" i="13"/>
  <c r="D218" i="13"/>
  <c r="D113" i="13"/>
  <c r="J248" i="13"/>
  <c r="M62" i="13"/>
  <c r="F237" i="13"/>
  <c r="I223" i="13"/>
  <c r="I268" i="13" s="1"/>
  <c r="E393" i="13" s="1"/>
  <c r="L80" i="1" s="1"/>
  <c r="I118" i="13"/>
  <c r="O44" i="2"/>
  <c r="B225" i="13"/>
  <c r="J67" i="13"/>
  <c r="J17" i="11"/>
  <c r="Q4" i="11"/>
  <c r="E5" i="3"/>
  <c r="D33" i="3"/>
  <c r="I4" i="11"/>
  <c r="B13" i="11"/>
  <c r="F23" i="13"/>
  <c r="O23" i="13" s="1"/>
  <c r="L219" i="13"/>
  <c r="L264" i="13" s="1"/>
  <c r="L249" i="13"/>
  <c r="K265" i="13"/>
  <c r="J222" i="13"/>
  <c r="J117" i="13"/>
  <c r="E30" i="13"/>
  <c r="E271" i="13"/>
  <c r="K32" i="13"/>
  <c r="F247" i="13"/>
  <c r="F48" i="13"/>
  <c r="F47" i="13"/>
  <c r="K248" i="13"/>
  <c r="M63" i="13"/>
  <c r="E102" i="13"/>
  <c r="E237" i="13" s="1"/>
  <c r="G104" i="13"/>
  <c r="K106" i="13"/>
  <c r="K112" i="13"/>
  <c r="L115" i="13"/>
  <c r="L122" i="13" s="1"/>
  <c r="F198" i="13"/>
  <c r="F197" i="13"/>
  <c r="H209" i="13"/>
  <c r="H239" i="13" s="1"/>
  <c r="C222" i="13"/>
  <c r="C267" i="13" s="1"/>
  <c r="D120" i="13"/>
  <c r="D225" i="13"/>
  <c r="M207" i="13"/>
  <c r="M102" i="13"/>
  <c r="O55" i="2"/>
  <c r="G115" i="13"/>
  <c r="G220" i="13"/>
  <c r="C48" i="13"/>
  <c r="H103" i="13"/>
  <c r="H208" i="13"/>
  <c r="B38" i="13"/>
  <c r="B48" i="13" s="1"/>
  <c r="O11" i="2"/>
  <c r="B4" i="11" s="1"/>
  <c r="D6" i="12" s="1"/>
  <c r="O22" i="13"/>
  <c r="K118" i="13"/>
  <c r="K223" i="13"/>
  <c r="K268" i="13" s="1"/>
  <c r="F249" i="13"/>
  <c r="D217" i="13"/>
  <c r="D33" i="13"/>
  <c r="D112" i="13"/>
  <c r="I221" i="13"/>
  <c r="I116" i="13"/>
  <c r="O116" i="13" s="1"/>
  <c r="D226" i="13"/>
  <c r="D271" i="13" s="1"/>
  <c r="D121" i="13"/>
  <c r="E247" i="13"/>
  <c r="E48" i="13"/>
  <c r="E47" i="13"/>
  <c r="M48" i="13"/>
  <c r="E100" i="13"/>
  <c r="D102" i="13"/>
  <c r="D237" i="13" s="1"/>
  <c r="I10" i="11"/>
  <c r="D114" i="13"/>
  <c r="D219" i="13"/>
  <c r="D264" i="13" s="1"/>
  <c r="O38" i="2"/>
  <c r="H249" i="13"/>
  <c r="C22" i="2"/>
  <c r="B29" i="13"/>
  <c r="C54" i="2"/>
  <c r="C120" i="13"/>
  <c r="C225" i="13"/>
  <c r="P3" i="3"/>
  <c r="F5" i="3"/>
  <c r="O7" i="3"/>
  <c r="I3" i="11"/>
  <c r="B9" i="11"/>
  <c r="B10" i="13"/>
  <c r="F112" i="13"/>
  <c r="G23" i="13"/>
  <c r="M219" i="13"/>
  <c r="M264" i="13" s="1"/>
  <c r="M114" i="13"/>
  <c r="L265" i="13"/>
  <c r="K117" i="13"/>
  <c r="K222" i="13"/>
  <c r="F226" i="13"/>
  <c r="F121" i="13"/>
  <c r="M32" i="13"/>
  <c r="M317" i="13" s="1"/>
  <c r="G48" i="13"/>
  <c r="N42" i="13"/>
  <c r="C252" i="13"/>
  <c r="K254" i="13"/>
  <c r="O46" i="13"/>
  <c r="O54" i="13"/>
  <c r="O62" i="13" s="1"/>
  <c r="H294" i="13" s="1"/>
  <c r="C63" i="13"/>
  <c r="B203" i="13"/>
  <c r="B98" i="13"/>
  <c r="L237" i="13"/>
  <c r="M208" i="13"/>
  <c r="M238" i="13" s="1"/>
  <c r="M103" i="13"/>
  <c r="L104" i="13"/>
  <c r="F102" i="13"/>
  <c r="H167" i="13"/>
  <c r="F301" i="13" s="1"/>
  <c r="H168" i="13"/>
  <c r="O172" i="13"/>
  <c r="L209" i="13"/>
  <c r="L239" i="13" s="1"/>
  <c r="E73" i="13"/>
  <c r="O35" i="3"/>
  <c r="E451" i="13"/>
  <c r="L262" i="13"/>
  <c r="C115" i="13"/>
  <c r="M221" i="13"/>
  <c r="M116" i="13"/>
  <c r="L222" i="13"/>
  <c r="L267" i="13" s="1"/>
  <c r="B250" i="13"/>
  <c r="N40" i="13"/>
  <c r="N250" i="13" s="1"/>
  <c r="O250" i="13" s="1"/>
  <c r="F254" i="13"/>
  <c r="B63" i="13"/>
  <c r="B62" i="13"/>
  <c r="N52" i="13"/>
  <c r="C62" i="13"/>
  <c r="F206" i="13"/>
  <c r="I209" i="13"/>
  <c r="I211" i="13"/>
  <c r="I241" i="13" s="1"/>
  <c r="G396" i="13" s="1"/>
  <c r="P83" i="1" s="1"/>
  <c r="M224" i="13"/>
  <c r="M269" i="13" s="1"/>
  <c r="M104" i="13"/>
  <c r="M112" i="13"/>
  <c r="J168" i="13"/>
  <c r="O180" i="13"/>
  <c r="G198" i="13"/>
  <c r="O196" i="13"/>
  <c r="B114" i="13"/>
  <c r="O24" i="13"/>
  <c r="B221" i="13"/>
  <c r="M222" i="13"/>
  <c r="M267" i="13" s="1"/>
  <c r="D224" i="13"/>
  <c r="D269" i="13" s="1"/>
  <c r="D119" i="13"/>
  <c r="B121" i="13"/>
  <c r="B226" i="13"/>
  <c r="N31" i="13"/>
  <c r="I247" i="13"/>
  <c r="O40" i="13"/>
  <c r="G254" i="13"/>
  <c r="I234" i="13"/>
  <c r="G389" i="13" s="1"/>
  <c r="P76" i="1" s="1"/>
  <c r="H235" i="13"/>
  <c r="G236" i="13"/>
  <c r="K208" i="13"/>
  <c r="K238" i="13" s="1"/>
  <c r="J210" i="13"/>
  <c r="J211" i="13"/>
  <c r="J241" i="13" s="1"/>
  <c r="F221" i="13"/>
  <c r="F116" i="13"/>
  <c r="N89" i="13"/>
  <c r="N91" i="13"/>
  <c r="I99" i="13"/>
  <c r="H182" i="13"/>
  <c r="F302" i="13" s="1"/>
  <c r="H198" i="13"/>
  <c r="H197" i="13"/>
  <c r="F303" i="13" s="1"/>
  <c r="I11" i="11"/>
  <c r="G249" i="13"/>
  <c r="J253" i="13"/>
  <c r="N45" i="13"/>
  <c r="B255" i="13"/>
  <c r="F67" i="13"/>
  <c r="G93" i="13"/>
  <c r="O29" i="3"/>
  <c r="E486" i="13"/>
  <c r="G486" i="13" s="1"/>
  <c r="N22" i="13"/>
  <c r="B218" i="13"/>
  <c r="B113" i="13"/>
  <c r="C221" i="13"/>
  <c r="C266" i="13" s="1"/>
  <c r="C116" i="13"/>
  <c r="E269" i="13"/>
  <c r="C121" i="13"/>
  <c r="C226" i="13"/>
  <c r="O31" i="13"/>
  <c r="J48" i="13"/>
  <c r="J47" i="13"/>
  <c r="J247" i="13"/>
  <c r="H254" i="13"/>
  <c r="N53" i="13"/>
  <c r="N54" i="13"/>
  <c r="E98" i="13"/>
  <c r="E203" i="13"/>
  <c r="J204" i="13"/>
  <c r="J99" i="13"/>
  <c r="H236" i="13"/>
  <c r="K207" i="13"/>
  <c r="K237" i="13" s="1"/>
  <c r="K210" i="13"/>
  <c r="G221" i="13"/>
  <c r="G116" i="13"/>
  <c r="O90" i="13"/>
  <c r="F101" i="13"/>
  <c r="E117" i="13"/>
  <c r="E267" i="13" s="1"/>
  <c r="M167" i="13"/>
  <c r="G328" i="13"/>
  <c r="G182" i="13"/>
  <c r="I198" i="13"/>
  <c r="I197" i="13"/>
  <c r="C167" i="13"/>
  <c r="O157" i="13"/>
  <c r="O167" i="13" s="1"/>
  <c r="H301" i="13" s="1"/>
  <c r="O159" i="13"/>
  <c r="N160" i="13"/>
  <c r="I182" i="13"/>
  <c r="E302" i="13" s="1"/>
  <c r="I183" i="13"/>
  <c r="K302" i="13" s="1"/>
  <c r="D167" i="13"/>
  <c r="N161" i="13"/>
  <c r="L182" i="13"/>
  <c r="L183" i="13"/>
  <c r="J198" i="13"/>
  <c r="N162" i="13"/>
  <c r="O163" i="13"/>
  <c r="N163" i="13"/>
  <c r="M182" i="13"/>
  <c r="M183" i="13"/>
  <c r="O195" i="13"/>
  <c r="C253" i="13"/>
  <c r="G217" i="13"/>
  <c r="G32" i="13"/>
  <c r="G317" i="13" s="1"/>
  <c r="G112" i="13"/>
  <c r="J265" i="13"/>
  <c r="H221" i="13"/>
  <c r="H266" i="13" s="1"/>
  <c r="H116" i="13"/>
  <c r="G117" i="13"/>
  <c r="G222" i="13"/>
  <c r="G267" i="13" s="1"/>
  <c r="H118" i="13"/>
  <c r="J224" i="13"/>
  <c r="J119" i="13"/>
  <c r="L32" i="13"/>
  <c r="L317" i="13" s="1"/>
  <c r="H252" i="13"/>
  <c r="B256" i="13"/>
  <c r="N46" i="13"/>
  <c r="N256" i="13" s="1"/>
  <c r="O256" i="13" s="1"/>
  <c r="L78" i="13"/>
  <c r="L77" i="13"/>
  <c r="L202" i="13"/>
  <c r="M101" i="13"/>
  <c r="D105" i="13"/>
  <c r="D210" i="13"/>
  <c r="D106" i="13"/>
  <c r="D241" i="13" s="1"/>
  <c r="J103" i="13"/>
  <c r="J238" i="13" s="1"/>
  <c r="F168" i="13"/>
  <c r="O162" i="13"/>
  <c r="B183" i="13"/>
  <c r="B182" i="13"/>
  <c r="N172" i="13"/>
  <c r="N189" i="13"/>
  <c r="H237" i="13"/>
  <c r="I33" i="3"/>
  <c r="E480" i="13"/>
  <c r="G480" i="13" s="1"/>
  <c r="E487" i="13"/>
  <c r="G487" i="13" s="1"/>
  <c r="J10" i="11"/>
  <c r="E217" i="13"/>
  <c r="E33" i="13"/>
  <c r="M265" i="13"/>
  <c r="I224" i="13"/>
  <c r="M250" i="13"/>
  <c r="K251" i="13"/>
  <c r="J254" i="13"/>
  <c r="G256" i="13"/>
  <c r="F63" i="13"/>
  <c r="C203" i="13"/>
  <c r="C233" i="13" s="1"/>
  <c r="B100" i="13"/>
  <c r="B205" i="13"/>
  <c r="N70" i="13"/>
  <c r="L101" i="13"/>
  <c r="L236" i="13" s="1"/>
  <c r="L208" i="13"/>
  <c r="J209" i="13"/>
  <c r="L102" i="13"/>
  <c r="L103" i="13"/>
  <c r="L105" i="13"/>
  <c r="L240" i="13" s="1"/>
  <c r="E121" i="13"/>
  <c r="N173" i="13"/>
  <c r="B329" i="13"/>
  <c r="O174" i="13"/>
  <c r="N174" i="13"/>
  <c r="K197" i="13"/>
  <c r="K198" i="13"/>
  <c r="N193" i="13"/>
  <c r="O194" i="13"/>
  <c r="N194" i="13"/>
  <c r="C198" i="13"/>
  <c r="J217" i="13"/>
  <c r="O173" i="13"/>
  <c r="O175" i="13"/>
  <c r="N175" i="13"/>
  <c r="O193" i="13"/>
  <c r="N195" i="13"/>
  <c r="L235" i="13"/>
  <c r="N176" i="13"/>
  <c r="M198" i="13"/>
  <c r="N196" i="13"/>
  <c r="E198" i="13"/>
  <c r="H112" i="13"/>
  <c r="N26" i="13"/>
  <c r="L223" i="13"/>
  <c r="L268" i="13" s="1"/>
  <c r="H32" i="13"/>
  <c r="H317" i="13" s="1"/>
  <c r="H33" i="13"/>
  <c r="G247" i="13"/>
  <c r="G47" i="13"/>
  <c r="G257" i="13" s="1"/>
  <c r="D250" i="13"/>
  <c r="D258" i="13" s="1"/>
  <c r="B251" i="13"/>
  <c r="N41" i="13"/>
  <c r="M252" i="13"/>
  <c r="I62" i="13"/>
  <c r="E294" i="13" s="1"/>
  <c r="F98" i="13"/>
  <c r="E205" i="13"/>
  <c r="C206" i="13"/>
  <c r="M209" i="13"/>
  <c r="L92" i="13"/>
  <c r="D168" i="13"/>
  <c r="O176" i="13"/>
  <c r="B197" i="13"/>
  <c r="O187" i="13"/>
  <c r="N187" i="13"/>
  <c r="M197" i="13"/>
  <c r="H247" i="13"/>
  <c r="H47" i="13"/>
  <c r="E250" i="13"/>
  <c r="C251" i="13"/>
  <c r="C258" i="13" s="1"/>
  <c r="O41" i="13"/>
  <c r="N57" i="13"/>
  <c r="F205" i="13"/>
  <c r="F235" i="13" s="1"/>
  <c r="D206" i="13"/>
  <c r="D236" i="13" s="1"/>
  <c r="B209" i="13"/>
  <c r="O74" i="13"/>
  <c r="N74" i="13"/>
  <c r="O89" i="13"/>
  <c r="M92" i="13"/>
  <c r="B104" i="13"/>
  <c r="E168" i="13"/>
  <c r="E167" i="13"/>
  <c r="N159" i="13"/>
  <c r="N177" i="13"/>
  <c r="N188" i="13"/>
  <c r="O188" i="13"/>
  <c r="D233" i="13"/>
  <c r="D239" i="13"/>
  <c r="F220" i="13"/>
  <c r="D221" i="13"/>
  <c r="B222" i="13"/>
  <c r="N27" i="13"/>
  <c r="L270" i="13"/>
  <c r="J226" i="13"/>
  <c r="J32" i="13"/>
  <c r="D251" i="13"/>
  <c r="B252" i="13"/>
  <c r="O42" i="13"/>
  <c r="L256" i="13"/>
  <c r="I63" i="13"/>
  <c r="G235" i="13"/>
  <c r="C208" i="13"/>
  <c r="M211" i="13"/>
  <c r="M241" i="13" s="1"/>
  <c r="M106" i="13"/>
  <c r="N90" i="13"/>
  <c r="C101" i="13"/>
  <c r="C103" i="13"/>
  <c r="J121" i="13"/>
  <c r="F167" i="13"/>
  <c r="B447" i="13"/>
  <c r="G168" i="13"/>
  <c r="G167" i="13"/>
  <c r="F203" i="13"/>
  <c r="F233" i="13" s="1"/>
  <c r="L218" i="13"/>
  <c r="L263" i="13" s="1"/>
  <c r="J219" i="13"/>
  <c r="J264" i="13" s="1"/>
  <c r="J225" i="13"/>
  <c r="K249" i="13"/>
  <c r="I256" i="13"/>
  <c r="N346" i="13" s="1"/>
  <c r="O346" i="13" s="1"/>
  <c r="C209" i="13"/>
  <c r="C239" i="13" s="1"/>
  <c r="D183" i="13"/>
  <c r="L198" i="13"/>
  <c r="J197" i="13"/>
  <c r="K219" i="13"/>
  <c r="K264" i="13" s="1"/>
  <c r="I220" i="13"/>
  <c r="I265" i="13" s="1"/>
  <c r="E390" i="13" s="1"/>
  <c r="L77" i="1" s="1"/>
  <c r="K225" i="13"/>
  <c r="K270" i="13" s="1"/>
  <c r="J250" i="13"/>
  <c r="L255" i="13"/>
  <c r="J256" i="13"/>
  <c r="B240" i="13"/>
  <c r="N210" i="13"/>
  <c r="N75" i="13"/>
  <c r="L168" i="13"/>
  <c r="E182" i="13"/>
  <c r="B167" i="13"/>
  <c r="N157" i="13"/>
  <c r="K183" i="13"/>
  <c r="B703" i="13"/>
  <c r="B573" i="13"/>
  <c r="F532" i="13" l="1"/>
  <c r="G489" i="13"/>
  <c r="G477" i="13"/>
  <c r="G516" i="13"/>
  <c r="F493" i="13"/>
  <c r="C356" i="13" s="1"/>
  <c r="F480" i="13"/>
  <c r="F468" i="13"/>
  <c r="G537" i="13"/>
  <c r="F552" i="13"/>
  <c r="G495" i="13"/>
  <c r="D358" i="13" s="1"/>
  <c r="G518" i="13"/>
  <c r="F495" i="13"/>
  <c r="C358" i="13" s="1"/>
  <c r="G485" i="13"/>
  <c r="G453" i="13"/>
  <c r="F512" i="13"/>
  <c r="G522" i="13"/>
  <c r="F521" i="13"/>
  <c r="G443" i="13"/>
  <c r="F457" i="13"/>
  <c r="G491" i="13"/>
  <c r="D354" i="13" s="1"/>
  <c r="F524" i="13"/>
  <c r="G524" i="13"/>
  <c r="F523" i="13"/>
  <c r="G517" i="13"/>
  <c r="F448" i="13"/>
  <c r="F458" i="13"/>
  <c r="F502" i="13"/>
  <c r="G470" i="13"/>
  <c r="F483" i="13"/>
  <c r="F543" i="13"/>
  <c r="F443" i="13"/>
  <c r="G455" i="13"/>
  <c r="F467" i="13"/>
  <c r="F514" i="13"/>
  <c r="G488" i="13"/>
  <c r="F510" i="13"/>
  <c r="F533" i="13"/>
  <c r="F507" i="13"/>
  <c r="F481" i="13"/>
  <c r="G538" i="13"/>
  <c r="G512" i="13"/>
  <c r="G484" i="13"/>
  <c r="G456" i="13"/>
  <c r="F470" i="13"/>
  <c r="F454" i="13"/>
  <c r="G545" i="13"/>
  <c r="F540" i="13"/>
  <c r="G523" i="13"/>
  <c r="F486" i="13"/>
  <c r="F471" i="13"/>
  <c r="G539" i="13"/>
  <c r="G461" i="13"/>
  <c r="G457" i="13"/>
  <c r="F557" i="13"/>
  <c r="F531" i="13"/>
  <c r="F505" i="13"/>
  <c r="F479" i="13"/>
  <c r="G536" i="13"/>
  <c r="G510" i="13"/>
  <c r="G482" i="13"/>
  <c r="G454" i="13"/>
  <c r="G463" i="13"/>
  <c r="F445" i="13"/>
  <c r="G533" i="13"/>
  <c r="F528" i="13"/>
  <c r="G511" i="13"/>
  <c r="G481" i="13"/>
  <c r="F464" i="13"/>
  <c r="G527" i="13"/>
  <c r="G541" i="13"/>
  <c r="F455" i="13"/>
  <c r="F546" i="13"/>
  <c r="F555" i="13"/>
  <c r="F529" i="13"/>
  <c r="F503" i="13"/>
  <c r="F477" i="13"/>
  <c r="G534" i="13"/>
  <c r="G508" i="13"/>
  <c r="G478" i="13"/>
  <c r="G452" i="13"/>
  <c r="G445" i="13"/>
  <c r="F550" i="13"/>
  <c r="G521" i="13"/>
  <c r="F516" i="13"/>
  <c r="G499" i="13"/>
  <c r="G471" i="13"/>
  <c r="F453" i="13"/>
  <c r="G515" i="13"/>
  <c r="G553" i="13"/>
  <c r="F553" i="13"/>
  <c r="F527" i="13"/>
  <c r="F501" i="13"/>
  <c r="G558" i="13"/>
  <c r="G532" i="13"/>
  <c r="G506" i="13"/>
  <c r="G476" i="13"/>
  <c r="G446" i="13"/>
  <c r="G555" i="13"/>
  <c r="F538" i="13"/>
  <c r="G509" i="13"/>
  <c r="F504" i="13"/>
  <c r="G469" i="13"/>
  <c r="F469" i="13"/>
  <c r="F446" i="13"/>
  <c r="G503" i="13"/>
  <c r="F534" i="13"/>
  <c r="F551" i="13"/>
  <c r="F525" i="13"/>
  <c r="F499" i="13"/>
  <c r="G556" i="13"/>
  <c r="G530" i="13"/>
  <c r="G504" i="13"/>
  <c r="G472" i="13"/>
  <c r="G442" i="13"/>
  <c r="G543" i="13"/>
  <c r="F526" i="13"/>
  <c r="G497" i="13"/>
  <c r="F494" i="13"/>
  <c r="C357" i="13" s="1"/>
  <c r="F460" i="13"/>
  <c r="F462" i="13"/>
  <c r="F556" i="13"/>
  <c r="F466" i="13"/>
  <c r="F544" i="13"/>
  <c r="F554" i="13"/>
  <c r="F456" i="13"/>
  <c r="F463" i="13"/>
  <c r="F536" i="13"/>
  <c r="G494" i="13"/>
  <c r="D357" i="13" s="1"/>
  <c r="G542" i="13"/>
  <c r="F497" i="13"/>
  <c r="F545" i="13"/>
  <c r="G483" i="13"/>
  <c r="F478" i="13"/>
  <c r="F444" i="13"/>
  <c r="F465" i="13"/>
  <c r="F472" i="13"/>
  <c r="F548" i="13"/>
  <c r="G496" i="13"/>
  <c r="D359" i="13" s="1"/>
  <c r="G544" i="13"/>
  <c r="F509" i="13"/>
  <c r="F547" i="13"/>
  <c r="F473" i="13"/>
  <c r="F496" i="13"/>
  <c r="C359" i="13" s="1"/>
  <c r="F451" i="13"/>
  <c r="G467" i="13"/>
  <c r="F482" i="13"/>
  <c r="G458" i="13"/>
  <c r="G498" i="13"/>
  <c r="G546" i="13"/>
  <c r="F511" i="13"/>
  <c r="F549" i="13"/>
  <c r="F488" i="13"/>
  <c r="G501" i="13"/>
  <c r="G535" i="13"/>
  <c r="F474" i="13"/>
  <c r="F492" i="13"/>
  <c r="C355" i="13" s="1"/>
  <c r="G460" i="13"/>
  <c r="G500" i="13"/>
  <c r="G548" i="13"/>
  <c r="F513" i="13"/>
  <c r="G505" i="13"/>
  <c r="F459" i="13"/>
  <c r="G493" i="13"/>
  <c r="D356" i="13" s="1"/>
  <c r="G513" i="13"/>
  <c r="G547" i="13"/>
  <c r="G479" i="13"/>
  <c r="G507" i="13"/>
  <c r="G462" i="13"/>
  <c r="G514" i="13"/>
  <c r="G552" i="13"/>
  <c r="F517" i="13"/>
  <c r="G448" i="13"/>
  <c r="F558" i="13"/>
  <c r="F450" i="13"/>
  <c r="F520" i="13"/>
  <c r="G525" i="13"/>
  <c r="F530" i="13"/>
  <c r="G451" i="13"/>
  <c r="F442" i="13"/>
  <c r="G557" i="13"/>
  <c r="G447" i="13"/>
  <c r="F461" i="13"/>
  <c r="G450" i="13"/>
  <c r="G474" i="13"/>
  <c r="G502" i="13"/>
  <c r="G526" i="13"/>
  <c r="G550" i="13"/>
  <c r="F491" i="13"/>
  <c r="C354" i="13" s="1"/>
  <c r="F515" i="13"/>
  <c r="F539" i="13"/>
  <c r="N8" i="1"/>
  <c r="E387" i="13"/>
  <c r="L74" i="1" s="1"/>
  <c r="B8" i="1"/>
  <c r="I294" i="13"/>
  <c r="J9" i="1" s="1"/>
  <c r="J8" i="1"/>
  <c r="J294" i="13"/>
  <c r="I302" i="13"/>
  <c r="J12" i="1"/>
  <c r="J13" i="1"/>
  <c r="B448" i="13"/>
  <c r="G147" i="13" s="1"/>
  <c r="K150" i="13"/>
  <c r="I149" i="13"/>
  <c r="B146" i="13"/>
  <c r="M144" i="13"/>
  <c r="H143" i="13"/>
  <c r="F149" i="13"/>
  <c r="C147" i="13"/>
  <c r="L144" i="13"/>
  <c r="L127" i="13"/>
  <c r="J151" i="13"/>
  <c r="H150" i="13"/>
  <c r="K131" i="13"/>
  <c r="K130" i="13"/>
  <c r="K129" i="13"/>
  <c r="I135" i="13"/>
  <c r="I395" i="13" s="1"/>
  <c r="T82" i="1" s="1"/>
  <c r="I134" i="13"/>
  <c r="I394" i="13" s="1"/>
  <c r="T81" i="1" s="1"/>
  <c r="I132" i="13"/>
  <c r="I392" i="13" s="1"/>
  <c r="T79" i="1" s="1"/>
  <c r="D144" i="13"/>
  <c r="I136" i="13"/>
  <c r="I396" i="13" s="1"/>
  <c r="T83" i="1" s="1"/>
  <c r="H135" i="13"/>
  <c r="B144" i="13"/>
  <c r="G136" i="13"/>
  <c r="D134" i="13"/>
  <c r="D131" i="13"/>
  <c r="B129" i="13"/>
  <c r="B127" i="13"/>
  <c r="E151" i="13"/>
  <c r="M147" i="13"/>
  <c r="E145" i="13"/>
  <c r="E132" i="13"/>
  <c r="E130" i="13"/>
  <c r="C128" i="13"/>
  <c r="L150" i="13"/>
  <c r="C144" i="13"/>
  <c r="H136" i="13"/>
  <c r="I142" i="13"/>
  <c r="B135" i="13"/>
  <c r="C131" i="13"/>
  <c r="B145" i="13"/>
  <c r="J132" i="13"/>
  <c r="K146" i="13"/>
  <c r="M122" i="13"/>
  <c r="M123" i="13"/>
  <c r="I301" i="13"/>
  <c r="D150" i="13"/>
  <c r="I266" i="13"/>
  <c r="E391" i="13" s="1"/>
  <c r="L78" i="1" s="1"/>
  <c r="N106" i="13"/>
  <c r="O106" i="13"/>
  <c r="D151" i="13"/>
  <c r="G258" i="13"/>
  <c r="N100" i="13"/>
  <c r="O100" i="13"/>
  <c r="D240" i="13"/>
  <c r="O182" i="13"/>
  <c r="H302" i="13" s="1"/>
  <c r="J302" i="13" s="1"/>
  <c r="B233" i="13"/>
  <c r="K267" i="13"/>
  <c r="D123" i="13"/>
  <c r="D122" i="13"/>
  <c r="H238" i="13"/>
  <c r="H270" i="13"/>
  <c r="D265" i="13"/>
  <c r="O84" i="13"/>
  <c r="N84" i="13"/>
  <c r="B219" i="13"/>
  <c r="M235" i="13"/>
  <c r="J120" i="13"/>
  <c r="J270" i="13" s="1"/>
  <c r="J105" i="13"/>
  <c r="O105" i="13" s="1"/>
  <c r="F268" i="13"/>
  <c r="B241" i="13"/>
  <c r="N211" i="13"/>
  <c r="N241" i="13" s="1"/>
  <c r="O241" i="13" s="1"/>
  <c r="O211" i="13"/>
  <c r="K257" i="13"/>
  <c r="B397" i="13"/>
  <c r="F84" i="1" s="1"/>
  <c r="G232" i="13"/>
  <c r="C269" i="13"/>
  <c r="G143" i="13"/>
  <c r="J258" i="13"/>
  <c r="O114" i="13"/>
  <c r="N114" i="13"/>
  <c r="G266" i="13"/>
  <c r="E346" i="13"/>
  <c r="D346" i="13"/>
  <c r="D343" i="13"/>
  <c r="D340" i="13"/>
  <c r="D337" i="13"/>
  <c r="D339" i="13"/>
  <c r="E341" i="13"/>
  <c r="D338" i="13"/>
  <c r="E337" i="13"/>
  <c r="E340" i="13"/>
  <c r="E343" i="13"/>
  <c r="E344" i="13"/>
  <c r="E342" i="13"/>
  <c r="E338" i="13"/>
  <c r="E345" i="13"/>
  <c r="D345" i="13"/>
  <c r="D342" i="13"/>
  <c r="D344" i="13"/>
  <c r="E339" i="13"/>
  <c r="D341" i="13"/>
  <c r="B265" i="13"/>
  <c r="O220" i="13"/>
  <c r="N220" i="13"/>
  <c r="J142" i="13"/>
  <c r="L132" i="13"/>
  <c r="F136" i="13"/>
  <c r="C145" i="13"/>
  <c r="O104" i="13"/>
  <c r="N104" i="13"/>
  <c r="H257" i="13"/>
  <c r="F305" i="13" s="1"/>
  <c r="C236" i="13"/>
  <c r="L213" i="13"/>
  <c r="L212" i="13"/>
  <c r="L232" i="13"/>
  <c r="K240" i="13"/>
  <c r="G92" i="13"/>
  <c r="M228" i="13"/>
  <c r="I239" i="13"/>
  <c r="G394" i="13" s="1"/>
  <c r="P81" i="1" s="1"/>
  <c r="M266" i="13"/>
  <c r="L123" i="13"/>
  <c r="C270" i="13"/>
  <c r="L107" i="13"/>
  <c r="G265" i="13"/>
  <c r="K123" i="13"/>
  <c r="K122" i="13"/>
  <c r="E120" i="13"/>
  <c r="O120" i="13" s="1"/>
  <c r="E225" i="13"/>
  <c r="E270" i="13" s="1"/>
  <c r="B238" i="13"/>
  <c r="J268" i="13"/>
  <c r="H262" i="13"/>
  <c r="F318" i="13"/>
  <c r="E296" i="13"/>
  <c r="K227" i="13"/>
  <c r="K272" i="13" s="1"/>
  <c r="K228" i="13"/>
  <c r="K262" i="13"/>
  <c r="K273" i="13" s="1"/>
  <c r="D268" i="13"/>
  <c r="H224" i="13"/>
  <c r="H228" i="13" s="1"/>
  <c r="H119" i="13"/>
  <c r="H123" i="13" s="1"/>
  <c r="D396" i="13"/>
  <c r="J83" i="1" s="1"/>
  <c r="J301" i="13"/>
  <c r="H263" i="13"/>
  <c r="O115" i="13"/>
  <c r="N115" i="13"/>
  <c r="G264" i="13"/>
  <c r="H145" i="13"/>
  <c r="N120" i="13"/>
  <c r="K132" i="13"/>
  <c r="B268" i="13"/>
  <c r="O223" i="13"/>
  <c r="E144" i="13"/>
  <c r="N167" i="13"/>
  <c r="G301" i="13" s="1"/>
  <c r="M146" i="13"/>
  <c r="H258" i="13"/>
  <c r="J262" i="13"/>
  <c r="J227" i="13"/>
  <c r="J77" i="13"/>
  <c r="J319" i="13" s="1"/>
  <c r="J202" i="13"/>
  <c r="J97" i="13"/>
  <c r="J78" i="13"/>
  <c r="H232" i="13"/>
  <c r="I227" i="13"/>
  <c r="N253" i="13"/>
  <c r="O253" i="13" s="1"/>
  <c r="E223" i="13"/>
  <c r="E118" i="13"/>
  <c r="E123" i="13" s="1"/>
  <c r="E255" i="13"/>
  <c r="E258" i="13" s="1"/>
  <c r="B704" i="13"/>
  <c r="H203" i="13"/>
  <c r="O203" i="13" s="1"/>
  <c r="H98" i="13"/>
  <c r="O98" i="13" s="1"/>
  <c r="N254" i="13"/>
  <c r="O254" i="13" s="1"/>
  <c r="H267" i="13"/>
  <c r="B102" i="13"/>
  <c r="O72" i="13"/>
  <c r="B207" i="13"/>
  <c r="N72" i="13"/>
  <c r="O205" i="13"/>
  <c r="B235" i="13"/>
  <c r="N205" i="13"/>
  <c r="B263" i="13"/>
  <c r="O221" i="13"/>
  <c r="B266" i="13"/>
  <c r="N221" i="13"/>
  <c r="N266" i="13" s="1"/>
  <c r="O266" i="13" s="1"/>
  <c r="M239" i="13"/>
  <c r="B149" i="13"/>
  <c r="C136" i="13"/>
  <c r="I143" i="13"/>
  <c r="N222" i="13"/>
  <c r="B267" i="13"/>
  <c r="O222" i="13"/>
  <c r="E235" i="13"/>
  <c r="I258" i="13"/>
  <c r="K305" i="13" s="1"/>
  <c r="M227" i="13"/>
  <c r="M272" i="13" s="1"/>
  <c r="O101" i="13"/>
  <c r="N101" i="13"/>
  <c r="N168" i="13"/>
  <c r="H144" i="13"/>
  <c r="F135" i="13"/>
  <c r="L143" i="13"/>
  <c r="K147" i="13"/>
  <c r="C238" i="13"/>
  <c r="D266" i="13"/>
  <c r="H122" i="13"/>
  <c r="F298" i="13" s="1"/>
  <c r="N182" i="13"/>
  <c r="G302" i="13" s="1"/>
  <c r="C271" i="13"/>
  <c r="L228" i="13"/>
  <c r="F236" i="13"/>
  <c r="L227" i="13"/>
  <c r="L272" i="13" s="1"/>
  <c r="G113" i="13"/>
  <c r="G122" i="13" s="1"/>
  <c r="G218" i="13"/>
  <c r="G263" i="13" s="1"/>
  <c r="G33" i="13"/>
  <c r="J267" i="13"/>
  <c r="O30" i="13"/>
  <c r="I232" i="13"/>
  <c r="I213" i="13"/>
  <c r="I212" i="13"/>
  <c r="C263" i="13"/>
  <c r="O206" i="13"/>
  <c r="N206" i="13"/>
  <c r="B236" i="13"/>
  <c r="L108" i="13"/>
  <c r="N247" i="13"/>
  <c r="O247" i="13" s="1"/>
  <c r="I208" i="13"/>
  <c r="I238" i="13" s="1"/>
  <c r="G393" i="13" s="1"/>
  <c r="P80" i="1" s="1"/>
  <c r="I103" i="13"/>
  <c r="I108" i="13" s="1"/>
  <c r="K297" i="13" s="1"/>
  <c r="C318" i="13"/>
  <c r="M234" i="13"/>
  <c r="C241" i="13"/>
  <c r="O39" i="13"/>
  <c r="O47" i="13" s="1"/>
  <c r="H293" i="13" s="1"/>
  <c r="F292" i="13"/>
  <c r="I292" i="13" s="1"/>
  <c r="B9" i="1" s="1"/>
  <c r="B202" i="13"/>
  <c r="B77" i="13"/>
  <c r="N67" i="13"/>
  <c r="O67" i="13"/>
  <c r="B78" i="13"/>
  <c r="B97" i="13"/>
  <c r="D389" i="13"/>
  <c r="J76" i="1" s="1"/>
  <c r="K234" i="13"/>
  <c r="J240" i="13"/>
  <c r="M108" i="13"/>
  <c r="M107" i="13"/>
  <c r="H128" i="13"/>
  <c r="K258" i="13"/>
  <c r="D130" i="13"/>
  <c r="O68" i="13"/>
  <c r="B204" i="13"/>
  <c r="B99" i="13"/>
  <c r="B150" i="13"/>
  <c r="G271" i="13"/>
  <c r="C92" i="13"/>
  <c r="C112" i="13"/>
  <c r="C93" i="13"/>
  <c r="C217" i="13"/>
  <c r="K144" i="13"/>
  <c r="C202" i="13"/>
  <c r="J207" i="13"/>
  <c r="J102" i="13"/>
  <c r="E149" i="13"/>
  <c r="K271" i="13"/>
  <c r="B147" i="13"/>
  <c r="F271" i="13"/>
  <c r="E135" i="13"/>
  <c r="J271" i="13"/>
  <c r="E218" i="13"/>
  <c r="E263" i="13" s="1"/>
  <c r="E113" i="13"/>
  <c r="E122" i="13" s="1"/>
  <c r="E32" i="13"/>
  <c r="E317" i="13" s="1"/>
  <c r="I127" i="13"/>
  <c r="G149" i="13"/>
  <c r="N197" i="13"/>
  <c r="G303" i="13" s="1"/>
  <c r="N183" i="13"/>
  <c r="N29" i="13"/>
  <c r="B224" i="13"/>
  <c r="B119" i="13"/>
  <c r="O29" i="13"/>
  <c r="E150" i="13"/>
  <c r="J239" i="13"/>
  <c r="I269" i="13"/>
  <c r="E394" i="13" s="1"/>
  <c r="L81" i="1" s="1"/>
  <c r="G318" i="13"/>
  <c r="E241" i="13"/>
  <c r="N105" i="13"/>
  <c r="N240" i="13" s="1"/>
  <c r="O240" i="13" s="1"/>
  <c r="E34" i="2"/>
  <c r="C34" i="2"/>
  <c r="C36" i="2" s="1"/>
  <c r="C69" i="2" s="1"/>
  <c r="D34" i="2"/>
  <c r="N337" i="13"/>
  <c r="O337" i="13" s="1"/>
  <c r="I47" i="13"/>
  <c r="I144" i="13"/>
  <c r="E208" i="13"/>
  <c r="E238" i="13" s="1"/>
  <c r="N73" i="13"/>
  <c r="E103" i="13"/>
  <c r="F218" i="13"/>
  <c r="F228" i="13" s="1"/>
  <c r="F113" i="13"/>
  <c r="O113" i="13" s="1"/>
  <c r="O210" i="13"/>
  <c r="J127" i="13"/>
  <c r="E228" i="13"/>
  <c r="E262" i="13"/>
  <c r="N38" i="13"/>
  <c r="N248" i="13" s="1"/>
  <c r="O248" i="13" s="1"/>
  <c r="B248" i="13"/>
  <c r="B258" i="13" s="1"/>
  <c r="O38" i="13"/>
  <c r="B47" i="13"/>
  <c r="K107" i="13"/>
  <c r="K108" i="13"/>
  <c r="B217" i="13"/>
  <c r="N82" i="13"/>
  <c r="B112" i="13"/>
  <c r="O82" i="13"/>
  <c r="B92" i="13"/>
  <c r="B93" i="13"/>
  <c r="G146" i="13"/>
  <c r="J269" i="13"/>
  <c r="G10" i="12"/>
  <c r="C149" i="13"/>
  <c r="O117" i="13"/>
  <c r="N117" i="13"/>
  <c r="N33" i="13"/>
  <c r="I303" i="13"/>
  <c r="D202" i="13"/>
  <c r="D97" i="13"/>
  <c r="B131" i="13"/>
  <c r="O73" i="13"/>
  <c r="J257" i="13"/>
  <c r="M262" i="13"/>
  <c r="M273" i="13" s="1"/>
  <c r="D227" i="13"/>
  <c r="D272" i="13" s="1"/>
  <c r="D262" i="13"/>
  <c r="D273" i="13" s="1"/>
  <c r="D228" i="13"/>
  <c r="D263" i="13"/>
  <c r="I228" i="13"/>
  <c r="E202" i="13"/>
  <c r="E97" i="13"/>
  <c r="H134" i="13"/>
  <c r="M142" i="13"/>
  <c r="G145" i="13"/>
  <c r="D136" i="13"/>
  <c r="F265" i="13"/>
  <c r="F202" i="13"/>
  <c r="F97" i="13"/>
  <c r="N226" i="13"/>
  <c r="B271" i="13"/>
  <c r="O226" i="13"/>
  <c r="L273" i="13"/>
  <c r="F33" i="13"/>
  <c r="N225" i="13"/>
  <c r="N270" i="13" s="1"/>
  <c r="O270" i="13" s="1"/>
  <c r="B270" i="13"/>
  <c r="O225" i="13"/>
  <c r="J218" i="13"/>
  <c r="J228" i="13" s="1"/>
  <c r="J113" i="13"/>
  <c r="J123" i="13" s="1"/>
  <c r="L257" i="13"/>
  <c r="I123" i="13"/>
  <c r="K298" i="13" s="1"/>
  <c r="I122" i="13"/>
  <c r="E298" i="13" s="1"/>
  <c r="J345" i="13"/>
  <c r="J342" i="13"/>
  <c r="J339" i="13"/>
  <c r="K342" i="13"/>
  <c r="K344" i="13"/>
  <c r="J340" i="13"/>
  <c r="J341" i="13"/>
  <c r="K338" i="13"/>
  <c r="K345" i="13"/>
  <c r="J338" i="13"/>
  <c r="K346" i="13"/>
  <c r="J344" i="13"/>
  <c r="K340" i="13"/>
  <c r="J346" i="13"/>
  <c r="K337" i="13"/>
  <c r="J337" i="13"/>
  <c r="K339" i="13"/>
  <c r="K343" i="13"/>
  <c r="J343" i="13"/>
  <c r="K341" i="13"/>
  <c r="D387" i="13"/>
  <c r="J74" i="1" s="1"/>
  <c r="B574" i="13"/>
  <c r="G128" i="13"/>
  <c r="F146" i="13"/>
  <c r="K142" i="13"/>
  <c r="J145" i="13"/>
  <c r="O197" i="13"/>
  <c r="H303" i="13" s="1"/>
  <c r="J303" i="13" s="1"/>
  <c r="B8" i="13"/>
  <c r="J234" i="13"/>
  <c r="F266" i="13"/>
  <c r="O121" i="13"/>
  <c r="N121" i="13"/>
  <c r="N62" i="13"/>
  <c r="G294" i="13" s="1"/>
  <c r="N252" i="13"/>
  <c r="O252" i="13" s="1"/>
  <c r="M237" i="13"/>
  <c r="O91" i="13"/>
  <c r="J4" i="11"/>
  <c r="C69" i="13"/>
  <c r="E19" i="3"/>
  <c r="D21" i="3"/>
  <c r="F248" i="13"/>
  <c r="F258" i="13" s="1"/>
  <c r="B143" i="13"/>
  <c r="E129" i="13"/>
  <c r="E147" i="13"/>
  <c r="J143" i="13"/>
  <c r="I146" i="13"/>
  <c r="C151" i="13"/>
  <c r="O209" i="13"/>
  <c r="B239" i="13"/>
  <c r="N209" i="13"/>
  <c r="N239" i="13" s="1"/>
  <c r="O239" i="13" s="1"/>
  <c r="N198" i="13"/>
  <c r="N251" i="13"/>
  <c r="O251" i="13" s="1"/>
  <c r="L238" i="13"/>
  <c r="G262" i="13"/>
  <c r="E233" i="13"/>
  <c r="N255" i="13"/>
  <c r="O255" i="13" s="1"/>
  <c r="N63" i="13"/>
  <c r="F32" i="13"/>
  <c r="F317" i="13" s="1"/>
  <c r="O32" i="13"/>
  <c r="H292" i="13" s="1"/>
  <c r="J292" i="13" s="1"/>
  <c r="D270" i="13"/>
  <c r="M213" i="13"/>
  <c r="M212" i="13"/>
  <c r="M242" i="13" s="1"/>
  <c r="M320" i="13" s="1"/>
  <c r="M232" i="13"/>
  <c r="M243" i="13" s="1"/>
  <c r="K269" i="13"/>
  <c r="O118" i="13"/>
  <c r="N118" i="13"/>
  <c r="K213" i="13"/>
  <c r="K232" i="13"/>
  <c r="K212" i="13"/>
  <c r="F239" i="13"/>
  <c r="M257" i="13"/>
  <c r="J318" i="13"/>
  <c r="F262" i="13"/>
  <c r="F227" i="13"/>
  <c r="E240" i="13"/>
  <c r="L258" i="13"/>
  <c r="O103" i="13"/>
  <c r="N103" i="13"/>
  <c r="G270" i="13"/>
  <c r="N23" i="13"/>
  <c r="N32" i="13" s="1"/>
  <c r="G292" i="13" s="1"/>
  <c r="N68" i="13"/>
  <c r="F270" i="13"/>
  <c r="J87" i="1" l="1"/>
  <c r="L87" i="1"/>
  <c r="O112" i="13"/>
  <c r="N112" i="13"/>
  <c r="B123" i="13"/>
  <c r="B122" i="13"/>
  <c r="J237" i="13"/>
  <c r="E227" i="13"/>
  <c r="E272" i="13" s="1"/>
  <c r="I257" i="13"/>
  <c r="C397" i="13"/>
  <c r="H84" i="1" s="1"/>
  <c r="E293" i="13"/>
  <c r="I318" i="13"/>
  <c r="C232" i="13"/>
  <c r="C212" i="13"/>
  <c r="C213" i="13"/>
  <c r="E268" i="13"/>
  <c r="J273" i="13"/>
  <c r="N203" i="13"/>
  <c r="G134" i="13"/>
  <c r="E134" i="13"/>
  <c r="J135" i="13"/>
  <c r="N135" i="13" s="1"/>
  <c r="G131" i="13"/>
  <c r="D145" i="13"/>
  <c r="O145" i="13" s="1"/>
  <c r="G132" i="13"/>
  <c r="E146" i="13"/>
  <c r="F127" i="13"/>
  <c r="C150" i="13"/>
  <c r="C143" i="13"/>
  <c r="K135" i="13"/>
  <c r="L130" i="13"/>
  <c r="M127" i="13"/>
  <c r="J150" i="13"/>
  <c r="I107" i="13"/>
  <c r="E297" i="13" s="1"/>
  <c r="B130" i="13"/>
  <c r="D143" i="13"/>
  <c r="E136" i="13"/>
  <c r="L147" i="13"/>
  <c r="G135" i="13"/>
  <c r="K149" i="13"/>
  <c r="F128" i="13"/>
  <c r="G151" i="13"/>
  <c r="F144" i="13"/>
  <c r="L136" i="13"/>
  <c r="L131" i="13"/>
  <c r="M128" i="13"/>
  <c r="L151" i="13"/>
  <c r="E308" i="13"/>
  <c r="F308" i="13"/>
  <c r="B7" i="13"/>
  <c r="E232" i="13"/>
  <c r="C122" i="13"/>
  <c r="C123" i="13"/>
  <c r="O92" i="13"/>
  <c r="H296" i="13" s="1"/>
  <c r="J296" i="13" s="1"/>
  <c r="O102" i="13"/>
  <c r="N102" i="13"/>
  <c r="F273" i="13"/>
  <c r="B262" i="13"/>
  <c r="B227" i="13"/>
  <c r="B228" i="13"/>
  <c r="O217" i="13"/>
  <c r="N217" i="13"/>
  <c r="I243" i="13"/>
  <c r="K304" i="13" s="1"/>
  <c r="G387" i="13"/>
  <c r="P74" i="1" s="1"/>
  <c r="G123" i="13"/>
  <c r="B234" i="13"/>
  <c r="T338" i="13"/>
  <c r="U338" i="13" s="1"/>
  <c r="J388" i="13"/>
  <c r="V75" i="1" s="1"/>
  <c r="O218" i="13"/>
  <c r="H233" i="13"/>
  <c r="I272" i="13"/>
  <c r="L243" i="13"/>
  <c r="O219" i="13"/>
  <c r="N219" i="13"/>
  <c r="N264" i="13" s="1"/>
  <c r="O264" i="13" s="1"/>
  <c r="B264" i="13"/>
  <c r="M131" i="13"/>
  <c r="J134" i="13"/>
  <c r="C127" i="13"/>
  <c r="J128" i="13"/>
  <c r="B151" i="13"/>
  <c r="F145" i="13"/>
  <c r="H146" i="13"/>
  <c r="H129" i="13"/>
  <c r="G127" i="13"/>
  <c r="K145" i="13"/>
  <c r="K153" i="13" s="1"/>
  <c r="D142" i="13"/>
  <c r="L134" i="13"/>
  <c r="M129" i="13"/>
  <c r="B132" i="13"/>
  <c r="D132" i="13"/>
  <c r="C142" i="13"/>
  <c r="G150" i="13"/>
  <c r="O150" i="13" s="1"/>
  <c r="C132" i="13"/>
  <c r="D128" i="13"/>
  <c r="F151" i="13"/>
  <c r="L149" i="13"/>
  <c r="H130" i="13"/>
  <c r="I128" i="13"/>
  <c r="I388" i="13" s="1"/>
  <c r="T75" i="1" s="1"/>
  <c r="F150" i="13"/>
  <c r="E143" i="13"/>
  <c r="L135" i="13"/>
  <c r="M130" i="13"/>
  <c r="G142" i="13"/>
  <c r="F123" i="13"/>
  <c r="J389" i="13"/>
  <c r="V76" i="1" s="1"/>
  <c r="T339" i="13"/>
  <c r="U339" i="13" s="1"/>
  <c r="N267" i="13"/>
  <c r="O267" i="13" s="1"/>
  <c r="N218" i="13"/>
  <c r="I296" i="13"/>
  <c r="I298" i="13"/>
  <c r="N271" i="13"/>
  <c r="O271" i="13" s="1"/>
  <c r="N131" i="13"/>
  <c r="O131" i="13"/>
  <c r="O119" i="13"/>
  <c r="N119" i="13"/>
  <c r="O97" i="13"/>
  <c r="N97" i="13"/>
  <c r="B108" i="13"/>
  <c r="B107" i="13"/>
  <c r="H227" i="13"/>
  <c r="H272" i="13" s="1"/>
  <c r="F306" i="13" s="1"/>
  <c r="L242" i="13"/>
  <c r="L320" i="13" s="1"/>
  <c r="K242" i="13"/>
  <c r="K320" i="13" s="1"/>
  <c r="B257" i="13"/>
  <c r="N258" i="13" s="1"/>
  <c r="N48" i="13"/>
  <c r="B318" i="13"/>
  <c r="J122" i="13"/>
  <c r="J272" i="13" s="1"/>
  <c r="N224" i="13"/>
  <c r="N269" i="13" s="1"/>
  <c r="O269" i="13" s="1"/>
  <c r="O224" i="13"/>
  <c r="B269" i="13"/>
  <c r="C262" i="13"/>
  <c r="C273" i="13" s="1"/>
  <c r="C228" i="13"/>
  <c r="C227" i="13"/>
  <c r="C272" i="13" s="1"/>
  <c r="N47" i="13"/>
  <c r="E257" i="13"/>
  <c r="N235" i="13"/>
  <c r="O235" i="13" s="1"/>
  <c r="N265" i="13"/>
  <c r="O265" i="13" s="1"/>
  <c r="C129" i="13"/>
  <c r="N129" i="13" s="1"/>
  <c r="I147" i="13"/>
  <c r="H142" i="13"/>
  <c r="K136" i="13"/>
  <c r="F130" i="13"/>
  <c r="M143" i="13"/>
  <c r="M153" i="13" s="1"/>
  <c r="D127" i="13"/>
  <c r="H131" i="13"/>
  <c r="I129" i="13"/>
  <c r="I389" i="13" s="1"/>
  <c r="T76" i="1" s="1"/>
  <c r="H151" i="13"/>
  <c r="J144" i="13"/>
  <c r="N144" i="13" s="1"/>
  <c r="M136" i="13"/>
  <c r="M134" i="13"/>
  <c r="K143" i="13"/>
  <c r="C99" i="13"/>
  <c r="C204" i="13"/>
  <c r="C78" i="13"/>
  <c r="C77" i="13"/>
  <c r="C319" i="13" s="1"/>
  <c r="G227" i="13"/>
  <c r="G272" i="13" s="1"/>
  <c r="G273" i="13"/>
  <c r="F122" i="13"/>
  <c r="F272" i="13" s="1"/>
  <c r="E273" i="13"/>
  <c r="O208" i="13"/>
  <c r="P344" i="13"/>
  <c r="P341" i="13"/>
  <c r="P338" i="13"/>
  <c r="Q345" i="13"/>
  <c r="P343" i="13"/>
  <c r="P339" i="13"/>
  <c r="P337" i="13"/>
  <c r="P342" i="13"/>
  <c r="Q343" i="13"/>
  <c r="Q337" i="13"/>
  <c r="Q339" i="13"/>
  <c r="Q346" i="13"/>
  <c r="Q340" i="13"/>
  <c r="Q344" i="13"/>
  <c r="P340" i="13"/>
  <c r="Q338" i="13"/>
  <c r="P345" i="13"/>
  <c r="Q342" i="13"/>
  <c r="Q341" i="13"/>
  <c r="P346" i="13"/>
  <c r="K243" i="13"/>
  <c r="J391" i="13"/>
  <c r="V78" i="1" s="1"/>
  <c r="T341" i="13"/>
  <c r="U341" i="13" s="1"/>
  <c r="D69" i="13"/>
  <c r="E21" i="3"/>
  <c r="F19" i="3"/>
  <c r="K4" i="11"/>
  <c r="J11" i="11"/>
  <c r="B575" i="13"/>
  <c r="F232" i="13"/>
  <c r="N223" i="13"/>
  <c r="N268" i="13" s="1"/>
  <c r="O268" i="13" s="1"/>
  <c r="H273" i="13"/>
  <c r="J129" i="13"/>
  <c r="J137" i="13" s="1"/>
  <c r="J321" i="13" s="1"/>
  <c r="J130" i="13"/>
  <c r="B128" i="13"/>
  <c r="G144" i="13"/>
  <c r="F132" i="13"/>
  <c r="D146" i="13"/>
  <c r="D129" i="13"/>
  <c r="H132" i="13"/>
  <c r="I130" i="13"/>
  <c r="I390" i="13" s="1"/>
  <c r="T77" i="1" s="1"/>
  <c r="K127" i="13"/>
  <c r="M145" i="13"/>
  <c r="E142" i="13"/>
  <c r="M135" i="13"/>
  <c r="C146" i="13"/>
  <c r="N146" i="13" s="1"/>
  <c r="C134" i="13"/>
  <c r="E127" i="13"/>
  <c r="J131" i="13"/>
  <c r="M150" i="13"/>
  <c r="D135" i="13"/>
  <c r="J149" i="13"/>
  <c r="F131" i="13"/>
  <c r="F134" i="13"/>
  <c r="I131" i="13"/>
  <c r="I391" i="13" s="1"/>
  <c r="T78" i="1" s="1"/>
  <c r="K128" i="13"/>
  <c r="D149" i="13"/>
  <c r="N149" i="13" s="1"/>
  <c r="F143" i="13"/>
  <c r="O143" i="13" s="1"/>
  <c r="F142" i="13"/>
  <c r="J263" i="13"/>
  <c r="F263" i="13"/>
  <c r="B319" i="13"/>
  <c r="J108" i="13"/>
  <c r="J107" i="13"/>
  <c r="B138" i="13"/>
  <c r="B137" i="13"/>
  <c r="T343" i="13"/>
  <c r="U343" i="13" s="1"/>
  <c r="J394" i="13"/>
  <c r="V81" i="1" s="1"/>
  <c r="I273" i="13"/>
  <c r="K306" i="13" s="1"/>
  <c r="D232" i="13"/>
  <c r="N113" i="13"/>
  <c r="O202" i="13"/>
  <c r="B213" i="13"/>
  <c r="N202" i="13"/>
  <c r="B212" i="13"/>
  <c r="B232" i="13"/>
  <c r="N236" i="13"/>
  <c r="O236" i="13" s="1"/>
  <c r="N98" i="13"/>
  <c r="B237" i="13"/>
  <c r="O207" i="13"/>
  <c r="N207" i="13"/>
  <c r="N237" i="13" s="1"/>
  <c r="O237" i="13" s="1"/>
  <c r="J232" i="13"/>
  <c r="J213" i="13"/>
  <c r="J212" i="13"/>
  <c r="J242" i="13" s="1"/>
  <c r="J320" i="13" s="1"/>
  <c r="H269" i="13"/>
  <c r="G228" i="13"/>
  <c r="N93" i="13"/>
  <c r="N92" i="13"/>
  <c r="G296" i="13" s="1"/>
  <c r="I138" i="13"/>
  <c r="K299" i="13" s="1"/>
  <c r="I137" i="13"/>
  <c r="I387" i="13"/>
  <c r="T74" i="1" s="1"/>
  <c r="B705" i="13"/>
  <c r="N208" i="13"/>
  <c r="N238" i="13" s="1"/>
  <c r="O238" i="13" s="1"/>
  <c r="I153" i="13"/>
  <c r="K300" i="13" s="1"/>
  <c r="T337" i="13"/>
  <c r="U337" i="13" s="1"/>
  <c r="J387" i="13"/>
  <c r="V74" i="1" s="1"/>
  <c r="D360" i="13"/>
  <c r="M151" i="13"/>
  <c r="C130" i="13"/>
  <c r="C360" i="13"/>
  <c r="H147" i="13"/>
  <c r="F147" i="13"/>
  <c r="G129" i="13"/>
  <c r="H127" i="13"/>
  <c r="I151" i="13"/>
  <c r="C135" i="13"/>
  <c r="E128" i="13"/>
  <c r="B134" i="13"/>
  <c r="J146" i="13"/>
  <c r="I145" i="13"/>
  <c r="I152" i="13" s="1"/>
  <c r="J136" i="13"/>
  <c r="M132" i="13"/>
  <c r="L128" i="13"/>
  <c r="L138" i="13" s="1"/>
  <c r="I150" i="13"/>
  <c r="D147" i="13"/>
  <c r="O147" i="13" s="1"/>
  <c r="F129" i="13"/>
  <c r="F257" i="13"/>
  <c r="L145" i="13"/>
  <c r="E131" i="13"/>
  <c r="J147" i="13"/>
  <c r="L142" i="13"/>
  <c r="G130" i="13"/>
  <c r="B136" i="13"/>
  <c r="M149" i="13"/>
  <c r="M152" i="13" s="1"/>
  <c r="M322" i="13" s="1"/>
  <c r="L146" i="13"/>
  <c r="B142" i="13"/>
  <c r="K134" i="13"/>
  <c r="L129" i="13"/>
  <c r="K151" i="13"/>
  <c r="H149" i="13"/>
  <c r="J397" i="13" l="1"/>
  <c r="V84" i="1" s="1"/>
  <c r="E300" i="13"/>
  <c r="I322" i="13"/>
  <c r="B321" i="13"/>
  <c r="N145" i="13"/>
  <c r="K152" i="13"/>
  <c r="K322" i="13" s="1"/>
  <c r="B576" i="13"/>
  <c r="C152" i="13"/>
  <c r="C322" i="13" s="1"/>
  <c r="C153" i="13"/>
  <c r="D137" i="13"/>
  <c r="D321" i="13" s="1"/>
  <c r="D138" i="13"/>
  <c r="N257" i="13"/>
  <c r="G293" i="13"/>
  <c r="O227" i="13"/>
  <c r="M137" i="13"/>
  <c r="M321" i="13" s="1"/>
  <c r="M138" i="13"/>
  <c r="G138" i="13"/>
  <c r="G137" i="13"/>
  <c r="G321" i="13" s="1"/>
  <c r="J92" i="1"/>
  <c r="L92" i="1"/>
  <c r="O136" i="13"/>
  <c r="N136" i="13"/>
  <c r="J91" i="1"/>
  <c r="L91" i="1"/>
  <c r="O130" i="13"/>
  <c r="N130" i="13"/>
  <c r="G152" i="13"/>
  <c r="G322" i="13" s="1"/>
  <c r="G153" i="13"/>
  <c r="O151" i="13"/>
  <c r="N151" i="13"/>
  <c r="E397" i="13"/>
  <c r="L84" i="1" s="1"/>
  <c r="E306" i="13"/>
  <c r="N262" i="13"/>
  <c r="O262" i="13" s="1"/>
  <c r="N227" i="13"/>
  <c r="C243" i="13"/>
  <c r="O122" i="13"/>
  <c r="H298" i="13" s="1"/>
  <c r="J298" i="13" s="1"/>
  <c r="O146" i="13"/>
  <c r="N147" i="13"/>
  <c r="O149" i="13"/>
  <c r="O129" i="13"/>
  <c r="C137" i="13"/>
  <c r="C321" i="13" s="1"/>
  <c r="C138" i="13"/>
  <c r="N233" i="13"/>
  <c r="O233" i="13" s="1"/>
  <c r="I293" i="13"/>
  <c r="F8" i="1"/>
  <c r="J293" i="13"/>
  <c r="I397" i="13"/>
  <c r="T84" i="1" s="1"/>
  <c r="E299" i="13"/>
  <c r="I321" i="13"/>
  <c r="L153" i="13"/>
  <c r="L152" i="13"/>
  <c r="L322" i="13" s="1"/>
  <c r="T345" i="13"/>
  <c r="U345" i="13" s="1"/>
  <c r="J396" i="13"/>
  <c r="V83" i="1" s="1"/>
  <c r="L137" i="13"/>
  <c r="L321" i="13" s="1"/>
  <c r="B706" i="13"/>
  <c r="B243" i="13"/>
  <c r="N263" i="13"/>
  <c r="O263" i="13" s="1"/>
  <c r="O132" i="13"/>
  <c r="N132" i="13"/>
  <c r="B272" i="13"/>
  <c r="N273" i="13" s="1"/>
  <c r="N228" i="13"/>
  <c r="N143" i="13"/>
  <c r="J243" i="13"/>
  <c r="K138" i="13"/>
  <c r="K137" i="13"/>
  <c r="K321" i="13" s="1"/>
  <c r="N134" i="13"/>
  <c r="O134" i="13"/>
  <c r="H137" i="13"/>
  <c r="H138" i="13"/>
  <c r="N150" i="13"/>
  <c r="O135" i="13"/>
  <c r="B242" i="13"/>
  <c r="G19" i="3"/>
  <c r="E69" i="13"/>
  <c r="F21" i="3"/>
  <c r="J12" i="11"/>
  <c r="L4" i="11"/>
  <c r="C234" i="13"/>
  <c r="B273" i="13"/>
  <c r="J153" i="13"/>
  <c r="E305" i="13"/>
  <c r="D397" i="13"/>
  <c r="J84" i="1" s="1"/>
  <c r="B2" i="1"/>
  <c r="N123" i="13"/>
  <c r="N122" i="13"/>
  <c r="G298" i="13" s="1"/>
  <c r="O144" i="13"/>
  <c r="N232" i="13"/>
  <c r="O232" i="13" s="1"/>
  <c r="O127" i="13"/>
  <c r="E138" i="13"/>
  <c r="E137" i="13"/>
  <c r="E321" i="13" s="1"/>
  <c r="C108" i="13"/>
  <c r="C107" i="13"/>
  <c r="H153" i="13"/>
  <c r="H152" i="13"/>
  <c r="J138" i="13"/>
  <c r="I242" i="13"/>
  <c r="J152" i="13"/>
  <c r="J322" i="13" s="1"/>
  <c r="E153" i="13"/>
  <c r="E152" i="13"/>
  <c r="E322" i="13" s="1"/>
  <c r="T340" i="13"/>
  <c r="U340" i="13" s="1"/>
  <c r="J390" i="13"/>
  <c r="V77" i="1" s="1"/>
  <c r="B153" i="13"/>
  <c r="B152" i="13"/>
  <c r="O142" i="13"/>
  <c r="N142" i="13"/>
  <c r="T344" i="13"/>
  <c r="U344" i="13" s="1"/>
  <c r="J395" i="13"/>
  <c r="V82" i="1" s="1"/>
  <c r="N127" i="13"/>
  <c r="F152" i="13"/>
  <c r="F322" i="13" s="1"/>
  <c r="F153" i="13"/>
  <c r="N128" i="13"/>
  <c r="O128" i="13"/>
  <c r="D204" i="13"/>
  <c r="D99" i="13"/>
  <c r="D78" i="13"/>
  <c r="D77" i="13"/>
  <c r="T342" i="13"/>
  <c r="U342" i="13" s="1"/>
  <c r="J392" i="13"/>
  <c r="V79" i="1" s="1"/>
  <c r="D153" i="13"/>
  <c r="D152" i="13"/>
  <c r="D322" i="13" s="1"/>
  <c r="F138" i="13"/>
  <c r="F137" i="13"/>
  <c r="F321" i="13" s="1"/>
  <c r="V343" i="13" l="1"/>
  <c r="W341" i="13"/>
  <c r="F9" i="1"/>
  <c r="B320" i="13"/>
  <c r="C242" i="13"/>
  <c r="C320" i="13" s="1"/>
  <c r="W338" i="13"/>
  <c r="I306" i="13"/>
  <c r="V8" i="1"/>
  <c r="O257" i="13"/>
  <c r="H305" i="13" s="1"/>
  <c r="G305" i="13"/>
  <c r="V345" i="13"/>
  <c r="W345" i="13"/>
  <c r="H322" i="13"/>
  <c r="F300" i="13"/>
  <c r="I300" i="13" s="1"/>
  <c r="N272" i="13"/>
  <c r="B12" i="1"/>
  <c r="F299" i="13"/>
  <c r="I299" i="13" s="1"/>
  <c r="B13" i="1" s="1"/>
  <c r="H321" i="13"/>
  <c r="N138" i="13"/>
  <c r="N137" i="13"/>
  <c r="G299" i="13" s="1"/>
  <c r="I320" i="13"/>
  <c r="E304" i="13"/>
  <c r="G397" i="13"/>
  <c r="P84" i="1" s="1"/>
  <c r="W340" i="13"/>
  <c r="W337" i="13"/>
  <c r="D319" i="13"/>
  <c r="E204" i="13"/>
  <c r="E99" i="13"/>
  <c r="E78" i="13"/>
  <c r="E77" i="13"/>
  <c r="E319" i="13" s="1"/>
  <c r="W343" i="13"/>
  <c r="W339" i="13"/>
  <c r="F12" i="1"/>
  <c r="W344" i="13"/>
  <c r="I305" i="13"/>
  <c r="J305" i="13"/>
  <c r="F69" i="13"/>
  <c r="G21" i="3"/>
  <c r="H19" i="3"/>
  <c r="M4" i="11"/>
  <c r="J13" i="11"/>
  <c r="V342" i="13"/>
  <c r="V344" i="13"/>
  <c r="D107" i="13"/>
  <c r="D108" i="13"/>
  <c r="O152" i="13"/>
  <c r="H300" i="13" s="1"/>
  <c r="J300" i="13" s="1"/>
  <c r="O137" i="13"/>
  <c r="H299" i="13" s="1"/>
  <c r="J299" i="13" s="1"/>
  <c r="V339" i="13"/>
  <c r="V337" i="13"/>
  <c r="V338" i="13"/>
  <c r="N152" i="13"/>
  <c r="G300" i="13" s="1"/>
  <c r="D234" i="13"/>
  <c r="D243" i="13" s="1"/>
  <c r="D213" i="13"/>
  <c r="D212" i="13"/>
  <c r="N153" i="13"/>
  <c r="B322" i="13"/>
  <c r="B707" i="13"/>
  <c r="W342" i="13"/>
  <c r="V340" i="13"/>
  <c r="V341" i="13"/>
  <c r="B577" i="13"/>
  <c r="F13" i="1" l="1"/>
  <c r="L90" i="1"/>
  <c r="J90" i="1"/>
  <c r="F204" i="13"/>
  <c r="F99" i="13"/>
  <c r="F78" i="13"/>
  <c r="F77" i="13"/>
  <c r="G69" i="13"/>
  <c r="H21" i="3"/>
  <c r="I19" i="3"/>
  <c r="N4" i="11"/>
  <c r="J14" i="11"/>
  <c r="O272" i="13"/>
  <c r="H306" i="13" s="1"/>
  <c r="J306" i="13" s="1"/>
  <c r="G306" i="13"/>
  <c r="V9" i="1" s="1"/>
  <c r="B578" i="13"/>
  <c r="L371" i="13"/>
  <c r="J367" i="13"/>
  <c r="M372" i="13"/>
  <c r="G369" i="13"/>
  <c r="F367" i="13"/>
  <c r="F369" i="13"/>
  <c r="H368" i="13"/>
  <c r="M367" i="13"/>
  <c r="K368" i="13"/>
  <c r="M371" i="13"/>
  <c r="D373" i="13"/>
  <c r="K370" i="13"/>
  <c r="K394" i="13" s="1"/>
  <c r="X81" i="1" s="1"/>
  <c r="M373" i="13"/>
  <c r="E368" i="13"/>
  <c r="I367" i="13"/>
  <c r="H373" i="13"/>
  <c r="J368" i="13"/>
  <c r="F373" i="13"/>
  <c r="G368" i="13"/>
  <c r="E372" i="13"/>
  <c r="E367" i="13"/>
  <c r="M369" i="13"/>
  <c r="I368" i="13"/>
  <c r="M368" i="13"/>
  <c r="M370" i="13"/>
  <c r="K396" i="13" s="1"/>
  <c r="X83" i="1" s="1"/>
  <c r="F370" i="13"/>
  <c r="K389" i="13" s="1"/>
  <c r="X76" i="1" s="1"/>
  <c r="I370" i="13"/>
  <c r="K392" i="13" s="1"/>
  <c r="X79" i="1" s="1"/>
  <c r="D368" i="13"/>
  <c r="B368" i="13" s="1"/>
  <c r="C368" i="13" s="1"/>
  <c r="E369" i="13"/>
  <c r="I372" i="13"/>
  <c r="J371" i="13"/>
  <c r="H371" i="13"/>
  <c r="E370" i="13"/>
  <c r="K388" i="13" s="1"/>
  <c r="X75" i="1" s="1"/>
  <c r="J372" i="13"/>
  <c r="G373" i="13"/>
  <c r="D369" i="13"/>
  <c r="I369" i="13"/>
  <c r="L368" i="13"/>
  <c r="K372" i="13"/>
  <c r="K369" i="13"/>
  <c r="L367" i="13"/>
  <c r="J370" i="13"/>
  <c r="K393" i="13" s="1"/>
  <c r="X80" i="1" s="1"/>
  <c r="F368" i="13"/>
  <c r="L370" i="13"/>
  <c r="K395" i="13" s="1"/>
  <c r="X82" i="1" s="1"/>
  <c r="G367" i="13"/>
  <c r="I371" i="13"/>
  <c r="H369" i="13"/>
  <c r="K367" i="13"/>
  <c r="L373" i="13"/>
  <c r="D371" i="13"/>
  <c r="B708" i="13"/>
  <c r="L89" i="1"/>
  <c r="J89" i="1"/>
  <c r="R8" i="1"/>
  <c r="J369" i="13"/>
  <c r="D242" i="13"/>
  <c r="D320" i="13" s="1"/>
  <c r="E108" i="13"/>
  <c r="E107" i="13"/>
  <c r="E234" i="13"/>
  <c r="E243" i="13" s="1"/>
  <c r="E213" i="13"/>
  <c r="E212" i="13"/>
  <c r="E242" i="13" s="1"/>
  <c r="E320" i="13" s="1"/>
  <c r="J94" i="1" l="1"/>
  <c r="L94" i="1"/>
  <c r="H69" i="13"/>
  <c r="I21" i="3"/>
  <c r="J15" i="11"/>
  <c r="O4" i="11"/>
  <c r="J10" i="12" s="1"/>
  <c r="O21" i="3"/>
  <c r="G204" i="13"/>
  <c r="G99" i="13"/>
  <c r="G77" i="13"/>
  <c r="G319" i="13" s="1"/>
  <c r="G78" i="13"/>
  <c r="D367" i="13"/>
  <c r="B367" i="13" s="1"/>
  <c r="C367" i="13" s="1"/>
  <c r="J373" i="13"/>
  <c r="I373" i="13"/>
  <c r="D372" i="13"/>
  <c r="F371" i="13"/>
  <c r="B371" i="13" s="1"/>
  <c r="C371" i="13" s="1"/>
  <c r="D370" i="13"/>
  <c r="E371" i="13"/>
  <c r="L369" i="13"/>
  <c r="B369" i="13" s="1"/>
  <c r="C369" i="13" s="1"/>
  <c r="G372" i="13"/>
  <c r="E373" i="13"/>
  <c r="B373" i="13" s="1"/>
  <c r="C373" i="13" s="1"/>
  <c r="K373" i="13"/>
  <c r="H370" i="13"/>
  <c r="K391" i="13" s="1"/>
  <c r="X78" i="1" s="1"/>
  <c r="F372" i="13"/>
  <c r="G370" i="13"/>
  <c r="K390" i="13" s="1"/>
  <c r="X77" i="1" s="1"/>
  <c r="G371" i="13"/>
  <c r="F108" i="13"/>
  <c r="F107" i="13"/>
  <c r="F319" i="13"/>
  <c r="O19" i="3"/>
  <c r="B5" i="11" s="1"/>
  <c r="G6" i="12" s="1"/>
  <c r="F234" i="13"/>
  <c r="F243" i="13" s="1"/>
  <c r="F212" i="13"/>
  <c r="F213" i="13"/>
  <c r="P19" i="3"/>
  <c r="B709" i="13"/>
  <c r="E379" i="13" s="1"/>
  <c r="G378" i="13"/>
  <c r="M380" i="13"/>
  <c r="J378" i="13"/>
  <c r="F380" i="13"/>
  <c r="E378" i="13"/>
  <c r="F378" i="13"/>
  <c r="I378" i="13"/>
  <c r="M378" i="13"/>
  <c r="K371" i="13"/>
  <c r="H372" i="13"/>
  <c r="H367" i="13"/>
  <c r="L372" i="13"/>
  <c r="K387" i="13" l="1"/>
  <c r="X74" i="1" s="1"/>
  <c r="B370" i="13"/>
  <c r="G108" i="13"/>
  <c r="G107" i="13"/>
  <c r="G234" i="13"/>
  <c r="G243" i="13" s="1"/>
  <c r="G212" i="13"/>
  <c r="G213" i="13"/>
  <c r="O204" i="13"/>
  <c r="O212" i="13" s="1"/>
  <c r="H378" i="13"/>
  <c r="L380" i="13"/>
  <c r="G379" i="13"/>
  <c r="L378" i="13"/>
  <c r="J379" i="13"/>
  <c r="D379" i="13"/>
  <c r="K380" i="13"/>
  <c r="K379" i="13"/>
  <c r="H379" i="13"/>
  <c r="I379" i="13"/>
  <c r="D378" i="13"/>
  <c r="B378" i="13" s="1"/>
  <c r="C378" i="13" s="1"/>
  <c r="R12" i="1" s="1"/>
  <c r="H380" i="13"/>
  <c r="G380" i="13"/>
  <c r="D380" i="13"/>
  <c r="E380" i="13"/>
  <c r="I380" i="13"/>
  <c r="J380" i="13"/>
  <c r="F379" i="13"/>
  <c r="M379" i="13"/>
  <c r="K378" i="13"/>
  <c r="L379" i="13"/>
  <c r="B372" i="13"/>
  <c r="C372" i="13" s="1"/>
  <c r="J95" i="1" s="1"/>
  <c r="H204" i="13"/>
  <c r="H99" i="13"/>
  <c r="N99" i="13" s="1"/>
  <c r="N107" i="13" s="1"/>
  <c r="G297" i="13" s="1"/>
  <c r="H78" i="13"/>
  <c r="H77" i="13"/>
  <c r="N78" i="13" s="1"/>
  <c r="N69" i="13"/>
  <c r="N77" i="13" s="1"/>
  <c r="G295" i="13" s="1"/>
  <c r="O69" i="13"/>
  <c r="O77" i="13" s="1"/>
  <c r="H295" i="13" s="1"/>
  <c r="J295" i="13" s="1"/>
  <c r="N12" i="1"/>
  <c r="F242" i="13"/>
  <c r="B9" i="13"/>
  <c r="P4" i="1" s="1"/>
  <c r="G242" i="13" l="1"/>
  <c r="G320" i="13" s="1"/>
  <c r="H234" i="13"/>
  <c r="H243" i="13" s="1"/>
  <c r="H212" i="13"/>
  <c r="H213" i="13"/>
  <c r="N204" i="13"/>
  <c r="F320" i="13"/>
  <c r="H107" i="13"/>
  <c r="H108" i="13"/>
  <c r="O99" i="13"/>
  <c r="O107" i="13" s="1"/>
  <c r="H297" i="13" s="1"/>
  <c r="J297" i="13" s="1"/>
  <c r="J88" i="1"/>
  <c r="L88" i="1"/>
  <c r="K397" i="13"/>
  <c r="X84" i="1" s="1"/>
  <c r="C370" i="13"/>
  <c r="H319" i="13"/>
  <c r="F295" i="13"/>
  <c r="I295" i="13" s="1"/>
  <c r="N9" i="1" s="1"/>
  <c r="L95" i="1"/>
  <c r="B379" i="13"/>
  <c r="C379" i="13" s="1"/>
  <c r="B380" i="13"/>
  <c r="C380" i="13" s="1"/>
  <c r="R13" i="1" l="1"/>
  <c r="F297" i="13"/>
  <c r="I297" i="13" s="1"/>
  <c r="N108" i="13"/>
  <c r="J96" i="1"/>
  <c r="L96" i="1"/>
  <c r="N234" i="13"/>
  <c r="O234" i="13" s="1"/>
  <c r="N212" i="13"/>
  <c r="N242" i="13" s="1"/>
  <c r="H242" i="13"/>
  <c r="N213" i="13"/>
  <c r="N13" i="1"/>
  <c r="J93" i="1"/>
  <c r="L93" i="1"/>
  <c r="H320" i="13" l="1"/>
  <c r="F304" i="13"/>
  <c r="I304" i="13" s="1"/>
  <c r="N243" i="13"/>
  <c r="O242" i="13"/>
  <c r="H304" i="13" s="1"/>
  <c r="J304" i="13" s="1"/>
  <c r="G304" i="13"/>
  <c r="R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Javed Padania</author>
  </authors>
  <commentList>
    <comment ref="K30" authorId="0" shapeId="0" xr:uid="{00000000-0006-0000-0100-000001000000}">
      <text>
        <r>
          <rPr>
            <sz val="11"/>
            <color theme="1"/>
            <rFont val="Calibri"/>
          </rPr>
          <t>Javed Padania:
no bill generated</t>
        </r>
      </text>
    </comment>
  </commentList>
</comments>
</file>

<file path=xl/sharedStrings.xml><?xml version="1.0" encoding="utf-8"?>
<sst xmlns="http://schemas.openxmlformats.org/spreadsheetml/2006/main" count="2251" uniqueCount="724">
  <si>
    <t>AKESI</t>
  </si>
  <si>
    <t>AKESI SCHOOLS  |  FACILITY MANAGEMENT MIS DASHBOARD</t>
  </si>
  <si>
    <t>SCHOOLS · FM</t>
  </si>
  <si>
    <t>MONTH</t>
  </si>
  <si>
    <t>SCHOOL</t>
  </si>
  <si>
    <t>▶ FM Dashboard</t>
  </si>
  <si>
    <t>📅 Select ▸</t>
  </si>
  <si>
    <t>Aug-26</t>
  </si>
  <si>
    <t>🏫 Drill ▸</t>
  </si>
  <si>
    <t>All Schools</t>
  </si>
  <si>
    <t>Pick a month (or 2026 YTD) and a school from the yellow drop-downs. Cards, charts and the scorecard follow the selection. 'vs prev month' compares with the month before; YTD averages use only months with data.</t>
  </si>
  <si>
    <t xml:space="preserve">   Electricity</t>
  </si>
  <si>
    <t>⚡ GRID ENERGY (kWh)</t>
  </si>
  <si>
    <t>₹ ENERGY BILL (₹ Lakh)</t>
  </si>
  <si>
    <t>☀ SOLAR GENERATION (kWh)</t>
  </si>
  <si>
    <t>💧 WATER CONSUMED (kL)</t>
  </si>
  <si>
    <t>🚰 WATER PER PUPIL (L / pupil / day)</t>
  </si>
  <si>
    <t>🎓 ENERGY PER PUPIL (kWh / pupil / month)</t>
  </si>
  <si>
    <t xml:space="preserve">   Water</t>
  </si>
  <si>
    <t xml:space="preserve">   Repairs</t>
  </si>
  <si>
    <t>🔧 REPAIR TICKETS</t>
  </si>
  <si>
    <t>₹ REPAIR SPEND (₹ '000)</t>
  </si>
  <si>
    <t>⛽ GENERATOR DIESEL (L)</t>
  </si>
  <si>
    <t>📄 AMC CONTRACTS ACTIVE</t>
  </si>
  <si>
    <t>🧪 WATER TESTS ABOVE LIMIT</t>
  </si>
  <si>
    <t>📊 DATA COVERAGE</t>
  </si>
  <si>
    <t xml:space="preserve">   Generators</t>
  </si>
  <si>
    <t xml:space="preserve">   Water Tests</t>
  </si>
  <si>
    <t xml:space="preserve">   AMC Log</t>
  </si>
  <si>
    <t xml:space="preserve">   Check List</t>
  </si>
  <si>
    <t xml:space="preserve">   Config</t>
  </si>
  <si>
    <t xml:space="preserve">   Audit Control</t>
  </si>
  <si>
    <t xml:space="preserve">   KPI Engine</t>
  </si>
  <si>
    <t xml:space="preserve">   Summary</t>
  </si>
  <si>
    <t xml:space="preserve">   Calc engine</t>
  </si>
  <si>
    <t>🏫 SCHOOL SCORECARD  (month filter applies • selected school highlighted • DJHSH repairs are logged for PRI + HS together • AMC expired is as of the audit date in CONFIG)</t>
  </si>
  <si>
    <t>School</t>
  </si>
  <si>
    <t>Grid kWh</t>
  </si>
  <si>
    <t>Bill ₹</t>
  </si>
  <si>
    <t>₹ / kWh</t>
  </si>
  <si>
    <t>kWh / pupil / month</t>
  </si>
  <si>
    <t>Water kL</t>
  </si>
  <si>
    <t>L / pupil / day</t>
  </si>
  <si>
    <t>Pupils</t>
  </si>
  <si>
    <t>Repair tickets</t>
  </si>
  <si>
    <t>Repair spend ₹</t>
  </si>
  <si>
    <t>AMC expired</t>
  </si>
  <si>
    <t>ALL SCHOOLS</t>
  </si>
  <si>
    <t>🚨 WATCHLIST (live, follows the filters)</t>
  </si>
  <si>
    <t>🔎 DATA-QUALITY FINDINGS IN SOURCE SHEETS (please verify)</t>
  </si>
  <si>
    <t>Grid energy vs 2026 monthly average</t>
  </si>
  <si>
    <t>1. Electrical Consmp. C34:E34 (AKSC solar export, Jan–Mar) hold a stray array formula that adds other schools' consumption (22,336 / 25,824 / 24,262). The dashboard uses the solar generation rows only.</t>
  </si>
  <si>
    <t>Water consumed vs 2026 monthly average</t>
  </si>
  <si>
    <t>2. AKSC solar yield (Electrical Consmp. row 35) divides by the AKSM capacity of 20 kWp, giving 14–24 kWh/kWp/day from April. Enter AKSC's installed kWp in CONFIG and point row 35 at it.</t>
  </si>
  <si>
    <t>Energy unit cost (₹/kWh) vs 2026 YTD</t>
  </si>
  <si>
    <t>3. AKHH electricity cost: March shows ₹12,040 for 8,431 kWh (₹1.43/kWh) and May ₹24.16/kWh against about ₹12–13 in other months. AKSC shows ₹0.85–1.84/kWh for Jun–Aug.</t>
  </si>
  <si>
    <t>Repair spend vs 2026 monthly average</t>
  </si>
  <si>
    <t>4. Water Consmp.: May pupil counts are 10–41 for six schools (vacation headcount), so May litres per pupil per day reads 10–172. The YTD figure uses pupil-days and is not distorted.</t>
  </si>
  <si>
    <t>Schools yet to report electricity for the latest month</t>
  </si>
  <si>
    <t>5. Water per pupil is about 0.5 L/day at DJG and 1.2–1.7 L/day at DJHSM but 185–407 L/day at AKHH — check meter units and whether AKHH is residential.</t>
  </si>
  <si>
    <t>Schools yet to report water for the latest month</t>
  </si>
  <si>
    <t>6. September is part-reported: electricity for 5 of 10 schools and water for 8 of 10. September totals are therefore partial.</t>
  </si>
  <si>
    <t>AMC contracts expired</t>
  </si>
  <si>
    <t>7. AMC-LOG: 42 of 71 records have no start or expiry date (INCOMPLETE), 12 are expired and 1 has a date error, as of the audit date in CONFIG!B8.</t>
  </si>
  <si>
    <t>AMC contracts expiring within 30 days</t>
  </si>
  <si>
    <t>8. REPAIRS: AKHH logs ticket counts but no spend, so its spend reads '–'. DJHSH repairs are not split between PRI and HS. Oct–Dec blocks have six rows and no category labels (seven categories are used Jan–Sep).</t>
  </si>
  <si>
    <t>AMC records incomplete or with a date error</t>
  </si>
  <si>
    <t>9. WATER TESTS: Q3 and Q4 are largely blank. KPI ENGINE shows 108 exceptions; 14 of those are STP inlet/outlet rows compared with drinking-water limits, so this dashboard counts 94.</t>
  </si>
  <si>
    <t>Drinking-water / RO test results above limit</t>
  </si>
  <si>
    <t>10. AKHH quarterly total (Electrical Consmp. row 68) adds the kWh/kWp yield row 66 instead of the solar export row 65.</t>
  </si>
  <si>
    <t>Sources: Electrical Consmp., Water Consmp., REPAIRS, GENERATOR CONSMP., WATER TESTS, AMC-LOG and CONFIG — all linked live through MIS_Calc; nothing is typed on this sheet except the two yellow selectors. No targets or prior-year baselines exist in the source file, so comparisons are with the previous month and the 2026 average. Figures are as recorded in the source sheets.</t>
  </si>
  <si>
    <t xml:space="preserve">  AKESI  Power Charges with Consumed Units    -   2026 </t>
  </si>
  <si>
    <t>School / Month</t>
  </si>
  <si>
    <t>January</t>
  </si>
  <si>
    <t>February</t>
  </si>
  <si>
    <t>March</t>
  </si>
  <si>
    <t>April</t>
  </si>
  <si>
    <t>May</t>
  </si>
  <si>
    <t>June</t>
  </si>
  <si>
    <t>July</t>
  </si>
  <si>
    <t>August</t>
  </si>
  <si>
    <t>September</t>
  </si>
  <si>
    <t>October</t>
  </si>
  <si>
    <t>November</t>
  </si>
  <si>
    <t>December</t>
  </si>
  <si>
    <t>DJHSM</t>
  </si>
  <si>
    <t>Elec. Cons. (Kwhr)</t>
  </si>
  <si>
    <t>Cost</t>
  </si>
  <si>
    <t>MD (500)-1</t>
  </si>
  <si>
    <t>Solar Export</t>
  </si>
  <si>
    <t>Qtly</t>
  </si>
  <si>
    <t>DJG</t>
  </si>
  <si>
    <t>MD-3</t>
  </si>
  <si>
    <t>AKSM</t>
  </si>
  <si>
    <t>MD (74)-2</t>
  </si>
  <si>
    <t>Solar Gen(Kwhr) Import</t>
  </si>
  <si>
    <t>Solar Gen(Kwhr) Export</t>
  </si>
  <si>
    <t>Kwhr/Kwp/day</t>
  </si>
  <si>
    <t>AKSS</t>
  </si>
  <si>
    <t>MD-2</t>
  </si>
  <si>
    <t>AKSC</t>
  </si>
  <si>
    <t>MD-1</t>
  </si>
  <si>
    <t>Kwhr/Kwp</t>
  </si>
  <si>
    <t>DJHSH 
(PRI)</t>
  </si>
  <si>
    <t>MD (08)-1</t>
  </si>
  <si>
    <t>Solar Gen(Kwhr)</t>
  </si>
  <si>
    <t>DJHSH (HS)</t>
  </si>
  <si>
    <t>MD (25)-4</t>
  </si>
  <si>
    <t>PJHSW</t>
  </si>
  <si>
    <t>MD  (66)-2</t>
  </si>
  <si>
    <t>LSHSA</t>
  </si>
  <si>
    <t>MD  (39.23)-3</t>
  </si>
  <si>
    <t>AKHH</t>
  </si>
  <si>
    <t>Total KW (Q)</t>
  </si>
  <si>
    <t>AKESI - WATER CONSUMPTION LOG - 2026</t>
  </si>
  <si>
    <t>YTD Total / KPI</t>
  </si>
  <si>
    <t xml:space="preserve">Liters </t>
  </si>
  <si>
    <t>No. of pupils</t>
  </si>
  <si>
    <t>Pupils Liter per day</t>
  </si>
  <si>
    <t>Amount</t>
  </si>
  <si>
    <t>DJHSH (P)</t>
  </si>
  <si>
    <t>DJHSH (H)</t>
  </si>
  <si>
    <t>CONTROL</t>
  </si>
  <si>
    <t>Days in Month</t>
  </si>
  <si>
    <t xml:space="preserve"> AKESI Repairing  Work -2026</t>
  </si>
  <si>
    <t>CATEGORY</t>
  </si>
  <si>
    <t>DJG-M</t>
  </si>
  <si>
    <t>DJHSH</t>
  </si>
  <si>
    <t>PJHS</t>
  </si>
  <si>
    <t>LSHS</t>
  </si>
  <si>
    <t>Total Tkt</t>
  </si>
  <si>
    <t>spent</t>
  </si>
  <si>
    <t>JAN</t>
  </si>
  <si>
    <t>CIVIL</t>
  </si>
  <si>
    <t>MECH</t>
  </si>
  <si>
    <t>ELE</t>
  </si>
  <si>
    <t>PLU</t>
  </si>
  <si>
    <t>CARPENTARY</t>
  </si>
  <si>
    <t>R &amp; M</t>
  </si>
  <si>
    <t>OTHERS &amp; IT</t>
  </si>
  <si>
    <t>FEB</t>
  </si>
  <si>
    <t>MARCH</t>
  </si>
  <si>
    <t>APRIL</t>
  </si>
  <si>
    <t>MAY</t>
  </si>
  <si>
    <t>JUN</t>
  </si>
  <si>
    <t>AUG</t>
  </si>
  <si>
    <t>SEP</t>
  </si>
  <si>
    <t>OCT</t>
  </si>
  <si>
    <t>NOV</t>
  </si>
  <si>
    <t>DEC</t>
  </si>
  <si>
    <t>POWER - CONSUMPTION LOG (GENERATOR) - AKESI - 2026</t>
  </si>
  <si>
    <t>AKSC - 16 kva</t>
  </si>
  <si>
    <t>Unit Consumed</t>
  </si>
  <si>
    <t>Diesel consumption in (Liters)</t>
  </si>
  <si>
    <t>Run - Hours</t>
  </si>
  <si>
    <t>Quarterly</t>
  </si>
  <si>
    <t>AKSM - 160 KVA</t>
  </si>
  <si>
    <t>AKHH - 63 KVA</t>
  </si>
  <si>
    <t>Unit Consumed (KWH)</t>
  </si>
  <si>
    <t>PARAMETERS</t>
  </si>
  <si>
    <t>Note: Every Halfterys should done with NABL accrediated lab (like Q2 &amp; Q4 or Q1 &amp; Q3)</t>
  </si>
  <si>
    <t>CHEMICAL PARAMETERS</t>
  </si>
  <si>
    <t>MICROBIOLOGICAL PARAMETERS</t>
  </si>
  <si>
    <t>PARAMETERS Sub Classification Bore Well</t>
  </si>
  <si>
    <t>Colour</t>
  </si>
  <si>
    <t>Turbidity</t>
  </si>
  <si>
    <t>pH</t>
  </si>
  <si>
    <t>Electrical Conductivity</t>
  </si>
  <si>
    <t>Total Dissolved Solids</t>
  </si>
  <si>
    <t>Total Hardness as Caco3</t>
  </si>
  <si>
    <t>Alkalilnity to Phenolphthalein</t>
  </si>
  <si>
    <t>Methyl Orange Alkalinity</t>
  </si>
  <si>
    <t>Calcium as Ca,</t>
  </si>
  <si>
    <t>Magnesium as Mg</t>
  </si>
  <si>
    <t>Soldium as Na,</t>
  </si>
  <si>
    <t>Potassium as K,</t>
  </si>
  <si>
    <t>Chloride as Cl,</t>
  </si>
  <si>
    <t>Sulphates as S04,</t>
  </si>
  <si>
    <t>Nitrates as No3,</t>
  </si>
  <si>
    <t>Fluoride as F</t>
  </si>
  <si>
    <t>Iron</t>
  </si>
  <si>
    <t>Silica</t>
  </si>
  <si>
    <t>Total Bacterial Count</t>
  </si>
  <si>
    <t>Coli form</t>
  </si>
  <si>
    <t>E coli</t>
  </si>
  <si>
    <t>UNITS</t>
  </si>
  <si>
    <t>Hazen</t>
  </si>
  <si>
    <t>NTU</t>
  </si>
  <si>
    <t>Us/cm</t>
  </si>
  <si>
    <t>mg/l</t>
  </si>
  <si>
    <t>Cfu/ml</t>
  </si>
  <si>
    <t>MPN/100ml</t>
  </si>
  <si>
    <t>DESIRABLE LIMITS</t>
  </si>
  <si>
    <t>6.5 - 8.5</t>
  </si>
  <si>
    <t>500-1500</t>
  </si>
  <si>
    <t>NS</t>
  </si>
  <si>
    <t>10 - 50</t>
  </si>
  <si>
    <t>Nil</t>
  </si>
  <si>
    <t>Absent 100ml</t>
  </si>
  <si>
    <t>Q1</t>
  </si>
  <si>
    <t>At Source</t>
  </si>
  <si>
    <t>&lt;1</t>
  </si>
  <si>
    <t xml:space="preserve"> -</t>
  </si>
  <si>
    <t>BDL</t>
  </si>
  <si>
    <t>absent</t>
  </si>
  <si>
    <t>Drinking Water</t>
  </si>
  <si>
    <t>Q2</t>
  </si>
  <si>
    <t>Q3</t>
  </si>
  <si>
    <t>Q4</t>
  </si>
  <si>
    <t>ABSENT</t>
  </si>
  <si>
    <t>At Source (WELL)</t>
  </si>
  <si>
    <t>-</t>
  </si>
  <si>
    <t>At Source -BW</t>
  </si>
  <si>
    <t>At Source -Mun</t>
  </si>
  <si>
    <t>Drinking Water- RO</t>
  </si>
  <si>
    <t>WTP Plant</t>
  </si>
  <si>
    <t>Drinking Water - RO</t>
  </si>
  <si>
    <t>At Source -Muni</t>
  </si>
  <si>
    <t>At Source (BW-1)</t>
  </si>
  <si>
    <t>NIL</t>
  </si>
  <si>
    <t>At Source (BW-2)</t>
  </si>
  <si>
    <t>RO Plant</t>
  </si>
  <si>
    <t>Borwell</t>
  </si>
  <si>
    <t>Not Detected</t>
  </si>
  <si>
    <t>DJHSH (PRI)</t>
  </si>
  <si>
    <t>Borewell water</t>
  </si>
  <si>
    <t>&lt;0.1</t>
  </si>
  <si>
    <t>&lt;1.0</t>
  </si>
  <si>
    <t xml:space="preserve">Absent </t>
  </si>
  <si>
    <t>Absent</t>
  </si>
  <si>
    <t>DJHSH (SEC)</t>
  </si>
  <si>
    <t>Borewell water-1</t>
  </si>
  <si>
    <t>Borewell water-2</t>
  </si>
  <si>
    <t>Borewell water-3</t>
  </si>
  <si>
    <t xml:space="preserve"> RO Drinking Water-1</t>
  </si>
  <si>
    <t xml:space="preserve"> RO Drinking Water-2</t>
  </si>
  <si>
    <t>Not dec</t>
  </si>
  <si>
    <t>28.08.2025</t>
  </si>
  <si>
    <t>Nill</t>
  </si>
  <si>
    <t>SEWAGE TREATMENT PLANT</t>
  </si>
  <si>
    <t>Parameters</t>
  </si>
  <si>
    <t>BOD</t>
  </si>
  <si>
    <t>COD</t>
  </si>
  <si>
    <t>TSS</t>
  </si>
  <si>
    <t>TDS</t>
  </si>
  <si>
    <t>Oil &amp; Grease</t>
  </si>
  <si>
    <t>Heavy Metals</t>
  </si>
  <si>
    <t>Fecal coliform</t>
  </si>
  <si>
    <t>Coliform bacteria</t>
  </si>
  <si>
    <t xml:space="preserve">Chloride as </t>
  </si>
  <si>
    <t xml:space="preserve">Sulphates </t>
  </si>
  <si>
    <t>&lt;600</t>
  </si>
  <si>
    <t>&lt;1000</t>
  </si>
  <si>
    <t>STP INLET</t>
  </si>
  <si>
    <t>STP OUTLET</t>
  </si>
  <si>
    <t>&lt;4</t>
  </si>
  <si>
    <t>AKESI - AMC LOG - 2026</t>
  </si>
  <si>
    <t>AUDIT CONTROL</t>
  </si>
  <si>
    <t>AMC</t>
  </si>
  <si>
    <t>START DT.</t>
  </si>
  <si>
    <t>EXP DT.</t>
  </si>
  <si>
    <t>Service Type</t>
  </si>
  <si>
    <t>Service Provider</t>
  </si>
  <si>
    <t>cost of Service</t>
  </si>
  <si>
    <t>Remarks</t>
  </si>
  <si>
    <t>Status</t>
  </si>
  <si>
    <t>ELECTRICAL</t>
  </si>
  <si>
    <t>PLUMBING</t>
  </si>
  <si>
    <t>FIRE SYSTEM</t>
  </si>
  <si>
    <t>Non-Comprehensive</t>
  </si>
  <si>
    <t>Mauli Fire Safety Services</t>
  </si>
  <si>
    <t>AIRCONDTION</t>
  </si>
  <si>
    <t>2600 (2027)</t>
  </si>
  <si>
    <t>PEST CONTROL</t>
  </si>
  <si>
    <t>PEST SHIELD</t>
  </si>
  <si>
    <t xml:space="preserve"> RO/UF/WTP</t>
  </si>
  <si>
    <t>ACE Hygeinic products Pvt. ltd</t>
  </si>
  <si>
    <t>ELEVATOR</t>
  </si>
  <si>
    <t>Gold Contract</t>
  </si>
  <si>
    <t>TK Elevator India Pvt. Ltd.</t>
  </si>
  <si>
    <t>PCI-PEST CONTROL PVT LTD</t>
  </si>
  <si>
    <t>Air Condition</t>
  </si>
  <si>
    <t>Sama Electric</t>
  </si>
  <si>
    <t>Photocopier Machine</t>
  </si>
  <si>
    <t>Fortune Sales Agency</t>
  </si>
  <si>
    <t>Internet</t>
  </si>
  <si>
    <t>Internet 200MBPS</t>
  </si>
  <si>
    <t>Ishan Netsol Pvt Ltd</t>
  </si>
  <si>
    <t>H.K. Materials</t>
  </si>
  <si>
    <t>POP Online Services Pvt Ltd</t>
  </si>
  <si>
    <t>As per need</t>
  </si>
  <si>
    <t>Contract of HK</t>
  </si>
  <si>
    <t>M/s. Sky Touch Security &amp; Allied Service</t>
  </si>
  <si>
    <t>Contract of Security</t>
  </si>
  <si>
    <t>STATIONERY</t>
  </si>
  <si>
    <t>Shah Premji Ratanshi</t>
  </si>
  <si>
    <t>Vijay Fire Station</t>
  </si>
  <si>
    <t>GENERATOR</t>
  </si>
  <si>
    <t>S. K. Enterpirse</t>
  </si>
  <si>
    <t>18,000/-</t>
  </si>
  <si>
    <t>4,500/-</t>
  </si>
  <si>
    <t>12,200/-</t>
  </si>
  <si>
    <t>Consumable item</t>
  </si>
  <si>
    <t>Dhoni Stationery Mart</t>
  </si>
  <si>
    <t>12,000/-</t>
  </si>
  <si>
    <t>SECURITY GUARD</t>
  </si>
  <si>
    <t>Security</t>
  </si>
  <si>
    <t>Manforce Security Services</t>
  </si>
  <si>
    <t>53,596.62/-</t>
  </si>
  <si>
    <t>54,818/-</t>
  </si>
  <si>
    <t>53,919/-</t>
  </si>
  <si>
    <t>44,633/-</t>
  </si>
  <si>
    <t>56,439/-</t>
  </si>
  <si>
    <t>55,825/-</t>
  </si>
  <si>
    <t>55,212/-</t>
  </si>
  <si>
    <t>54,598/-</t>
  </si>
  <si>
    <t>57,052/-</t>
  </si>
  <si>
    <t>HOUSEKEEPING STAFF</t>
  </si>
  <si>
    <t>Housekeeping</t>
  </si>
  <si>
    <t>Smartline Facility Management Pvt. Ltd.</t>
  </si>
  <si>
    <t>1,09,502.75/-</t>
  </si>
  <si>
    <t>1,00,018/-</t>
  </si>
  <si>
    <t>86,967/-</t>
  </si>
  <si>
    <t>85,474/-</t>
  </si>
  <si>
    <t>99,987/-</t>
  </si>
  <si>
    <t>86,529/-</t>
  </si>
  <si>
    <t>91,728/-</t>
  </si>
  <si>
    <t>99,986/-</t>
  </si>
  <si>
    <t>1,07,021/-</t>
  </si>
  <si>
    <t>1,08,245/-</t>
  </si>
  <si>
    <t>Pest Control Pvt. Ltd.</t>
  </si>
  <si>
    <t>47,484/- (excd. GST)</t>
  </si>
  <si>
    <t>4,669/-</t>
  </si>
  <si>
    <t>AIR CONDTION</t>
  </si>
  <si>
    <t>AC Service</t>
  </si>
  <si>
    <t>Superb Cool Service</t>
  </si>
  <si>
    <t>4,450/-</t>
  </si>
  <si>
    <t>Vijay Fire System</t>
  </si>
  <si>
    <t>6000/-</t>
  </si>
  <si>
    <t xml:space="preserve">KISMAT REFRIGERATOR </t>
  </si>
  <si>
    <t>3600/-</t>
  </si>
  <si>
    <t>8260/-</t>
  </si>
  <si>
    <t>Zerox Machiene</t>
  </si>
  <si>
    <t>TG agreement</t>
  </si>
  <si>
    <t>Shiv Telecome</t>
  </si>
  <si>
    <t>35 paisa per copy</t>
  </si>
  <si>
    <t>Manforce Security Service</t>
  </si>
  <si>
    <t>Smartline Facility Management</t>
  </si>
  <si>
    <t>Sri Srinivasa Enterprises</t>
  </si>
  <si>
    <t>Comprehensive</t>
  </si>
  <si>
    <t>PCI-Pest Control Pvt Ltd</t>
  </si>
  <si>
    <t>Sky Refrigeration &amp; Air condition works</t>
  </si>
  <si>
    <t xml:space="preserve"> RO/UF/WTP/PEST</t>
  </si>
  <si>
    <t>kirloshkar</t>
  </si>
  <si>
    <t>`</t>
  </si>
  <si>
    <t>FAC-MIS 2026 – MANAGEMENT DATA CHECKLIST</t>
  </si>
  <si>
    <t>Report</t>
  </si>
  <si>
    <t>Latest Source Month/Quarter</t>
  </si>
  <si>
    <t>Coverage</t>
  </si>
  <si>
    <t>Action</t>
  </si>
  <si>
    <t>Electricity Consumption</t>
  </si>
  <si>
    <t>Sep-2026</t>
  </si>
  <si>
    <t>9 / 12 months</t>
  </si>
  <si>
    <t>INCOMPLETE</t>
  </si>
  <si>
    <t>Update Oct-Dec readings</t>
  </si>
  <si>
    <t>Solar Generation</t>
  </si>
  <si>
    <t>Update Oct-Dec source readings</t>
  </si>
  <si>
    <t>Water Consumption</t>
  </si>
  <si>
    <t>Water Test</t>
  </si>
  <si>
    <t>Q2-2026</t>
  </si>
  <si>
    <t>2 / 4 quarters</t>
  </si>
  <si>
    <t>Complete Q3/Q4 tests &amp; certificates</t>
  </si>
  <si>
    <t>Generator Consumption</t>
  </si>
  <si>
    <t>AMC Log</t>
  </si>
  <si>
    <t>05-Oct-2026</t>
  </si>
  <si>
    <t>Current register</t>
  </si>
  <si>
    <t>REVIEW</t>
  </si>
  <si>
    <t>Close 12 expired / 1 date-error records</t>
  </si>
  <si>
    <t>FAC-MIS 2026 – CONTROL CONFIGURATION</t>
  </si>
  <si>
    <t>Severity</t>
  </si>
  <si>
    <t>AMC Service Type</t>
  </si>
  <si>
    <t>Month</t>
  </si>
  <si>
    <t>ACTIVE</t>
  </si>
  <si>
    <t>CRITICAL</t>
  </si>
  <si>
    <t>EXPIRED</t>
  </si>
  <si>
    <t>HIGH</t>
  </si>
  <si>
    <t>EXPIRING &lt;=30D</t>
  </si>
  <si>
    <t>MEDIUM</t>
  </si>
  <si>
    <t>Parameter</t>
  </si>
  <si>
    <t>Value</t>
  </si>
  <si>
    <t>EXPIRING &lt;=90D</t>
  </si>
  <si>
    <t>LOW</t>
  </si>
  <si>
    <t>Solar Capacity – AKSM (kWp)</t>
  </si>
  <si>
    <t>Source: existing workbook denominator</t>
  </si>
  <si>
    <t>DATE ERROR</t>
  </si>
  <si>
    <t>Solar Capacity – AKHH (kWp)</t>
  </si>
  <si>
    <t>ACTION</t>
  </si>
  <si>
    <t>Audit Date</t>
  </si>
  <si>
    <t>As-of date used for status controls</t>
  </si>
  <si>
    <t>FAC-MIS 2026 – AUDIT &amp; REPAIR CONTROL</t>
  </si>
  <si>
    <t>Control Area</t>
  </si>
  <si>
    <t>Finding / Repair</t>
  </si>
  <si>
    <t>Action Taken</t>
  </si>
  <si>
    <t>Current Status</t>
  </si>
  <si>
    <t>Reference</t>
  </si>
  <si>
    <t>Electrical O43</t>
  </si>
  <si>
    <t>Wrong reference F44 in total formula</t>
  </si>
  <si>
    <t>Changed to =SUM(C43:N43)</t>
  </si>
  <si>
    <t>REPAIRED</t>
  </si>
  <si>
    <t>Electrical Consmp.!O43</t>
  </si>
  <si>
    <t>Dashboard</t>
  </si>
  <si>
    <t>Broken #REF! chart and empty executive view</t>
  </si>
  <si>
    <t>Rebuilt KPI dashboard with linked metrics</t>
  </si>
  <si>
    <t>DASHBOARD</t>
  </si>
  <si>
    <t>Water KPI</t>
  </si>
  <si>
    <t>Mixed /24 /30 /31 logic</t>
  </si>
  <si>
    <t>Standardized using Days in Month control row</t>
  </si>
  <si>
    <t>Water Consmp.!C5:N41</t>
  </si>
  <si>
    <t>Water YTD</t>
  </si>
  <si>
    <t>Column labelled Avg 2026 but contained totals</t>
  </si>
  <si>
    <t>Renamed to YTD Total / KPI</t>
  </si>
  <si>
    <t>Water Consmp.!O2</t>
  </si>
  <si>
    <t>AMC dates</t>
  </si>
  <si>
    <t>Dates mixed as text and serials</t>
  </si>
  <si>
    <t>Converted identifiable dates to real Excel dates</t>
  </si>
  <si>
    <t>AMC-LOG!C3:D75</t>
  </si>
  <si>
    <t>AMC row date logic</t>
  </si>
  <si>
    <t>Rows can have reversed/incomplete dates</t>
  </si>
  <si>
    <t>Added automatic Audit Control status column</t>
  </si>
  <si>
    <t>CONTROL ADDED</t>
  </si>
  <si>
    <t>AMC-LOG!U3:U75</t>
  </si>
  <si>
    <t>Water tests</t>
  </si>
  <si>
    <t>108 current observations above stated upper limits</t>
  </si>
  <si>
    <t>Recorded as audit exception count; no values fabricated</t>
  </si>
  <si>
    <t>REVIEW REQUIRED</t>
  </si>
  <si>
    <t>WATER TESTS</t>
  </si>
  <si>
    <t>Q3/Q4 data largely missing</t>
  </si>
  <si>
    <t>ACTION REQUIRED</t>
  </si>
  <si>
    <t>Electrical Q4</t>
  </si>
  <si>
    <t>Oct-Dec source readings missing</t>
  </si>
  <si>
    <t>Not fabricated; dashboard shows coverage gap</t>
  </si>
  <si>
    <t>Electrical Consmp.</t>
  </si>
  <si>
    <t>Water Q4</t>
  </si>
  <si>
    <t>Water Consmp.</t>
  </si>
  <si>
    <t>Generator Q4</t>
  </si>
  <si>
    <t>GENERATOR CONSMP.</t>
  </si>
  <si>
    <t>Repairs Q4</t>
  </si>
  <si>
    <t>Oct-Dec sections largely blank</t>
  </si>
  <si>
    <t>REPAIRS</t>
  </si>
  <si>
    <t>Data validation</t>
  </si>
  <si>
    <t>No consistent source dropdown framework</t>
  </si>
  <si>
    <t>Configuration/control sheet added; source tables still require normalization</t>
  </si>
  <si>
    <t>PARTIAL</t>
  </si>
  <si>
    <t>CONFIG / AUDIT CONTROL</t>
  </si>
  <si>
    <t>Formula governance</t>
  </si>
  <si>
    <t>Hard-coded derived values exist in source history</t>
  </si>
  <si>
    <t>Core water per-day and key solar formulas standardized</t>
  </si>
  <si>
    <t>Water / Electrical</t>
  </si>
  <si>
    <t>Electrical L68</t>
  </si>
  <si>
    <t>Quarter total added blank text cells to numbers (#VALUE! on recalculation)</t>
  </si>
  <si>
    <t>Wrapped the yield cells in N(); result unchanged (0)</t>
  </si>
  <si>
    <t>Electrical Consmp.!L68</t>
  </si>
  <si>
    <t>Solar yield rows</t>
  </si>
  <si>
    <t>Rows 35 and 66 divided by the wrong month's day count</t>
  </si>
  <si>
    <t>Each month now uses its own CONFIG day count; values equal those previously stored</t>
  </si>
  <si>
    <t>Electrical Consmp.!C35:N35, C66:N66</t>
  </si>
  <si>
    <t>Month- and school-filtered FM dashboard requested</t>
  </si>
  <si>
    <t>Added FM_Dashboard and MIS_Calc; all figures linked to the source sheets</t>
  </si>
  <si>
    <t>ADDED</t>
  </si>
  <si>
    <t>FM_Dashboard / MIS_Calc</t>
  </si>
  <si>
    <t>FAC-MIS 2026 – KPI ENGINE</t>
  </si>
  <si>
    <t>MONTHLY SOURCE TREND</t>
  </si>
  <si>
    <t>KPI</t>
  </si>
  <si>
    <t>Unit</t>
  </si>
  <si>
    <t>Source/Logic</t>
  </si>
  <si>
    <t>As of</t>
  </si>
  <si>
    <t>Jan</t>
  </si>
  <si>
    <t>Feb</t>
  </si>
  <si>
    <t>Mar</t>
  </si>
  <si>
    <t>Apr</t>
  </si>
  <si>
    <t>Jun</t>
  </si>
  <si>
    <t>Jul</t>
  </si>
  <si>
    <t>Aug</t>
  </si>
  <si>
    <t>Sep</t>
  </si>
  <si>
    <t>Oct</t>
  </si>
  <si>
    <t>Nov</t>
  </si>
  <si>
    <t>Dec</t>
  </si>
  <si>
    <t>Electrical Consumption YTD</t>
  </si>
  <si>
    <t>kWh</t>
  </si>
  <si>
    <t>Sum of building consumption YTD</t>
  </si>
  <si>
    <t>OK</t>
  </si>
  <si>
    <t>Electrical kWh</t>
  </si>
  <si>
    <t>Electrical Cost YTD</t>
  </si>
  <si>
    <t>INR</t>
  </si>
  <si>
    <t>Sum of building electrical cost YTD</t>
  </si>
  <si>
    <t>Water L</t>
  </si>
  <si>
    <t>Water Consumption YTD</t>
  </si>
  <si>
    <t>L</t>
  </si>
  <si>
    <t>Sum of school water consumption YTD</t>
  </si>
  <si>
    <t>Generator Diesel L</t>
  </si>
  <si>
    <t>Generator Units YTD</t>
  </si>
  <si>
    <t>Sum of generator unit consumption YTD</t>
  </si>
  <si>
    <t>Repair Spend</t>
  </si>
  <si>
    <t>Generator Diesel YTD</t>
  </si>
  <si>
    <t>Sum of generator diesel consumption YTD</t>
  </si>
  <si>
    <t>Generator Runtime YTD</t>
  </si>
  <si>
    <t>hrs</t>
  </si>
  <si>
    <t>Sum of generator runtime YTD</t>
  </si>
  <si>
    <t>Repair Tickets YTD</t>
  </si>
  <si>
    <t>Tickets</t>
  </si>
  <si>
    <t>Sum of ticket count fields</t>
  </si>
  <si>
    <t>Repair Spend YTD</t>
  </si>
  <si>
    <t>Sum of spend fields</t>
  </si>
  <si>
    <t>AMC Expired</t>
  </si>
  <si>
    <t>Contracts</t>
  </si>
  <si>
    <t>AMC audit status</t>
  </si>
  <si>
    <t>AMC Date Errors</t>
  </si>
  <si>
    <t>AMC Expiring &lt;=30D</t>
  </si>
  <si>
    <t>Water-Test Exceptions</t>
  </si>
  <si>
    <t>Observations</t>
  </si>
  <si>
    <t>Static audit count from current data</t>
  </si>
  <si>
    <t>Electrical Data Coverage</t>
  </si>
  <si>
    <t>Months</t>
  </si>
  <si>
    <t>Months populated in core data</t>
  </si>
  <si>
    <t>Water Data Coverage</t>
  </si>
  <si>
    <t>Generator Data Coverage</t>
  </si>
  <si>
    <t>Repair Data Coverage</t>
  </si>
  <si>
    <t>Operational entries currently populated</t>
  </si>
  <si>
    <t>Water-Test Coverage</t>
  </si>
  <si>
    <t>Quarters</t>
  </si>
  <si>
    <t>Most locations populated through Q2</t>
  </si>
  <si>
    <t>Control Note</t>
  </si>
  <si>
    <t>Q4 readings not fabricated</t>
  </si>
  <si>
    <t>Missing Q4 source data remains intentionally blank</t>
  </si>
  <si>
    <t>AKESI FACILITY MANAGEMENT MIS – 2026</t>
  </si>
  <si>
    <t>Audit / reporting status as of 05-Oct-2026 | Missing Q4 source data intentionally not fabricated</t>
  </si>
  <si>
    <t>Electrical kWh YTD</t>
  </si>
  <si>
    <t>Water Litres YTD</t>
  </si>
  <si>
    <t>Electrical Coverage</t>
  </si>
  <si>
    <t>Water Coverage</t>
  </si>
  <si>
    <t>Generator Coverage</t>
  </si>
  <si>
    <t>MANAGEMENT ACTIONS / DATA GAPS</t>
  </si>
  <si>
    <t>Priority</t>
  </si>
  <si>
    <t>Area</t>
  </si>
  <si>
    <t>Issue</t>
  </si>
  <si>
    <t>Current State</t>
  </si>
  <si>
    <t>Owner / Next Step</t>
  </si>
  <si>
    <t>Target</t>
  </si>
  <si>
    <t>1</t>
  </si>
  <si>
    <t>Q4 data</t>
  </si>
  <si>
    <t>Oct-Dec electrical/water/generator data missing</t>
  </si>
  <si>
    <t>Incomplete</t>
  </si>
  <si>
    <t>Update source logs</t>
  </si>
  <si>
    <t>Immediate</t>
  </si>
  <si>
    <t>Water Tests</t>
  </si>
  <si>
    <t>Q3/Q4 records incomplete</t>
  </si>
  <si>
    <t>Complete testing + NABL reports</t>
  </si>
  <si>
    <t>Expired/date-error records identified</t>
  </si>
  <si>
    <t>Review</t>
  </si>
  <si>
    <t>Renew/close/confirm contracts</t>
  </si>
  <si>
    <t>2</t>
  </si>
  <si>
    <t>Formula Governance</t>
  </si>
  <si>
    <t>Historical hard-coded derived values remain</t>
  </si>
  <si>
    <t>Partial</t>
  </si>
  <si>
    <t>Use formula-driven source tables</t>
  </si>
  <si>
    <t>Ongoing</t>
  </si>
  <si>
    <t>MIS CALCULATION ENGINE — links every FM_Dashboard figure to the source sheets. Do not type here; enter data in the source sheets.</t>
  </si>
  <si>
    <t>Month list</t>
  </si>
  <si>
    <t>Days</t>
  </si>
  <si>
    <t>School list</t>
  </si>
  <si>
    <t>AMC-LOG name</t>
  </si>
  <si>
    <t>WATER TESTS name</t>
  </si>
  <si>
    <t>REPAIRS ticket column (in C:T)</t>
  </si>
  <si>
    <t>Dashboard month</t>
  </si>
  <si>
    <t>2026 YTD</t>
  </si>
  <si>
    <t>Dashboard school</t>
  </si>
  <si>
    <t>Jan-26</t>
  </si>
  <si>
    <t>Month column (1–12; 13 = YTD)</t>
  </si>
  <si>
    <t>Feb-26</t>
  </si>
  <si>
    <t>School row (1–10; 11 = All Schools)</t>
  </si>
  <si>
    <t>Mar-26</t>
  </si>
  <si>
    <t>Latest month with electricity data</t>
  </si>
  <si>
    <t>Apr-26</t>
  </si>
  <si>
    <t>Latest month index</t>
  </si>
  <si>
    <t>May-26</t>
  </si>
  <si>
    <t>Latest month reported by all 10 schools</t>
  </si>
  <si>
    <t>Jun-26</t>
  </si>
  <si>
    <t>Days in selection</t>
  </si>
  <si>
    <t>Jul-26</t>
  </si>
  <si>
    <t>Previous month column</t>
  </si>
  <si>
    <t>Repairs row (DJHSH PRI + HS are logged together)</t>
  </si>
  <si>
    <t>Sep-26</t>
  </si>
  <si>
    <t>Repairs ticket column of selected school</t>
  </si>
  <si>
    <t>Oct-26</t>
  </si>
  <si>
    <t>Watch threshold: selection vs YTD monthly average (editable)</t>
  </si>
  <si>
    <t>Nov-26</t>
  </si>
  <si>
    <t>Dec-26</t>
  </si>
  <si>
    <t>A1. Grid electricity (kWh) — Electrical Consmp.</t>
  </si>
  <si>
    <t>Avg per logged month</t>
  </si>
  <si>
    <t>Schools reporting (N = months logged)</t>
  </si>
  <si>
    <t>A2. Electricity cost (₹) — Electrical Consmp.</t>
  </si>
  <si>
    <t>A3. Solar generation (kWh) — Electrical Consmp.</t>
  </si>
  <si>
    <t>A4. Water consumed (litres) — Water Consmp.</t>
  </si>
  <si>
    <t>A5. Pupils (as logged on Water Consmp.)</t>
  </si>
  <si>
    <t>A6. Pupil-days (pupils × days, months with a water reading)</t>
  </si>
  <si>
    <t>A7. Pupil-months (pupils, months with an electricity reading)</t>
  </si>
  <si>
    <t>A8. Repair tickets — REPAIRS (DJHSH PRI + HS logged together, shown on PRI)</t>
  </si>
  <si>
    <t>A9. Repair spend (₹) — REPAIRS</t>
  </si>
  <si>
    <t>A10. Generator units (kWh) — GENERATOR CONSMP.</t>
  </si>
  <si>
    <t>A11. Generator diesel (litres)</t>
  </si>
  <si>
    <t>A12. Generator run hours</t>
  </si>
  <si>
    <t>A13. Water (litres) in months where pupils are logged — numerator for water per pupil</t>
  </si>
  <si>
    <t>A14. Electricity (kWh) in months where pupils are logged — numerator for electricity per pupil</t>
  </si>
  <si>
    <t>A15. Water per pupil per day (L) = litres ÷ pupil-days</t>
  </si>
  <si>
    <t>A16. Electricity unit cost (₹/kWh) = cost ÷ kWh</t>
  </si>
  <si>
    <t>A17. Electricity per pupil (kWh per pupil per month) = kWh ÷ pupil-months</t>
  </si>
  <si>
    <t>B. Selection engine — value for the month in B3 and the school in B4</t>
  </si>
  <si>
    <t>Key</t>
  </si>
  <si>
    <t>Type</t>
  </si>
  <si>
    <t>Selected</t>
  </si>
  <si>
    <t>Previous month</t>
  </si>
  <si>
    <t>YTD average per month</t>
  </si>
  <si>
    <t>Δ vs previous month</t>
  </si>
  <si>
    <t>Δ vs YTD average</t>
  </si>
  <si>
    <t>Schools reporting / months logged</t>
  </si>
  <si>
    <t>kwh</t>
  </si>
  <si>
    <t>Grid electricity</t>
  </si>
  <si>
    <t>sum</t>
  </si>
  <si>
    <t>cost</t>
  </si>
  <si>
    <t>Electricity cost</t>
  </si>
  <si>
    <t>₹</t>
  </si>
  <si>
    <t>solar</t>
  </si>
  <si>
    <t>Solar generation</t>
  </si>
  <si>
    <t>water</t>
  </si>
  <si>
    <t>Water consumed</t>
  </si>
  <si>
    <t>litres</t>
  </si>
  <si>
    <t>pupils</t>
  </si>
  <si>
    <t>avg</t>
  </si>
  <si>
    <t>pdays</t>
  </si>
  <si>
    <t>Pupil-days</t>
  </si>
  <si>
    <t>pupil-days</t>
  </si>
  <si>
    <t>pmonths</t>
  </si>
  <si>
    <t>Pupil-months</t>
  </si>
  <si>
    <t>pupil-months</t>
  </si>
  <si>
    <t>tkt</t>
  </si>
  <si>
    <t>tickets</t>
  </si>
  <si>
    <t>spend</t>
  </si>
  <si>
    <t>Repair spend</t>
  </si>
  <si>
    <t>dgu</t>
  </si>
  <si>
    <t>Generator units</t>
  </si>
  <si>
    <t>dgd</t>
  </si>
  <si>
    <t>Generator diesel</t>
  </si>
  <si>
    <t>dgh</t>
  </si>
  <si>
    <t>Generator run hours</t>
  </si>
  <si>
    <t>hours</t>
  </si>
  <si>
    <t>lpd</t>
  </si>
  <si>
    <t>Water per pupil per day</t>
  </si>
  <si>
    <t>L/pupil/day</t>
  </si>
  <si>
    <t>ratio</t>
  </si>
  <si>
    <t>rate</t>
  </si>
  <si>
    <t>Electricity unit cost</t>
  </si>
  <si>
    <t>₹/kWh</t>
  </si>
  <si>
    <t>kwhpp</t>
  </si>
  <si>
    <t>Electricity per pupil</t>
  </si>
  <si>
    <t>kWh/pupil/month</t>
  </si>
  <si>
    <t>coverage</t>
  </si>
  <si>
    <t>Data coverage (electricity + water school-months reported)</t>
  </si>
  <si>
    <t>%</t>
  </si>
  <si>
    <t>F = schools with electricity reading, G = schools with water reading (selected month)</t>
  </si>
  <si>
    <t>latest_missing</t>
  </si>
  <si>
    <t>Schools not yet reported for the latest month (E = electricity, F = water)</t>
  </si>
  <si>
    <t>C. Monthly series for the charts (selected school; blank months plot as 0)</t>
  </si>
  <si>
    <t>Series</t>
  </si>
  <si>
    <t>Grid electricity (kWh)</t>
  </si>
  <si>
    <t>Electricity cost (₹)</t>
  </si>
  <si>
    <t>Water consumed (kL)</t>
  </si>
  <si>
    <t>Water per pupil per day (L)</t>
  </si>
  <si>
    <t>Repair spend (₹)</t>
  </si>
  <si>
    <t>Solar generation — AKSM (kWh)</t>
  </si>
  <si>
    <t>Solar generation — AKSC (kWh)</t>
  </si>
  <si>
    <t>Solar generation — AKHH (kWh)</t>
  </si>
  <si>
    <t>Generator diesel — AKSC (L)</t>
  </si>
  <si>
    <t>Generator diesel — AKSM (L)</t>
  </si>
  <si>
    <t>Generator diesel — AKHH (L)</t>
  </si>
  <si>
    <t>D. School ranking for the bar charts (selected month / YTD; smallest first so the largest plots on top)</t>
  </si>
  <si>
    <t>Sort key</t>
  </si>
  <si>
    <t>Ranked school</t>
  </si>
  <si>
    <t>Ranked value</t>
  </si>
  <si>
    <t>Electricity unit cost (₹/kWh)</t>
  </si>
  <si>
    <t>DJHSH (PRI+HS)</t>
  </si>
  <si>
    <t>E. Repairs by category (selected school and period)</t>
  </si>
  <si>
    <t>Source label</t>
  </si>
  <si>
    <t>Category</t>
  </si>
  <si>
    <t>Spend (₹)</t>
  </si>
  <si>
    <t>Civil</t>
  </si>
  <si>
    <t>Mechanical</t>
  </si>
  <si>
    <t>Electrical</t>
  </si>
  <si>
    <t>Plumbing</t>
  </si>
  <si>
    <t>Carpentry</t>
  </si>
  <si>
    <t>Others &amp; IT</t>
  </si>
  <si>
    <t>F. AMC contracts by status (AMC-LOG column U; not month-filtered)</t>
  </si>
  <si>
    <t>TOTAL RECORDS</t>
  </si>
  <si>
    <t>G. Water-test results above the desirable limit (WATER TESTS rows 5–121; the STP section below row 121 is excluded)</t>
  </si>
  <si>
    <t>Measure</t>
  </si>
  <si>
    <t>Results above limit — all sample points (incl. raw source water)</t>
  </si>
  <si>
    <t>Results above limit — drinking-water / RO points</t>
  </si>
  <si>
    <t>Numeric results logged</t>
  </si>
  <si>
    <t>H. School scorecard (selected month / YTD)</t>
  </si>
  <si>
    <t>with PRI</t>
  </si>
  <si>
    <t>I. Watchlist values</t>
  </si>
  <si>
    <t>J. Helper — one row per REPAIRS row 4–120 (month from column A filled down; category from column B)</t>
  </si>
  <si>
    <t>REPAIRS row</t>
  </si>
  <si>
    <t>Month index</t>
  </si>
  <si>
    <t>Tickets — all schools</t>
  </si>
  <si>
    <t>Spend — all schools</t>
  </si>
  <si>
    <t>Tickets — selected school</t>
  </si>
  <si>
    <t>Spend — selected school</t>
  </si>
  <si>
    <t>K. Helper — one row per AMC-LOG row 3–120 (school from column A filled down)</t>
  </si>
  <si>
    <t>AMC-LOG row</t>
  </si>
  <si>
    <t>L. Helper — one row per WATER TESTS row 5–121 (school filled down; D = drinking-water / RO point, S = source or plant)</t>
  </si>
  <si>
    <t>WATER TESTS row</t>
  </si>
  <si>
    <t>Point class</t>
  </si>
  <si>
    <t>Results above limit</t>
  </si>
  <si>
    <t>Numeric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</si>
</sst>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0.000"/>
    <numFmt numFmtId="165" formatCode="0.0"/>
    <numFmt numFmtId="166" formatCode="&quot;₹&quot;\ #,##0.00"/>
    <numFmt numFmtId="167" formatCode="[$-409]mmm/yy;@"/>
    <numFmt numFmtId="168" formatCode="&quot;₹&quot;\ #,##0"/>
    <numFmt numFmtId="170" formatCode="dd\-mmm\-yyyy"/>
    <numFmt numFmtId="171" formatCode="\+0.0%;\-0.0%;0.0%"/>
    <numFmt numFmtId="172" formatCode="#,##0.0"/>
    <numFmt numFmtId="173" formatCode="&quot;₹&quot;#,##0.0&quot; L&quot;"/>
    <numFmt numFmtId="174" formatCode="&quot;₹&quot;#,##0.0&quot;k&quot;"/>
    <numFmt numFmtId="175" formatCode="\+0%;\-0%;0%"/>
  </numFmts>
  <fonts count="59" x14ac:knownFonts="1">
    <font>
      <sz val="11"/>
      <color theme="1"/>
      <name val="Calibri"/>
    </font>
    <font>
      <b/>
      <sz val="14"/>
      <color rgb="FF000000"/>
      <name val="Calibri"/>
    </font>
    <font>
      <b/>
      <sz val="11"/>
      <color rgb="FF000000"/>
      <name val="Calibri"/>
    </font>
    <font>
      <sz val="11"/>
      <color rgb="FF000000"/>
      <name val="Calibri"/>
    </font>
    <font>
      <b/>
      <sz val="11"/>
      <color theme="1"/>
      <name val="Calibri"/>
    </font>
    <font>
      <b/>
      <sz val="14"/>
      <color theme="1"/>
      <name val="Calibri"/>
    </font>
    <font>
      <b/>
      <sz val="10"/>
      <color theme="1"/>
      <name val="Calibri"/>
    </font>
    <font>
      <sz val="10"/>
      <color theme="1"/>
      <name val="Calibri"/>
    </font>
    <font>
      <b/>
      <sz val="11"/>
      <name val="Calibri"/>
    </font>
    <font>
      <sz val="11"/>
      <name val="Calibri"/>
    </font>
    <font>
      <sz val="11"/>
      <color rgb="FF000000"/>
      <name val="Calibri"/>
    </font>
    <font>
      <sz val="11"/>
      <color theme="0"/>
      <name val="Calibri"/>
    </font>
    <font>
      <sz val="14"/>
      <color theme="1"/>
      <name val="Calibri"/>
    </font>
    <font>
      <sz val="12"/>
      <name val="Angsana New"/>
    </font>
    <font>
      <sz val="12"/>
      <color theme="1"/>
      <name val="Angsana New"/>
    </font>
    <font>
      <b/>
      <sz val="16"/>
      <name val="Angsana New"/>
    </font>
    <font>
      <b/>
      <sz val="14"/>
      <color rgb="FF0070C0"/>
      <name val="Times New Roman"/>
    </font>
    <font>
      <sz val="11"/>
      <color rgb="FF444444"/>
      <name val="Calibri"/>
    </font>
    <font>
      <sz val="11"/>
      <color rgb="FFFF0000"/>
      <name val="Calibri"/>
    </font>
    <font>
      <b/>
      <sz val="16"/>
      <color theme="1"/>
      <name val="Calibri"/>
    </font>
    <font>
      <sz val="12"/>
      <color theme="1"/>
      <name val="Times New Roman"/>
    </font>
    <font>
      <b/>
      <sz val="10"/>
      <color rgb="FFFF0000"/>
      <name val="Calibri"/>
    </font>
    <font>
      <b/>
      <sz val="24"/>
      <color theme="4"/>
      <name val="Angsana New"/>
    </font>
    <font>
      <b/>
      <sz val="16"/>
      <color theme="4"/>
      <name val="Calibri"/>
    </font>
    <font>
      <b/>
      <sz val="11"/>
      <color rgb="FFC00000"/>
      <name val="Calibri"/>
    </font>
    <font>
      <b/>
      <sz val="11"/>
      <color rgb="FFFF0000"/>
      <name val="Calibri"/>
    </font>
    <font>
      <sz val="11"/>
      <color theme="1"/>
      <name val="Calibri"/>
    </font>
    <font>
      <sz val="10"/>
      <color theme="1"/>
      <name val="Times New Roman"/>
    </font>
    <font>
      <b/>
      <sz val="14"/>
      <color rgb="FFFFFFFF"/>
      <name val="Calibri"/>
    </font>
    <font>
      <b/>
      <sz val="11"/>
      <color rgb="FF17365D"/>
      <name val="Calibri"/>
    </font>
    <font>
      <b/>
      <sz val="11"/>
      <color rgb="FFFFFFFF"/>
      <name val="Calibri"/>
    </font>
    <font>
      <b/>
      <sz val="18"/>
      <color rgb="FFFFFFFF"/>
      <name val="Calibri"/>
    </font>
    <font>
      <i/>
      <sz val="11"/>
      <color rgb="FF17365D"/>
      <name val="Calibri"/>
    </font>
    <font>
      <b/>
      <sz val="10"/>
      <color rgb="FFFFFFFF"/>
      <name val="Calibri"/>
    </font>
    <font>
      <b/>
      <sz val="18"/>
      <color rgb="FF17365D"/>
      <name val="Calibri"/>
    </font>
    <font>
      <b/>
      <sz val="12"/>
      <color rgb="FF0B3D3A"/>
      <name val="Calibri"/>
    </font>
    <font>
      <b/>
      <sz val="10"/>
      <color rgb="FFFFFFFF"/>
      <name val="Calibri"/>
    </font>
    <font>
      <b/>
      <sz val="10"/>
      <color rgb="FF0000FF"/>
      <name val="Calibri"/>
    </font>
    <font>
      <b/>
      <sz val="11"/>
      <color rgb="FF0B3D3A"/>
      <name val="Calibri"/>
    </font>
    <font>
      <b/>
      <sz val="10"/>
      <color rgb="FF1B2631"/>
      <name val="Calibri"/>
    </font>
    <font>
      <i/>
      <sz val="9"/>
      <color rgb="FF5D6D7E"/>
      <name val="Calibri"/>
    </font>
    <font>
      <b/>
      <sz val="20"/>
      <color rgb="FFFFFFFF"/>
      <name val="Calibri"/>
    </font>
    <font>
      <b/>
      <sz val="8"/>
      <color rgb="FFA9DFBF"/>
      <name val="Calibri"/>
    </font>
    <font>
      <b/>
      <sz val="22"/>
      <color rgb="FFFFFFFF"/>
      <name val="Calibri"/>
    </font>
    <font>
      <i/>
      <sz val="10"/>
      <color rgb="FFFFFFFF"/>
      <name val="Calibri"/>
    </font>
    <font>
      <b/>
      <sz val="9"/>
      <color rgb="FF5D6D7E"/>
      <name val="Calibri"/>
    </font>
    <font>
      <b/>
      <sz val="10"/>
      <color rgb="FF0B3D3A"/>
      <name val="Calibri"/>
    </font>
    <font>
      <b/>
      <sz val="12"/>
      <color rgb="FF0000FF"/>
      <name val="Calibri"/>
    </font>
    <font>
      <b/>
      <sz val="10"/>
      <color rgb="FF1E8449"/>
      <name val="Calibri"/>
    </font>
    <font>
      <i/>
      <sz val="8"/>
      <color rgb="FF5D6D7E"/>
      <name val="Calibri"/>
    </font>
    <font>
      <b/>
      <sz val="10"/>
      <color rgb="FFF7DC6F"/>
      <name val="Calibri"/>
    </font>
    <font>
      <b/>
      <sz val="9"/>
      <color rgb="FFFFFFFF"/>
      <name val="Calibri"/>
    </font>
    <font>
      <b/>
      <sz val="20"/>
      <color rgb="FF1B2631"/>
      <name val="Calibri"/>
    </font>
    <font>
      <sz val="8"/>
      <color rgb="FF5D6D7E"/>
      <name val="Calibri"/>
    </font>
    <font>
      <b/>
      <sz val="11"/>
      <color rgb="FFFFFFFF"/>
      <name val="Calibri"/>
    </font>
    <font>
      <b/>
      <sz val="8"/>
      <color rgb="FFFFFFFF"/>
      <name val="Calibri"/>
    </font>
    <font>
      <b/>
      <sz val="9"/>
      <color rgb="FF1B2631"/>
      <name val="Calibri"/>
    </font>
    <font>
      <sz val="9"/>
      <color rgb="FF1B2631"/>
      <name val="Calibri"/>
    </font>
    <font>
      <sz val="8"/>
      <color rgb="FF1B2631"/>
      <name val="Calibri"/>
    </font>
  </fonts>
  <fills count="44">
    <fill>
      <patternFill patternType="none"/>
    </fill>
    <fill>
      <patternFill patternType="gray125"/>
    </fill>
    <fill>
      <patternFill patternType="solid">
        <fgColor rgb="FFFFF2CC"/>
      </patternFill>
    </fill>
    <fill>
      <patternFill patternType="solid">
        <fgColor rgb="FFF8CBAD"/>
      </patternFill>
    </fill>
    <fill>
      <patternFill patternType="solid">
        <fgColor theme="7" tint="0.79995117038483843"/>
        <bgColor indexed="65"/>
      </patternFill>
    </fill>
    <fill>
      <patternFill patternType="solid">
        <fgColor theme="8" tint="0.79995117038483843"/>
        <bgColor indexed="65"/>
      </patternFill>
    </fill>
    <fill>
      <patternFill patternType="solid">
        <fgColor theme="0"/>
      </patternFill>
    </fill>
    <fill>
      <patternFill patternType="solid">
        <fgColor rgb="FFFFFF00"/>
      </patternFill>
    </fill>
    <fill>
      <patternFill patternType="solid">
        <fgColor theme="9" tint="0.79995117038483843"/>
        <bgColor indexed="65"/>
      </patternFill>
    </fill>
    <fill>
      <patternFill patternType="solid">
        <fgColor theme="4" tint="0.39997558519241921"/>
        <bgColor indexed="65"/>
      </patternFill>
    </fill>
    <fill>
      <patternFill patternType="solid">
        <fgColor rgb="FFFFFFFF"/>
      </patternFill>
    </fill>
    <fill>
      <patternFill patternType="solid">
        <fgColor rgb="FFD6DCE4"/>
      </patternFill>
    </fill>
    <fill>
      <patternFill patternType="solid">
        <fgColor rgb="FFFFFFFF"/>
      </patternFill>
    </fill>
    <fill>
      <patternFill patternType="solid">
        <fgColor rgb="FFB7FFE7"/>
      </patternFill>
    </fill>
    <fill>
      <patternFill patternType="solid">
        <fgColor rgb="FF002060"/>
      </patternFill>
    </fill>
    <fill>
      <patternFill patternType="solid">
        <fgColor theme="9" tint="-0.49995422223578601"/>
        <bgColor indexed="65"/>
      </patternFill>
    </fill>
    <fill>
      <patternFill patternType="solid">
        <fgColor rgb="FFEFEFFF"/>
      </patternFill>
    </fill>
    <fill>
      <patternFill patternType="solid">
        <fgColor rgb="FFEFEFFF"/>
      </patternFill>
    </fill>
    <fill>
      <patternFill patternType="solid">
        <fgColor theme="9"/>
      </patternFill>
    </fill>
    <fill>
      <patternFill patternType="solid">
        <fgColor theme="9" tint="0.59996337778862885"/>
        <bgColor indexed="65"/>
      </patternFill>
    </fill>
    <fill>
      <patternFill patternType="solid">
        <fgColor theme="7" tint="0.39997558519241921"/>
        <bgColor indexed="65"/>
      </patternFill>
    </fill>
    <fill>
      <patternFill patternType="solid">
        <fgColor rgb="FF17365D"/>
      </patternFill>
    </fill>
    <fill>
      <patternFill patternType="solid">
        <fgColor rgb="FFDDEBF7"/>
      </patternFill>
    </fill>
    <fill>
      <patternFill patternType="solid">
        <fgColor rgb="FFF2F2F2"/>
      </patternFill>
    </fill>
    <fill>
      <patternFill patternType="solid">
        <fgColor rgb="FFEAF2F8"/>
      </patternFill>
    </fill>
    <fill>
      <patternFill patternType="solid">
        <fgColor rgb="FF2F75B5"/>
      </patternFill>
    </fill>
    <fill>
      <patternFill patternType="solid">
        <fgColor rgb="FFD9EAF7"/>
      </patternFill>
    </fill>
    <fill>
      <patternFill patternType="solid">
        <fgColor rgb="FFF8FAFC"/>
      </patternFill>
    </fill>
    <fill>
      <patternFill patternType="solid">
        <fgColor rgb="FF548235"/>
      </patternFill>
    </fill>
    <fill>
      <patternFill patternType="solid">
        <fgColor rgb="FFD9E2F3"/>
      </patternFill>
    </fill>
    <fill>
      <patternFill patternType="solid">
        <fgColor rgb="FF0B3D3A"/>
      </patternFill>
    </fill>
    <fill>
      <patternFill patternType="solid">
        <fgColor rgb="FFE8F6F3"/>
      </patternFill>
    </fill>
    <fill>
      <patternFill patternType="solid">
        <fgColor rgb="FFE8F0EC"/>
      </patternFill>
    </fill>
    <fill>
      <patternFill patternType="solid">
        <fgColor rgb="FF1E8449"/>
      </patternFill>
    </fill>
    <fill>
      <patternFill patternType="solid">
        <fgColor rgb="FFFFFFFF"/>
      </patternFill>
    </fill>
    <fill>
      <patternFill patternType="solid">
        <fgColor rgb="FFFEF9E7"/>
      </patternFill>
    </fill>
    <fill>
      <patternFill patternType="solid">
        <fgColor rgb="FF145A32"/>
      </patternFill>
    </fill>
    <fill>
      <patternFill patternType="solid">
        <fgColor rgb="FF2874A6"/>
      </patternFill>
    </fill>
    <fill>
      <patternFill patternType="solid">
        <fgColor rgb="FFC0562F"/>
      </patternFill>
    </fill>
    <fill>
      <patternFill patternType="solid">
        <fgColor rgb="FFD4A017"/>
      </patternFill>
    </fill>
    <fill>
      <patternFill patternType="solid">
        <fgColor rgb="FF13A89E"/>
      </patternFill>
    </fill>
    <fill>
      <patternFill patternType="solid">
        <fgColor rgb="FF6C5B9E"/>
      </patternFill>
    </fill>
    <fill>
      <patternFill patternType="solid">
        <fgColor rgb="FF922B21"/>
      </patternFill>
    </fill>
    <fill>
      <patternFill patternType="solid">
        <fgColor rgb="FF7D6608"/>
      </patternFill>
    </fill>
  </fills>
  <borders count="15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thin">
        <color rgb="FF000000"/>
      </right>
      <top style="medium">
        <color indexed="64"/>
      </top>
      <bottom/>
      <diagonal/>
    </border>
    <border>
      <left style="thin">
        <color rgb="FF000000"/>
      </left>
      <right style="medium">
        <color indexed="64"/>
      </right>
      <top style="thin">
        <color rgb="FF000000"/>
      </top>
      <bottom/>
      <diagonal/>
    </border>
    <border>
      <left style="thin">
        <color rgb="FF000000"/>
      </left>
      <right style="medium">
        <color indexed="64"/>
      </right>
      <top style="medium">
        <color indexed="64"/>
      </top>
      <bottom/>
      <diagonal/>
    </border>
    <border>
      <left style="thin">
        <color rgb="FF000000"/>
      </left>
      <right style="medium">
        <color indexed="64"/>
      </right>
      <top/>
      <bottom style="medium">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thin">
        <color indexed="64"/>
      </left>
      <right style="medium">
        <color rgb="FF000000"/>
      </right>
      <top style="thin">
        <color indexed="64"/>
      </top>
      <bottom style="thin">
        <color indexed="64"/>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right style="thin">
        <color indexed="64"/>
      </right>
      <top style="thin">
        <color indexed="64"/>
      </top>
      <bottom style="medium">
        <color rgb="FF000000"/>
      </bottom>
      <diagonal/>
    </border>
    <border>
      <left/>
      <right style="thin">
        <color indexed="64"/>
      </right>
      <top style="medium">
        <color rgb="FF000000"/>
      </top>
      <bottom style="thin">
        <color indexed="64"/>
      </bottom>
      <diagonal/>
    </border>
    <border>
      <left style="thin">
        <color indexed="64"/>
      </left>
      <right style="medium">
        <color rgb="FF000000"/>
      </right>
      <top style="thin">
        <color indexed="64"/>
      </top>
      <bottom/>
      <diagonal/>
    </border>
    <border>
      <left style="medium">
        <color rgb="FF000000"/>
      </left>
      <right style="thin">
        <color indexed="64"/>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diagonal/>
    </border>
    <border>
      <left/>
      <right style="medium">
        <color rgb="FF000000"/>
      </right>
      <top style="thin">
        <color indexed="64"/>
      </top>
      <bottom/>
      <diagonal/>
    </border>
    <border>
      <left style="medium">
        <color rgb="FF000000"/>
      </left>
      <right/>
      <top style="medium">
        <color rgb="FF000000"/>
      </top>
      <bottom style="thin">
        <color indexed="64"/>
      </bottom>
      <diagonal/>
    </border>
    <border>
      <left style="thin">
        <color rgb="FF000000"/>
      </left>
      <right style="thin">
        <color rgb="FF000000"/>
      </right>
      <top style="medium">
        <color rgb="FF000000"/>
      </top>
      <bottom style="thin">
        <color rgb="FF000000"/>
      </bottom>
      <diagonal/>
    </border>
    <border>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style="thin">
        <color rgb="FF000000"/>
      </left>
      <right style="medium">
        <color indexed="64"/>
      </right>
      <top/>
      <bottom/>
      <diagonal/>
    </border>
    <border>
      <left/>
      <right/>
      <top style="thin">
        <color rgb="FF000000"/>
      </top>
      <bottom style="thin">
        <color rgb="FF000000"/>
      </bottom>
      <diagonal/>
    </border>
    <border>
      <left/>
      <right/>
      <top style="thin">
        <color rgb="FF000000"/>
      </top>
      <bottom style="medium">
        <color indexed="64"/>
      </bottom>
      <diagonal/>
    </border>
    <border>
      <left/>
      <right style="thin">
        <color rgb="FF000000"/>
      </right>
      <top/>
      <bottom style="medium">
        <color indexed="64"/>
      </bottom>
      <diagonal/>
    </border>
    <border>
      <left style="thin">
        <color rgb="FF000000"/>
      </left>
      <right style="medium">
        <color indexed="64"/>
      </right>
      <top/>
      <bottom style="thin">
        <color rgb="FF000000"/>
      </bottom>
      <diagonal/>
    </border>
    <border>
      <left style="medium">
        <color rgb="FF000000"/>
      </left>
      <right style="medium">
        <color rgb="FF000000"/>
      </right>
      <top/>
      <bottom style="thin">
        <color rgb="FF000000"/>
      </bottom>
      <diagonal/>
    </border>
    <border>
      <left style="thin">
        <color indexed="64"/>
      </left>
      <right/>
      <top style="thin">
        <color indexed="64"/>
      </top>
      <bottom style="medium">
        <color rgb="FF000000"/>
      </bottom>
      <diagonal/>
    </border>
    <border>
      <left style="medium">
        <color rgb="FF000000"/>
      </left>
      <right/>
      <top/>
      <bottom/>
      <diagonal/>
    </border>
    <border>
      <left style="medium">
        <color rgb="FF000000"/>
      </left>
      <right/>
      <top style="thin">
        <color indexed="64"/>
      </top>
      <bottom style="medium">
        <color rgb="FF000000"/>
      </bottom>
      <diagonal/>
    </border>
    <border>
      <left style="medium">
        <color rgb="FF000000"/>
      </left>
      <right/>
      <top style="thin">
        <color indexed="64"/>
      </top>
      <bottom/>
      <diagonal/>
    </border>
    <border>
      <left/>
      <right style="medium">
        <color rgb="FF000000"/>
      </right>
      <top/>
      <bottom/>
      <diagonal/>
    </border>
    <border>
      <left/>
      <right style="medium">
        <color rgb="FF000000"/>
      </right>
      <top style="medium">
        <color rgb="FF000000"/>
      </top>
      <bottom style="thin">
        <color indexed="64"/>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medium">
        <color rgb="FF000000"/>
      </bottom>
      <diagonal/>
    </border>
    <border>
      <left style="medium">
        <color rgb="FF000000"/>
      </left>
      <right style="thin">
        <color indexed="64"/>
      </right>
      <top/>
      <bottom/>
      <diagonal/>
    </border>
    <border>
      <left style="medium">
        <color rgb="FF000000"/>
      </left>
      <right/>
      <top style="thin">
        <color indexed="64"/>
      </top>
      <bottom style="thin">
        <color indexed="64"/>
      </bottom>
      <diagonal/>
    </border>
    <border>
      <left style="medium">
        <color rgb="FF000000"/>
      </left>
      <right/>
      <top/>
      <bottom style="thin">
        <color indexed="64"/>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rgb="FF000000"/>
      </bottom>
      <diagonal/>
    </border>
    <border>
      <left style="thin">
        <color rgb="FF000000"/>
      </left>
      <right/>
      <top style="thin">
        <color rgb="FF000000"/>
      </top>
      <bottom style="medium">
        <color indexed="64"/>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style="thin">
        <color indexed="64"/>
      </left>
      <right style="medium">
        <color rgb="FF000000"/>
      </right>
      <top style="thin">
        <color indexed="64"/>
      </top>
      <bottom style="thin">
        <color indexed="64"/>
      </bottom>
      <diagonal/>
    </border>
    <border>
      <left/>
      <right style="medium">
        <color rgb="FF000000"/>
      </right>
      <top style="thin">
        <color indexed="64"/>
      </top>
      <bottom/>
      <diagonal/>
    </border>
    <border>
      <left/>
      <right/>
      <top style="medium">
        <color rgb="FF000000"/>
      </top>
      <bottom/>
      <diagonal/>
    </border>
    <border>
      <left style="medium">
        <color rgb="FF000000"/>
      </left>
      <right/>
      <top/>
      <bottom style="medium">
        <color rgb="FF000000"/>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rgb="FF000000"/>
      </top>
      <bottom style="thin">
        <color rgb="FF000000"/>
      </bottom>
      <diagonal/>
    </border>
    <border>
      <left/>
      <right style="thin">
        <color indexed="64"/>
      </right>
      <top/>
      <bottom/>
      <diagonal/>
    </border>
    <border>
      <left style="medium">
        <color rgb="FF000000"/>
      </left>
      <right/>
      <top/>
      <bottom/>
      <diagonal/>
    </border>
    <border>
      <left style="medium">
        <color rgb="FF000000"/>
      </left>
      <right/>
      <top style="thin">
        <color indexed="64"/>
      </top>
      <bottom style="medium">
        <color rgb="FF000000"/>
      </bottom>
      <diagonal/>
    </border>
    <border>
      <left style="medium">
        <color rgb="FF000000"/>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indexed="64"/>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medium">
        <color rgb="FF000000"/>
      </left>
      <right/>
      <top style="medium">
        <color rgb="FF000000"/>
      </top>
      <bottom style="thin">
        <color rgb="FF000000"/>
      </bottom>
      <diagonal/>
    </border>
    <border>
      <left/>
      <right/>
      <top style="thin">
        <color indexed="64"/>
      </top>
      <bottom style="medium">
        <color rgb="FF000000"/>
      </bottom>
      <diagonal/>
    </border>
    <border>
      <left/>
      <right style="medium">
        <color rgb="FF000000"/>
      </right>
      <top style="thin">
        <color indexed="64"/>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medium">
        <color indexed="64"/>
      </left>
      <right style="thin">
        <color rgb="FF000000"/>
      </right>
      <top/>
      <bottom/>
      <diagonal/>
    </border>
    <border>
      <left style="medium">
        <color indexed="64"/>
      </left>
      <right style="thin">
        <color rgb="FF000000"/>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thin">
        <color rgb="FF000000"/>
      </bottom>
      <diagonal/>
    </border>
    <border>
      <left style="medium">
        <color indexed="64"/>
      </left>
      <right style="thin">
        <color rgb="FF000000"/>
      </right>
      <top style="medium">
        <color indexed="64"/>
      </top>
      <bottom style="thin">
        <color rgb="FF000000"/>
      </bottom>
      <diagonal/>
    </border>
    <border>
      <left/>
      <right style="medium">
        <color rgb="FF000000"/>
      </right>
      <top style="thin">
        <color indexed="64"/>
      </top>
      <bottom style="thin">
        <color indexed="64"/>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top/>
      <bottom style="thin">
        <color indexed="64"/>
      </bottom>
      <diagonal/>
    </border>
    <border>
      <left style="medium">
        <color rgb="FF000000"/>
      </left>
      <right style="medium">
        <color rgb="FF000000"/>
      </right>
      <top style="thin">
        <color indexed="64"/>
      </top>
      <bottom/>
      <diagonal/>
    </border>
    <border>
      <left/>
      <right style="thin">
        <color rgb="FF000000"/>
      </right>
      <top style="medium">
        <color rgb="FF000000"/>
      </top>
      <bottom style="medium">
        <color rgb="FF000000"/>
      </bottom>
      <diagonal/>
    </border>
    <border>
      <left style="medium">
        <color rgb="FF000000"/>
      </left>
      <right style="medium">
        <color rgb="FF000000"/>
      </right>
      <top style="thin">
        <color indexed="64"/>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thin">
        <color rgb="FF000000"/>
      </bottom>
      <diagonal/>
    </border>
    <border>
      <left/>
      <right style="thin">
        <color rgb="FF000000"/>
      </right>
      <top/>
      <bottom style="medium">
        <color rgb="FF000000"/>
      </bottom>
      <diagonal/>
    </border>
    <border>
      <left style="thin">
        <color indexed="64"/>
      </left>
      <right style="thin">
        <color indexed="64"/>
      </right>
      <top style="thin">
        <color rgb="FF000000"/>
      </top>
      <bottom style="thin">
        <color indexed="64"/>
      </bottom>
      <diagonal/>
    </border>
    <border>
      <left style="medium">
        <color indexed="64"/>
      </left>
      <right style="thin">
        <color rgb="FF000000"/>
      </right>
      <top style="medium">
        <color indexed="64"/>
      </top>
      <bottom style="medium">
        <color indexed="64"/>
      </bottom>
      <diagonal/>
    </border>
    <border>
      <left style="medium">
        <color indexed="64"/>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thin">
        <color rgb="FFC9D6CF"/>
      </left>
      <right style="thin">
        <color rgb="FFC9D6CF"/>
      </right>
      <top style="thin">
        <color rgb="FFC9D6CF"/>
      </top>
      <bottom style="thin">
        <color rgb="FFC9D6CF"/>
      </bottom>
      <diagonal/>
    </border>
    <border>
      <left style="thick">
        <color rgb="FF2874A6"/>
      </left>
      <right/>
      <top/>
      <bottom/>
      <diagonal/>
    </border>
    <border>
      <left style="thick">
        <color rgb="FFC0562F"/>
      </left>
      <right/>
      <top/>
      <bottom/>
      <diagonal/>
    </border>
    <border>
      <left style="thick">
        <color rgb="FFD4A017"/>
      </left>
      <right/>
      <top/>
      <bottom/>
      <diagonal/>
    </border>
    <border>
      <left style="thick">
        <color rgb="FF13A89E"/>
      </left>
      <right/>
      <top/>
      <bottom/>
      <diagonal/>
    </border>
    <border>
      <left style="thick">
        <color rgb="FF6C5B9E"/>
      </left>
      <right/>
      <top/>
      <bottom/>
      <diagonal/>
    </border>
    <border>
      <left style="thick">
        <color rgb="FF0B3D3A"/>
      </left>
      <right/>
      <top/>
      <bottom/>
      <diagonal/>
    </border>
    <border>
      <left style="thick">
        <color rgb="FF1E8449"/>
      </left>
      <right/>
      <top/>
      <bottom/>
      <diagonal/>
    </border>
  </borders>
  <cellStyleXfs count="4">
    <xf numFmtId="0" fontId="0" fillId="0" borderId="79"/>
    <xf numFmtId="43" fontId="26" fillId="0" borderId="79"/>
    <xf numFmtId="0" fontId="9" fillId="0" borderId="79"/>
    <xf numFmtId="0" fontId="26" fillId="0" borderId="79">
      <alignment horizontal="center"/>
    </xf>
  </cellStyleXfs>
  <cellXfs count="732">
    <xf numFmtId="0" fontId="0" fillId="0" borderId="0" xfId="0" applyBorder="1"/>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Border="1" applyAlignment="1">
      <alignment horizontal="center" vertical="center"/>
    </xf>
    <xf numFmtId="0" fontId="0" fillId="0" borderId="0" xfId="0" applyBorder="1" applyAlignment="1">
      <alignment horizontal="center"/>
    </xf>
    <xf numFmtId="0" fontId="0" fillId="0" borderId="1" xfId="0" applyBorder="1" applyAlignment="1">
      <alignment horizontal="center"/>
    </xf>
    <xf numFmtId="0" fontId="0" fillId="0" borderId="0" xfId="0" applyBorder="1" applyAlignment="1">
      <alignment vertical="center"/>
    </xf>
    <xf numFmtId="2" fontId="0" fillId="0" borderId="1" xfId="0" applyNumberFormat="1" applyBorder="1" applyAlignment="1">
      <alignment horizontal="center" vertical="center"/>
    </xf>
    <xf numFmtId="2" fontId="0" fillId="0" borderId="1" xfId="0" applyNumberFormat="1" applyBorder="1" applyAlignment="1">
      <alignment horizontal="center"/>
    </xf>
    <xf numFmtId="0" fontId="0" fillId="7" borderId="1" xfId="0" applyFill="1" applyBorder="1" applyAlignment="1">
      <alignment horizontal="center" vertical="center"/>
    </xf>
    <xf numFmtId="0" fontId="11" fillId="6" borderId="0" xfId="0" applyFont="1" applyFill="1" applyBorder="1" applyAlignment="1">
      <alignment vertical="center"/>
    </xf>
    <xf numFmtId="0" fontId="0" fillId="0" borderId="1" xfId="0" applyBorder="1" applyAlignment="1">
      <alignment vertical="center"/>
    </xf>
    <xf numFmtId="0" fontId="0" fillId="0" borderId="0" xfId="0" applyBorder="1" applyAlignment="1">
      <alignment horizontal="center" vertical="center" wrapText="1"/>
    </xf>
    <xf numFmtId="0" fontId="12" fillId="0" borderId="1" xfId="0" applyFont="1" applyBorder="1" applyAlignment="1">
      <alignment horizontal="center" vertical="center"/>
    </xf>
    <xf numFmtId="0" fontId="14" fillId="10" borderId="0" xfId="0" applyFont="1" applyFill="1" applyBorder="1"/>
    <xf numFmtId="0" fontId="14" fillId="10" borderId="0" xfId="0" applyFont="1" applyFill="1" applyBorder="1" applyAlignment="1">
      <alignment horizontal="center" vertical="center"/>
    </xf>
    <xf numFmtId="0" fontId="14" fillId="10" borderId="0" xfId="0" applyFont="1" applyFill="1" applyBorder="1" applyAlignment="1">
      <alignment horizontal="center"/>
    </xf>
    <xf numFmtId="0" fontId="14" fillId="10" borderId="12" xfId="0" applyFont="1" applyFill="1" applyBorder="1" applyAlignment="1">
      <alignment horizontal="center"/>
    </xf>
    <xf numFmtId="0" fontId="13" fillId="10" borderId="13" xfId="0" applyFont="1" applyFill="1" applyBorder="1" applyAlignment="1">
      <alignment horizontal="left" vertical="center" wrapText="1"/>
    </xf>
    <xf numFmtId="0" fontId="13" fillId="10" borderId="12" xfId="0" applyFont="1" applyFill="1" applyBorder="1" applyAlignment="1">
      <alignment vertical="center" wrapText="1"/>
    </xf>
    <xf numFmtId="0" fontId="13" fillId="10" borderId="12" xfId="0" applyFont="1" applyFill="1" applyBorder="1" applyAlignment="1">
      <alignment horizontal="center" vertical="center" wrapText="1"/>
    </xf>
    <xf numFmtId="0" fontId="14" fillId="10" borderId="13" xfId="0" applyFont="1" applyFill="1" applyBorder="1" applyAlignment="1">
      <alignment horizontal="center"/>
    </xf>
    <xf numFmtId="0" fontId="14" fillId="10" borderId="12" xfId="0" applyFont="1" applyFill="1" applyBorder="1" applyAlignment="1">
      <alignment horizontal="center" vertical="center"/>
    </xf>
    <xf numFmtId="0" fontId="13" fillId="10" borderId="14" xfId="0" applyFont="1" applyFill="1" applyBorder="1" applyAlignment="1">
      <alignment horizontal="center" vertical="center" wrapText="1"/>
    </xf>
    <xf numFmtId="0" fontId="13" fillId="12" borderId="17" xfId="0" applyFont="1" applyFill="1" applyBorder="1" applyAlignment="1">
      <alignment horizontal="center" wrapText="1"/>
    </xf>
    <xf numFmtId="0" fontId="13" fillId="12" borderId="17" xfId="0" applyFont="1" applyFill="1" applyBorder="1" applyAlignment="1">
      <alignment horizontal="center" vertical="center" wrapText="1"/>
    </xf>
    <xf numFmtId="0" fontId="14" fillId="10" borderId="0" xfId="0" applyFont="1" applyFill="1" applyBorder="1" applyAlignment="1">
      <alignment vertical="center"/>
    </xf>
    <xf numFmtId="0" fontId="14" fillId="10" borderId="0" xfId="0" applyFont="1" applyFill="1" applyBorder="1" applyAlignment="1">
      <alignment horizontal="left"/>
    </xf>
    <xf numFmtId="0" fontId="0" fillId="7" borderId="1" xfId="0" applyFill="1" applyBorder="1" applyAlignment="1">
      <alignment horizontal="center"/>
    </xf>
    <xf numFmtId="0" fontId="0" fillId="7" borderId="1" xfId="0" applyFill="1" applyBorder="1" applyAlignment="1">
      <alignment horizontal="center" vertical="center" wrapText="1"/>
    </xf>
    <xf numFmtId="1" fontId="0" fillId="7" borderId="1" xfId="0" applyNumberFormat="1" applyFill="1" applyBorder="1" applyAlignment="1">
      <alignment horizontal="center"/>
    </xf>
    <xf numFmtId="2" fontId="0" fillId="6" borderId="1" xfId="0" applyNumberFormat="1" applyFill="1" applyBorder="1" applyAlignment="1">
      <alignment horizontal="center" vertical="center" wrapText="1"/>
    </xf>
    <xf numFmtId="2" fontId="0" fillId="0" borderId="0" xfId="0" applyNumberFormat="1" applyBorder="1" applyAlignment="1">
      <alignment horizontal="center"/>
    </xf>
    <xf numFmtId="164" fontId="10" fillId="12" borderId="1" xfId="0" applyNumberFormat="1" applyFont="1" applyFill="1" applyBorder="1" applyAlignment="1">
      <alignment horizontal="center" vertical="center"/>
    </xf>
    <xf numFmtId="165" fontId="0" fillId="0" borderId="0" xfId="0" applyNumberFormat="1" applyBorder="1" applyAlignment="1">
      <alignment horizontal="center"/>
    </xf>
    <xf numFmtId="0" fontId="0" fillId="6" borderId="7" xfId="0" applyFill="1" applyBorder="1" applyAlignment="1">
      <alignment horizontal="center"/>
    </xf>
    <xf numFmtId="0" fontId="0" fillId="6" borderId="9" xfId="0" applyFill="1" applyBorder="1" applyAlignment="1">
      <alignment horizontal="center"/>
    </xf>
    <xf numFmtId="0" fontId="0" fillId="6" borderId="8" xfId="0" applyFill="1" applyBorder="1" applyAlignment="1">
      <alignment horizontal="center"/>
    </xf>
    <xf numFmtId="2" fontId="0" fillId="6" borderId="1" xfId="0" applyNumberFormat="1" applyFill="1" applyBorder="1" applyAlignment="1">
      <alignment horizontal="center"/>
    </xf>
    <xf numFmtId="16" fontId="0" fillId="0" borderId="0" xfId="0" applyNumberFormat="1" applyBorder="1" applyAlignment="1">
      <alignment horizontal="center"/>
    </xf>
    <xf numFmtId="166" fontId="13" fillId="10" borderId="12" xfId="0" applyNumberFormat="1" applyFont="1" applyFill="1" applyBorder="1" applyAlignment="1">
      <alignment vertical="center" wrapText="1"/>
    </xf>
    <xf numFmtId="166" fontId="13" fillId="10" borderId="12" xfId="0" applyNumberFormat="1" applyFont="1" applyFill="1" applyBorder="1" applyAlignment="1">
      <alignment horizontal="center" vertical="center" wrapText="1"/>
    </xf>
    <xf numFmtId="166" fontId="13" fillId="10" borderId="14" xfId="0" applyNumberFormat="1" applyFont="1" applyFill="1" applyBorder="1" applyAlignment="1">
      <alignment horizontal="center" vertical="center" wrapText="1"/>
    </xf>
    <xf numFmtId="166" fontId="14" fillId="10" borderId="0" xfId="0" applyNumberFormat="1" applyFont="1" applyFill="1" applyBorder="1"/>
    <xf numFmtId="166" fontId="13" fillId="10" borderId="12" xfId="0" applyNumberFormat="1" applyFont="1" applyFill="1" applyBorder="1" applyAlignment="1">
      <alignment horizontal="right" vertical="center" wrapText="1"/>
    </xf>
    <xf numFmtId="166" fontId="13" fillId="10" borderId="14" xfId="0" applyNumberFormat="1" applyFont="1" applyFill="1" applyBorder="1" applyAlignment="1">
      <alignment horizontal="right" vertical="center" wrapText="1"/>
    </xf>
    <xf numFmtId="166" fontId="14" fillId="10" borderId="0" xfId="0" applyNumberFormat="1" applyFont="1" applyFill="1" applyBorder="1" applyAlignment="1">
      <alignment horizontal="right"/>
    </xf>
    <xf numFmtId="0" fontId="14" fillId="10" borderId="0" xfId="0" applyFont="1" applyFill="1" applyBorder="1" applyAlignment="1">
      <alignment horizontal="right"/>
    </xf>
    <xf numFmtId="0" fontId="14" fillId="10" borderId="0" xfId="0" applyFont="1" applyFill="1" applyBorder="1" applyAlignment="1">
      <alignment horizontal="right" vertical="center"/>
    </xf>
    <xf numFmtId="0" fontId="11" fillId="14" borderId="1" xfId="0" applyFont="1" applyFill="1" applyBorder="1" applyAlignment="1">
      <alignment horizontal="center" vertical="top" wrapText="1"/>
    </xf>
    <xf numFmtId="0" fontId="18" fillId="0" borderId="1" xfId="0" applyFont="1" applyBorder="1" applyAlignment="1">
      <alignment horizontal="center" vertical="center"/>
    </xf>
    <xf numFmtId="0" fontId="18" fillId="0" borderId="3" xfId="0" applyFont="1" applyBorder="1" applyAlignment="1">
      <alignment horizontal="center" vertical="center"/>
    </xf>
    <xf numFmtId="0" fontId="18" fillId="0" borderId="0" xfId="0" applyFont="1" applyBorder="1" applyAlignment="1">
      <alignment horizontal="center" vertical="center"/>
    </xf>
    <xf numFmtId="0" fontId="11" fillId="15" borderId="2" xfId="0" applyFont="1" applyFill="1" applyBorder="1" applyAlignment="1">
      <alignment horizontal="center" vertical="center"/>
    </xf>
    <xf numFmtId="165" fontId="11" fillId="15" borderId="2" xfId="0" applyNumberFormat="1" applyFont="1" applyFill="1" applyBorder="1" applyAlignment="1">
      <alignment horizontal="center" vertical="center"/>
    </xf>
    <xf numFmtId="49" fontId="11" fillId="15" borderId="2" xfId="0" applyNumberFormat="1" applyFont="1" applyFill="1" applyBorder="1" applyAlignment="1">
      <alignment horizontal="center" vertical="center"/>
    </xf>
    <xf numFmtId="0" fontId="11" fillId="15" borderId="2"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0" fillId="16" borderId="1" xfId="0" applyFill="1" applyBorder="1" applyAlignment="1">
      <alignment horizontal="center" vertical="center"/>
    </xf>
    <xf numFmtId="0" fontId="0" fillId="16" borderId="1" xfId="0" applyFill="1" applyBorder="1" applyAlignment="1">
      <alignment vertical="center"/>
    </xf>
    <xf numFmtId="2" fontId="0" fillId="16" borderId="1" xfId="0" applyNumberFormat="1" applyFill="1" applyBorder="1" applyAlignment="1">
      <alignment horizontal="center" vertical="center"/>
    </xf>
    <xf numFmtId="0" fontId="15" fillId="2" borderId="14" xfId="0" applyFont="1" applyFill="1" applyBorder="1" applyAlignment="1">
      <alignment horizontal="center" vertical="center" wrapText="1"/>
    </xf>
    <xf numFmtId="0" fontId="15" fillId="2" borderId="15" xfId="0" applyFont="1" applyFill="1" applyBorder="1" applyAlignment="1">
      <alignment horizontal="center" vertical="center" wrapText="1"/>
    </xf>
    <xf numFmtId="0" fontId="15" fillId="2" borderId="16" xfId="0" applyFont="1" applyFill="1" applyBorder="1" applyAlignment="1">
      <alignment horizontal="center" vertical="center" wrapText="1"/>
    </xf>
    <xf numFmtId="0" fontId="13" fillId="16" borderId="12" xfId="0" applyFont="1" applyFill="1" applyBorder="1" applyAlignment="1">
      <alignment vertical="center" wrapText="1"/>
    </xf>
    <xf numFmtId="166" fontId="13" fillId="16" borderId="12" xfId="0" applyNumberFormat="1" applyFont="1" applyFill="1" applyBorder="1" applyAlignment="1">
      <alignment horizontal="center" vertical="center" wrapText="1"/>
    </xf>
    <xf numFmtId="0" fontId="13" fillId="16" borderId="12" xfId="0" applyFont="1" applyFill="1" applyBorder="1" applyAlignment="1">
      <alignment horizontal="center" vertical="center" wrapText="1"/>
    </xf>
    <xf numFmtId="166" fontId="13" fillId="16" borderId="12" xfId="0" applyNumberFormat="1" applyFont="1" applyFill="1" applyBorder="1" applyAlignment="1">
      <alignment horizontal="right" vertical="center" wrapText="1"/>
    </xf>
    <xf numFmtId="0" fontId="14" fillId="16" borderId="12" xfId="0" applyFont="1" applyFill="1" applyBorder="1" applyAlignment="1">
      <alignment horizontal="center"/>
    </xf>
    <xf numFmtId="0" fontId="14" fillId="16" borderId="12" xfId="0" applyFont="1" applyFill="1" applyBorder="1" applyAlignment="1">
      <alignment horizontal="center" vertical="center"/>
    </xf>
    <xf numFmtId="0" fontId="13" fillId="16" borderId="14" xfId="0" applyFont="1" applyFill="1" applyBorder="1" applyAlignment="1">
      <alignment horizontal="center" vertical="center" wrapText="1"/>
    </xf>
    <xf numFmtId="166" fontId="13" fillId="16" borderId="14" xfId="0" applyNumberFormat="1" applyFont="1" applyFill="1" applyBorder="1" applyAlignment="1">
      <alignment horizontal="center" vertical="center" wrapText="1"/>
    </xf>
    <xf numFmtId="166" fontId="13" fillId="16" borderId="14" xfId="0" applyNumberFormat="1" applyFont="1" applyFill="1" applyBorder="1" applyAlignment="1">
      <alignment horizontal="right" vertical="center" wrapText="1"/>
    </xf>
    <xf numFmtId="0" fontId="14" fillId="16" borderId="14" xfId="0" applyFont="1" applyFill="1" applyBorder="1" applyAlignment="1">
      <alignment horizontal="center"/>
    </xf>
    <xf numFmtId="0" fontId="13" fillId="17" borderId="12" xfId="0" applyFont="1" applyFill="1" applyBorder="1" applyAlignment="1">
      <alignment horizontal="center" wrapText="1"/>
    </xf>
    <xf numFmtId="0" fontId="14" fillId="16" borderId="13" xfId="0" applyFont="1" applyFill="1" applyBorder="1" applyAlignment="1">
      <alignment horizontal="center"/>
    </xf>
    <xf numFmtId="0" fontId="13" fillId="16" borderId="13" xfId="0" applyFont="1" applyFill="1" applyBorder="1" applyAlignment="1">
      <alignment horizontal="left" vertical="center" wrapText="1"/>
    </xf>
    <xf numFmtId="0" fontId="13" fillId="17" borderId="17" xfId="0" applyFont="1" applyFill="1" applyBorder="1" applyAlignment="1">
      <alignment horizontal="center" vertical="center" wrapText="1"/>
    </xf>
    <xf numFmtId="0" fontId="14" fillId="16" borderId="13" xfId="0" applyFont="1" applyFill="1" applyBorder="1" applyAlignment="1">
      <alignment horizontal="center" vertical="center"/>
    </xf>
    <xf numFmtId="0" fontId="13" fillId="17" borderId="18" xfId="0" applyFont="1" applyFill="1" applyBorder="1" applyAlignment="1">
      <alignment horizontal="center" vertical="center" wrapText="1"/>
    </xf>
    <xf numFmtId="0" fontId="14" fillId="16" borderId="15" xfId="0" applyFont="1" applyFill="1" applyBorder="1" applyAlignment="1">
      <alignment horizontal="center" vertical="center"/>
    </xf>
    <xf numFmtId="0" fontId="13" fillId="16" borderId="19" xfId="0" applyFont="1" applyFill="1" applyBorder="1" applyAlignment="1">
      <alignment horizontal="left" vertical="center" wrapText="1"/>
    </xf>
    <xf numFmtId="0" fontId="13" fillId="16" borderId="20" xfId="0" applyFont="1" applyFill="1" applyBorder="1" applyAlignment="1">
      <alignment horizontal="center" vertical="center" wrapText="1"/>
    </xf>
    <xf numFmtId="166" fontId="13" fillId="16" borderId="20" xfId="0" applyNumberFormat="1" applyFont="1" applyFill="1" applyBorder="1" applyAlignment="1">
      <alignment horizontal="center" vertical="center" wrapText="1"/>
    </xf>
    <xf numFmtId="0" fontId="13" fillId="17" borderId="20" xfId="0" applyFont="1" applyFill="1" applyBorder="1" applyAlignment="1">
      <alignment horizontal="center" vertical="center" wrapText="1"/>
    </xf>
    <xf numFmtId="166" fontId="13" fillId="16" borderId="20" xfId="0" applyNumberFormat="1" applyFont="1" applyFill="1" applyBorder="1" applyAlignment="1">
      <alignment horizontal="right" vertical="center" wrapText="1"/>
    </xf>
    <xf numFmtId="0" fontId="14" fillId="16" borderId="20" xfId="0" applyFont="1" applyFill="1" applyBorder="1" applyAlignment="1">
      <alignment horizontal="center"/>
    </xf>
    <xf numFmtId="0" fontId="14" fillId="16" borderId="20" xfId="0" applyFont="1" applyFill="1" applyBorder="1" applyAlignment="1">
      <alignment horizontal="center" vertical="center"/>
    </xf>
    <xf numFmtId="166" fontId="13" fillId="16" borderId="21" xfId="0" applyNumberFormat="1" applyFont="1" applyFill="1" applyBorder="1" applyAlignment="1">
      <alignment horizontal="center" vertical="center" wrapText="1"/>
    </xf>
    <xf numFmtId="166" fontId="13" fillId="16" borderId="22" xfId="0" applyNumberFormat="1" applyFont="1" applyFill="1" applyBorder="1" applyAlignment="1">
      <alignment horizontal="center" vertical="center" wrapText="1"/>
    </xf>
    <xf numFmtId="0" fontId="14" fillId="16" borderId="0" xfId="0" applyFont="1" applyFill="1" applyBorder="1" applyAlignment="1">
      <alignment horizontal="center"/>
    </xf>
    <xf numFmtId="0" fontId="13" fillId="16" borderId="23" xfId="0" applyFont="1" applyFill="1" applyBorder="1" applyAlignment="1">
      <alignment horizontal="left" vertical="center" wrapText="1"/>
    </xf>
    <xf numFmtId="0" fontId="13" fillId="16" borderId="24" xfId="0" applyFont="1" applyFill="1" applyBorder="1" applyAlignment="1">
      <alignment horizontal="center" vertical="center" wrapText="1"/>
    </xf>
    <xf numFmtId="166" fontId="13" fillId="16" borderId="24" xfId="0" applyNumberFormat="1" applyFont="1" applyFill="1" applyBorder="1" applyAlignment="1">
      <alignment horizontal="center" vertical="center" wrapText="1"/>
    </xf>
    <xf numFmtId="166" fontId="13" fillId="16" borderId="24" xfId="0" applyNumberFormat="1" applyFont="1" applyFill="1" applyBorder="1" applyAlignment="1">
      <alignment horizontal="right" vertical="center" wrapText="1"/>
    </xf>
    <xf numFmtId="0" fontId="14" fillId="16" borderId="24" xfId="0" applyFont="1" applyFill="1" applyBorder="1" applyAlignment="1">
      <alignment horizontal="center"/>
    </xf>
    <xf numFmtId="0" fontId="14" fillId="16" borderId="24" xfId="0" applyFont="1" applyFill="1" applyBorder="1" applyAlignment="1">
      <alignment horizontal="center" vertical="center"/>
    </xf>
    <xf numFmtId="166" fontId="13" fillId="16" borderId="26" xfId="0" applyNumberFormat="1" applyFont="1" applyFill="1" applyBorder="1" applyAlignment="1">
      <alignment horizontal="center" vertical="center" wrapText="1"/>
    </xf>
    <xf numFmtId="0" fontId="13" fillId="10" borderId="19" xfId="0" applyFont="1" applyFill="1" applyBorder="1" applyAlignment="1">
      <alignment horizontal="left" vertical="center" wrapText="1"/>
    </xf>
    <xf numFmtId="0" fontId="13" fillId="10" borderId="20" xfId="0" applyFont="1" applyFill="1" applyBorder="1" applyAlignment="1">
      <alignment horizontal="center" vertical="center" wrapText="1"/>
    </xf>
    <xf numFmtId="166" fontId="13" fillId="10" borderId="20" xfId="0" applyNumberFormat="1" applyFont="1" applyFill="1" applyBorder="1" applyAlignment="1">
      <alignment horizontal="center" vertical="center" wrapText="1"/>
    </xf>
    <xf numFmtId="0" fontId="13" fillId="12" borderId="20" xfId="0" applyFont="1" applyFill="1" applyBorder="1" applyAlignment="1">
      <alignment horizontal="center" vertical="center" wrapText="1"/>
    </xf>
    <xf numFmtId="166" fontId="13" fillId="10" borderId="20" xfId="0" applyNumberFormat="1" applyFont="1" applyFill="1" applyBorder="1" applyAlignment="1">
      <alignment horizontal="right" vertical="center" wrapText="1"/>
    </xf>
    <xf numFmtId="0" fontId="14" fillId="10" borderId="20" xfId="0" applyFont="1" applyFill="1" applyBorder="1" applyAlignment="1">
      <alignment horizontal="center"/>
    </xf>
    <xf numFmtId="0" fontId="14" fillId="10" borderId="20" xfId="0" applyFont="1" applyFill="1" applyBorder="1" applyAlignment="1">
      <alignment horizontal="center" vertical="center"/>
    </xf>
    <xf numFmtId="166" fontId="13" fillId="10" borderId="21" xfId="0" applyNumberFormat="1" applyFont="1" applyFill="1" applyBorder="1" applyAlignment="1">
      <alignment horizontal="center" vertical="center" wrapText="1"/>
    </xf>
    <xf numFmtId="166" fontId="13" fillId="10" borderId="22" xfId="0" applyNumberFormat="1" applyFont="1" applyFill="1" applyBorder="1" applyAlignment="1">
      <alignment horizontal="center" vertical="center" wrapText="1"/>
    </xf>
    <xf numFmtId="0" fontId="13" fillId="10" borderId="23" xfId="0" applyFont="1" applyFill="1" applyBorder="1" applyAlignment="1">
      <alignment horizontal="left" vertical="center" wrapText="1"/>
    </xf>
    <xf numFmtId="0" fontId="13" fillId="10" borderId="24" xfId="0" applyFont="1" applyFill="1" applyBorder="1" applyAlignment="1">
      <alignment horizontal="center" vertical="center" wrapText="1"/>
    </xf>
    <xf numFmtId="166" fontId="13" fillId="10" borderId="24" xfId="0" applyNumberFormat="1" applyFont="1" applyFill="1" applyBorder="1" applyAlignment="1">
      <alignment horizontal="center" vertical="center" wrapText="1"/>
    </xf>
    <xf numFmtId="0" fontId="13" fillId="12" borderId="25" xfId="0" applyFont="1" applyFill="1" applyBorder="1" applyAlignment="1">
      <alignment horizontal="center" vertical="center" wrapText="1"/>
    </xf>
    <xf numFmtId="166" fontId="13" fillId="10" borderId="24" xfId="0" applyNumberFormat="1" applyFont="1" applyFill="1" applyBorder="1" applyAlignment="1">
      <alignment horizontal="right" vertical="center" wrapText="1"/>
    </xf>
    <xf numFmtId="0" fontId="14" fillId="10" borderId="24" xfId="0" applyFont="1" applyFill="1" applyBorder="1" applyAlignment="1">
      <alignment horizontal="center"/>
    </xf>
    <xf numFmtId="0" fontId="14" fillId="10" borderId="24" xfId="0" applyFont="1" applyFill="1" applyBorder="1" applyAlignment="1">
      <alignment horizontal="center" vertical="center"/>
    </xf>
    <xf numFmtId="166" fontId="13" fillId="10" borderId="26" xfId="0" applyNumberFormat="1" applyFont="1" applyFill="1" applyBorder="1" applyAlignment="1">
      <alignment horizontal="center" vertical="center" wrapText="1"/>
    </xf>
    <xf numFmtId="166" fontId="13" fillId="16" borderId="28" xfId="0" applyNumberFormat="1" applyFont="1" applyFill="1" applyBorder="1" applyAlignment="1">
      <alignment horizontal="center" vertical="center" wrapText="1"/>
    </xf>
    <xf numFmtId="0" fontId="13" fillId="16" borderId="25" xfId="0" applyFont="1" applyFill="1" applyBorder="1" applyAlignment="1">
      <alignment horizontal="center" vertical="center" wrapText="1"/>
    </xf>
    <xf numFmtId="0" fontId="14" fillId="16" borderId="25" xfId="0" applyFont="1" applyFill="1" applyBorder="1" applyAlignment="1">
      <alignment horizontal="center" vertical="center"/>
    </xf>
    <xf numFmtId="166" fontId="13" fillId="10" borderId="22" xfId="0" applyNumberFormat="1" applyFont="1" applyFill="1" applyBorder="1" applyAlignment="1">
      <alignment vertical="center" wrapText="1"/>
    </xf>
    <xf numFmtId="0" fontId="13" fillId="12" borderId="25" xfId="0" applyFont="1" applyFill="1" applyBorder="1" applyAlignment="1">
      <alignment horizontal="center" wrapText="1"/>
    </xf>
    <xf numFmtId="166" fontId="13" fillId="16" borderId="27" xfId="0" applyNumberFormat="1" applyFont="1" applyFill="1" applyBorder="1" applyAlignment="1">
      <alignment horizontal="center" vertical="center" wrapText="1"/>
    </xf>
    <xf numFmtId="166" fontId="13" fillId="16" borderId="29" xfId="0" applyNumberFormat="1" applyFont="1" applyFill="1" applyBorder="1" applyAlignment="1">
      <alignment horizontal="center" vertical="center" wrapText="1"/>
    </xf>
    <xf numFmtId="166" fontId="13" fillId="16" borderId="25" xfId="0" applyNumberFormat="1" applyFont="1" applyFill="1" applyBorder="1" applyAlignment="1">
      <alignment horizontal="center" vertical="center" wrapText="1"/>
    </xf>
    <xf numFmtId="166" fontId="13" fillId="16" borderId="25" xfId="0" applyNumberFormat="1" applyFont="1" applyFill="1" applyBorder="1" applyAlignment="1">
      <alignment horizontal="right" vertical="center" wrapText="1"/>
    </xf>
    <xf numFmtId="0" fontId="13" fillId="17" borderId="25" xfId="0" applyFont="1" applyFill="1" applyBorder="1" applyAlignment="1">
      <alignment horizontal="center" wrapText="1"/>
    </xf>
    <xf numFmtId="166" fontId="13" fillId="16" borderId="30" xfId="0" applyNumberFormat="1" applyFont="1" applyFill="1" applyBorder="1" applyAlignment="1">
      <alignment horizontal="center" vertical="center" wrapText="1"/>
    </xf>
    <xf numFmtId="0" fontId="14" fillId="10" borderId="19" xfId="0" applyFont="1" applyFill="1" applyBorder="1" applyAlignment="1">
      <alignment horizontal="center"/>
    </xf>
    <xf numFmtId="166" fontId="13" fillId="10" borderId="25" xfId="0" applyNumberFormat="1" applyFont="1" applyFill="1" applyBorder="1" applyAlignment="1">
      <alignment horizontal="center" vertical="center" wrapText="1"/>
    </xf>
    <xf numFmtId="166" fontId="13" fillId="10" borderId="28" xfId="0" applyNumberFormat="1" applyFont="1" applyFill="1" applyBorder="1" applyAlignment="1">
      <alignment horizontal="center" vertical="center" wrapText="1"/>
    </xf>
    <xf numFmtId="166" fontId="0" fillId="0" borderId="0" xfId="0" applyNumberFormat="1" applyBorder="1"/>
    <xf numFmtId="0" fontId="4" fillId="7" borderId="39" xfId="0" applyFont="1" applyFill="1" applyBorder="1" applyAlignment="1">
      <alignment horizontal="center"/>
    </xf>
    <xf numFmtId="0" fontId="0" fillId="0" borderId="31" xfId="0" applyBorder="1" applyAlignment="1">
      <alignment horizontal="center"/>
    </xf>
    <xf numFmtId="0" fontId="0" fillId="0" borderId="31" xfId="0" applyBorder="1" applyAlignment="1">
      <alignment horizontal="center" vertical="center" wrapText="1"/>
    </xf>
    <xf numFmtId="0" fontId="0" fillId="0" borderId="31" xfId="0" applyBorder="1" applyAlignment="1">
      <alignment horizontal="center" vertical="center"/>
    </xf>
    <xf numFmtId="0" fontId="0" fillId="0" borderId="32" xfId="0" applyBorder="1" applyAlignment="1">
      <alignment horizontal="center"/>
    </xf>
    <xf numFmtId="0" fontId="0" fillId="0" borderId="40" xfId="0" applyBorder="1" applyAlignment="1">
      <alignment horizontal="left"/>
    </xf>
    <xf numFmtId="0" fontId="0" fillId="7" borderId="33" xfId="0" applyFill="1" applyBorder="1" applyAlignment="1">
      <alignment horizontal="center"/>
    </xf>
    <xf numFmtId="0" fontId="0" fillId="0" borderId="33" xfId="0" applyBorder="1" applyAlignment="1">
      <alignment horizontal="center"/>
    </xf>
    <xf numFmtId="0" fontId="8" fillId="13" borderId="2" xfId="0" applyFont="1" applyFill="1" applyBorder="1" applyAlignment="1">
      <alignment horizontal="center" vertical="center"/>
    </xf>
    <xf numFmtId="17" fontId="8" fillId="13" borderId="2" xfId="0" applyNumberFormat="1" applyFont="1" applyFill="1" applyBorder="1" applyAlignment="1">
      <alignment horizontal="center" vertical="center"/>
    </xf>
    <xf numFmtId="2" fontId="0" fillId="6" borderId="33" xfId="0" applyNumberFormat="1" applyFill="1" applyBorder="1" applyAlignment="1">
      <alignment horizontal="center" vertical="center" wrapText="1"/>
    </xf>
    <xf numFmtId="164" fontId="10" fillId="12" borderId="33" xfId="0" applyNumberFormat="1" applyFont="1" applyFill="1" applyBorder="1" applyAlignment="1">
      <alignment horizontal="center" vertical="center"/>
    </xf>
    <xf numFmtId="0" fontId="0" fillId="0" borderId="41" xfId="0" applyBorder="1" applyAlignment="1">
      <alignment horizontal="left"/>
    </xf>
    <xf numFmtId="0" fontId="0" fillId="6" borderId="7" xfId="0" applyFill="1" applyBorder="1" applyAlignment="1">
      <alignment horizontal="center" vertical="center" wrapText="1"/>
    </xf>
    <xf numFmtId="0" fontId="0" fillId="6" borderId="9" xfId="0" applyFill="1" applyBorder="1" applyAlignment="1">
      <alignment horizontal="center" vertical="center"/>
    </xf>
    <xf numFmtId="0" fontId="0" fillId="6" borderId="42" xfId="0" applyFill="1" applyBorder="1" applyAlignment="1">
      <alignment horizontal="center"/>
    </xf>
    <xf numFmtId="0" fontId="4" fillId="7" borderId="43" xfId="0" applyFont="1" applyFill="1" applyBorder="1" applyAlignment="1">
      <alignment horizontal="center"/>
    </xf>
    <xf numFmtId="0" fontId="0" fillId="0" borderId="44" xfId="0" applyBorder="1" applyAlignment="1">
      <alignment horizontal="center"/>
    </xf>
    <xf numFmtId="0" fontId="0" fillId="6" borderId="37" xfId="0" applyFill="1" applyBorder="1" applyAlignment="1">
      <alignment horizontal="center" vertical="center" wrapText="1"/>
    </xf>
    <xf numFmtId="0" fontId="0" fillId="6" borderId="31" xfId="0" applyFill="1" applyBorder="1" applyAlignment="1">
      <alignment horizontal="center" vertical="center"/>
    </xf>
    <xf numFmtId="0" fontId="0" fillId="6" borderId="31" xfId="0" applyFill="1" applyBorder="1" applyAlignment="1">
      <alignment horizontal="center"/>
    </xf>
    <xf numFmtId="0" fontId="17" fillId="0" borderId="45" xfId="0" applyFont="1" applyBorder="1"/>
    <xf numFmtId="0" fontId="0" fillId="6" borderId="32" xfId="0" applyFill="1" applyBorder="1" applyAlignment="1">
      <alignment horizontal="center"/>
    </xf>
    <xf numFmtId="0" fontId="0" fillId="6" borderId="40" xfId="0" applyFill="1" applyBorder="1" applyAlignment="1">
      <alignment horizontal="left"/>
    </xf>
    <xf numFmtId="0" fontId="0" fillId="0" borderId="46" xfId="0" applyBorder="1" applyAlignment="1">
      <alignment horizontal="center"/>
    </xf>
    <xf numFmtId="0" fontId="0" fillId="0" borderId="47" xfId="0" applyBorder="1" applyAlignment="1">
      <alignment horizontal="center" vertical="center"/>
    </xf>
    <xf numFmtId="0" fontId="0" fillId="0" borderId="47" xfId="0" applyBorder="1" applyAlignment="1">
      <alignment horizontal="center" vertical="center" wrapText="1"/>
    </xf>
    <xf numFmtId="0" fontId="0" fillId="0" borderId="47" xfId="0" applyBorder="1" applyAlignment="1">
      <alignment horizontal="center"/>
    </xf>
    <xf numFmtId="0" fontId="0" fillId="0" borderId="48" xfId="0" applyBorder="1" applyAlignment="1">
      <alignment horizontal="center"/>
    </xf>
    <xf numFmtId="0" fontId="0" fillId="0" borderId="41" xfId="0" applyBorder="1" applyAlignment="1">
      <alignment horizontal="center"/>
    </xf>
    <xf numFmtId="3" fontId="0" fillId="0" borderId="0" xfId="0" applyNumberFormat="1" applyBorder="1"/>
    <xf numFmtId="0" fontId="7" fillId="16" borderId="1" xfId="0" applyFont="1" applyFill="1" applyBorder="1" applyAlignment="1">
      <alignment wrapText="1"/>
    </xf>
    <xf numFmtId="1" fontId="0" fillId="6" borderId="1" xfId="0" applyNumberFormat="1" applyFill="1" applyBorder="1" applyAlignment="1">
      <alignment horizontal="center" vertical="center"/>
    </xf>
    <xf numFmtId="14" fontId="4" fillId="0" borderId="0" xfId="0" applyNumberFormat="1" applyFont="1" applyBorder="1" applyAlignment="1">
      <alignment vertical="center"/>
    </xf>
    <xf numFmtId="0" fontId="4" fillId="0" borderId="0" xfId="0" applyFont="1" applyBorder="1"/>
    <xf numFmtId="1" fontId="0" fillId="6" borderId="1" xfId="0" applyNumberFormat="1" applyFill="1" applyBorder="1" applyAlignment="1">
      <alignment horizontal="center"/>
    </xf>
    <xf numFmtId="1" fontId="0" fillId="6" borderId="1" xfId="0" applyNumberFormat="1" applyFill="1" applyBorder="1" applyAlignment="1">
      <alignment horizontal="center" vertical="center" wrapText="1"/>
    </xf>
    <xf numFmtId="1" fontId="0" fillId="0" borderId="0" xfId="0" applyNumberFormat="1" applyBorder="1" applyAlignment="1">
      <alignment horizontal="center"/>
    </xf>
    <xf numFmtId="0" fontId="0" fillId="0" borderId="12" xfId="0" applyBorder="1" applyAlignment="1">
      <alignment horizontal="center" vertical="center"/>
    </xf>
    <xf numFmtId="0" fontId="11" fillId="15" borderId="12" xfId="0" applyFont="1" applyFill="1" applyBorder="1" applyAlignment="1">
      <alignment horizontal="center" vertical="center"/>
    </xf>
    <xf numFmtId="0" fontId="0" fillId="0" borderId="12" xfId="0" applyBorder="1" applyAlignment="1">
      <alignment vertical="center"/>
    </xf>
    <xf numFmtId="0" fontId="11" fillId="14" borderId="2" xfId="0" applyFont="1" applyFill="1" applyBorder="1" applyAlignment="1">
      <alignment horizontal="center" vertical="center"/>
    </xf>
    <xf numFmtId="0" fontId="11" fillId="14" borderId="2" xfId="0" applyFont="1" applyFill="1" applyBorder="1" applyAlignment="1">
      <alignment horizontal="center" vertical="center" wrapText="1"/>
    </xf>
    <xf numFmtId="0" fontId="11" fillId="14" borderId="2" xfId="0" applyFont="1" applyFill="1" applyBorder="1" applyAlignment="1">
      <alignment horizontal="center" vertical="top" wrapText="1"/>
    </xf>
    <xf numFmtId="0" fontId="5" fillId="8" borderId="2" xfId="0" applyFont="1" applyFill="1" applyBorder="1" applyAlignment="1">
      <alignment horizontal="center" vertical="center"/>
    </xf>
    <xf numFmtId="0" fontId="18" fillId="0" borderId="44" xfId="0" applyFont="1" applyBorder="1" applyAlignment="1">
      <alignment horizontal="center" vertical="center"/>
    </xf>
    <xf numFmtId="0" fontId="0" fillId="0" borderId="44" xfId="0" applyBorder="1" applyAlignment="1">
      <alignment horizontal="center" vertical="center"/>
    </xf>
    <xf numFmtId="0" fontId="0" fillId="0" borderId="49" xfId="0" applyBorder="1" applyAlignment="1">
      <alignment horizontal="center" vertical="center"/>
    </xf>
    <xf numFmtId="0" fontId="0" fillId="0" borderId="50" xfId="0" applyBorder="1" applyAlignment="1">
      <alignment horizontal="center" vertical="center"/>
    </xf>
    <xf numFmtId="0" fontId="0" fillId="0" borderId="51" xfId="0" applyBorder="1" applyAlignment="1">
      <alignment horizontal="center" vertical="center"/>
    </xf>
    <xf numFmtId="0" fontId="0" fillId="0" borderId="51" xfId="0" applyBorder="1" applyAlignment="1">
      <alignment vertical="center"/>
    </xf>
    <xf numFmtId="0" fontId="0" fillId="0" borderId="52" xfId="0" applyBorder="1" applyAlignment="1">
      <alignment horizontal="center" vertical="center"/>
    </xf>
    <xf numFmtId="0" fontId="14" fillId="16" borderId="14" xfId="0" applyFont="1" applyFill="1" applyBorder="1" applyAlignment="1">
      <alignment horizontal="center" vertical="center"/>
    </xf>
    <xf numFmtId="0" fontId="2" fillId="0" borderId="31" xfId="0" applyFont="1" applyBorder="1" applyAlignment="1">
      <alignment horizontal="center" vertical="center" wrapText="1"/>
    </xf>
    <xf numFmtId="0" fontId="2" fillId="6" borderId="31" xfId="0" applyFont="1" applyFill="1" applyBorder="1" applyAlignment="1">
      <alignment horizontal="center" vertical="center" wrapText="1"/>
    </xf>
    <xf numFmtId="0" fontId="2" fillId="0" borderId="32" xfId="0" applyFont="1" applyBorder="1" applyAlignment="1">
      <alignment horizontal="center" vertical="center" wrapText="1"/>
    </xf>
    <xf numFmtId="0" fontId="13" fillId="10" borderId="18" xfId="0" applyFont="1" applyFill="1" applyBorder="1" applyAlignment="1">
      <alignment horizontal="center" vertical="center" wrapText="1"/>
    </xf>
    <xf numFmtId="166" fontId="13" fillId="10" borderId="18" xfId="0" applyNumberFormat="1" applyFont="1" applyFill="1" applyBorder="1" applyAlignment="1">
      <alignment horizontal="center" vertical="center" wrapText="1"/>
    </xf>
    <xf numFmtId="166" fontId="13" fillId="10" borderId="18" xfId="0" applyNumberFormat="1" applyFont="1" applyFill="1" applyBorder="1" applyAlignment="1">
      <alignment horizontal="right" vertical="center" wrapText="1"/>
    </xf>
    <xf numFmtId="0" fontId="14" fillId="10" borderId="18" xfId="0" applyFont="1" applyFill="1" applyBorder="1" applyAlignment="1">
      <alignment horizontal="center"/>
    </xf>
    <xf numFmtId="0" fontId="14" fillId="10" borderId="18" xfId="0" applyFont="1" applyFill="1" applyBorder="1" applyAlignment="1">
      <alignment horizontal="center" vertical="center"/>
    </xf>
    <xf numFmtId="166" fontId="13" fillId="10" borderId="54" xfId="0" applyNumberFormat="1" applyFont="1" applyFill="1" applyBorder="1" applyAlignment="1">
      <alignment horizontal="center" vertical="center" wrapText="1"/>
    </xf>
    <xf numFmtId="0" fontId="14" fillId="10" borderId="15" xfId="0" applyFont="1" applyFill="1" applyBorder="1" applyAlignment="1">
      <alignment horizontal="center"/>
    </xf>
    <xf numFmtId="0" fontId="14" fillId="10" borderId="14" xfId="0" applyFont="1" applyFill="1" applyBorder="1" applyAlignment="1">
      <alignment horizontal="center" vertical="center"/>
    </xf>
    <xf numFmtId="0" fontId="14" fillId="10" borderId="14" xfId="0" applyFont="1" applyFill="1" applyBorder="1" applyAlignment="1">
      <alignment horizontal="center"/>
    </xf>
    <xf numFmtId="0" fontId="13" fillId="0" borderId="19" xfId="0" applyFont="1" applyBorder="1" applyAlignment="1">
      <alignment horizontal="left" vertical="center" wrapText="1"/>
    </xf>
    <xf numFmtId="0" fontId="13" fillId="0" borderId="13" xfId="0" applyFont="1" applyBorder="1" applyAlignment="1">
      <alignment horizontal="left" vertical="center" wrapText="1"/>
    </xf>
    <xf numFmtId="0" fontId="13" fillId="0" borderId="55" xfId="0" applyFont="1" applyBorder="1" applyAlignment="1">
      <alignment horizontal="left" vertical="center" wrapText="1"/>
    </xf>
    <xf numFmtId="0" fontId="13" fillId="0" borderId="56" xfId="0" applyFont="1" applyBorder="1" applyAlignment="1">
      <alignment horizontal="left" vertical="center" wrapText="1"/>
    </xf>
    <xf numFmtId="0" fontId="13" fillId="16" borderId="18" xfId="0" applyFont="1" applyFill="1" applyBorder="1" applyAlignment="1">
      <alignment horizontal="center" vertical="center" wrapText="1"/>
    </xf>
    <xf numFmtId="166" fontId="13" fillId="16" borderId="18" xfId="0" applyNumberFormat="1" applyFont="1" applyFill="1" applyBorder="1" applyAlignment="1">
      <alignment horizontal="center" vertical="center" wrapText="1"/>
    </xf>
    <xf numFmtId="166" fontId="13" fillId="16" borderId="18" xfId="0" applyNumberFormat="1" applyFont="1" applyFill="1" applyBorder="1" applyAlignment="1">
      <alignment horizontal="right" vertical="center" wrapText="1"/>
    </xf>
    <xf numFmtId="0" fontId="13" fillId="17" borderId="18" xfId="0" applyFont="1" applyFill="1" applyBorder="1" applyAlignment="1">
      <alignment horizontal="center" wrapText="1"/>
    </xf>
    <xf numFmtId="1" fontId="10" fillId="12" borderId="1" xfId="0" applyNumberFormat="1" applyFont="1" applyFill="1" applyBorder="1" applyAlignment="1">
      <alignment horizontal="center" vertical="center"/>
    </xf>
    <xf numFmtId="166" fontId="13" fillId="10" borderId="53" xfId="0" applyNumberFormat="1" applyFont="1" applyFill="1" applyBorder="1" applyAlignment="1">
      <alignment horizontal="center" vertical="center" wrapText="1"/>
    </xf>
    <xf numFmtId="0" fontId="13" fillId="10" borderId="17" xfId="0" applyFont="1" applyFill="1" applyBorder="1" applyAlignment="1">
      <alignment horizontal="center" vertical="center" wrapText="1"/>
    </xf>
    <xf numFmtId="166" fontId="13" fillId="10" borderId="17" xfId="0" applyNumberFormat="1" applyFont="1" applyFill="1" applyBorder="1" applyAlignment="1">
      <alignment horizontal="right" vertical="center" wrapText="1"/>
    </xf>
    <xf numFmtId="0" fontId="14" fillId="10" borderId="57" xfId="0" applyFont="1" applyFill="1" applyBorder="1" applyAlignment="1">
      <alignment horizontal="center"/>
    </xf>
    <xf numFmtId="0" fontId="14" fillId="10" borderId="25" xfId="0" applyFont="1" applyFill="1" applyBorder="1" applyAlignment="1">
      <alignment horizontal="center" vertical="center"/>
    </xf>
    <xf numFmtId="0" fontId="14" fillId="10" borderId="25" xfId="0" applyFont="1" applyFill="1" applyBorder="1" applyAlignment="1">
      <alignment horizontal="center"/>
    </xf>
    <xf numFmtId="1" fontId="0" fillId="0" borderId="1" xfId="0" applyNumberFormat="1" applyBorder="1" applyAlignment="1">
      <alignment horizontal="center"/>
    </xf>
    <xf numFmtId="166" fontId="13" fillId="10" borderId="17" xfId="0" applyNumberFormat="1" applyFont="1" applyFill="1" applyBorder="1" applyAlignment="1">
      <alignment horizontal="center" vertical="center" wrapText="1"/>
    </xf>
    <xf numFmtId="0" fontId="14" fillId="10" borderId="17" xfId="0" applyFont="1" applyFill="1" applyBorder="1" applyAlignment="1">
      <alignment horizontal="center"/>
    </xf>
    <xf numFmtId="166" fontId="13" fillId="10" borderId="58" xfId="0" applyNumberFormat="1" applyFont="1" applyFill="1" applyBorder="1" applyAlignment="1">
      <alignment horizontal="center" vertical="center" wrapText="1"/>
    </xf>
    <xf numFmtId="2" fontId="0" fillId="6" borderId="1" xfId="0" applyNumberFormat="1" applyFill="1" applyBorder="1" applyAlignment="1">
      <alignment horizontal="center" vertical="center"/>
    </xf>
    <xf numFmtId="0" fontId="13" fillId="16" borderId="17" xfId="0" applyFont="1" applyFill="1" applyBorder="1" applyAlignment="1">
      <alignment horizontal="center" vertical="center" wrapText="1"/>
    </xf>
    <xf numFmtId="166" fontId="13" fillId="16" borderId="17" xfId="0" applyNumberFormat="1" applyFont="1" applyFill="1" applyBorder="1" applyAlignment="1">
      <alignment horizontal="center" vertical="center" wrapText="1"/>
    </xf>
    <xf numFmtId="166" fontId="13" fillId="16" borderId="17" xfId="0" applyNumberFormat="1" applyFont="1" applyFill="1" applyBorder="1" applyAlignment="1">
      <alignment horizontal="right" vertical="center" wrapText="1"/>
    </xf>
    <xf numFmtId="0" fontId="13" fillId="17" borderId="17" xfId="0" applyFont="1" applyFill="1" applyBorder="1" applyAlignment="1">
      <alignment horizontal="center" wrapText="1"/>
    </xf>
    <xf numFmtId="0" fontId="14" fillId="16" borderId="25" xfId="0" applyFont="1" applyFill="1" applyBorder="1" applyAlignment="1">
      <alignment horizontal="center"/>
    </xf>
    <xf numFmtId="0" fontId="14" fillId="10" borderId="57" xfId="0" applyFont="1" applyFill="1" applyBorder="1" applyAlignment="1">
      <alignment horizontal="right"/>
    </xf>
    <xf numFmtId="0" fontId="14" fillId="10" borderId="57" xfId="0" applyFont="1" applyFill="1" applyBorder="1" applyAlignment="1">
      <alignment horizontal="left"/>
    </xf>
    <xf numFmtId="0" fontId="2" fillId="0" borderId="37" xfId="0" applyFont="1" applyBorder="1" applyAlignment="1">
      <alignment horizontal="center" vertical="center" wrapText="1"/>
    </xf>
    <xf numFmtId="0" fontId="2" fillId="0" borderId="39" xfId="0" applyFont="1" applyBorder="1" applyAlignment="1">
      <alignment horizontal="center" vertical="center" wrapText="1"/>
    </xf>
    <xf numFmtId="0" fontId="2" fillId="6" borderId="32" xfId="0" applyFont="1" applyFill="1" applyBorder="1" applyAlignment="1">
      <alignment horizontal="center" vertical="center" wrapText="1"/>
    </xf>
    <xf numFmtId="0" fontId="2" fillId="0" borderId="72" xfId="0" applyFont="1" applyBorder="1" applyAlignment="1">
      <alignment horizontal="center" vertical="center" wrapText="1"/>
    </xf>
    <xf numFmtId="0" fontId="14" fillId="0" borderId="57" xfId="0" applyFont="1" applyBorder="1" applyAlignment="1">
      <alignment horizontal="left"/>
    </xf>
    <xf numFmtId="0" fontId="13" fillId="0" borderId="20" xfId="0" applyFont="1" applyBorder="1" applyAlignment="1">
      <alignment horizontal="center" vertical="center" wrapText="1"/>
    </xf>
    <xf numFmtId="166" fontId="13" fillId="0" borderId="20" xfId="0" applyNumberFormat="1" applyFont="1" applyBorder="1" applyAlignment="1">
      <alignment horizontal="center" vertical="center" wrapText="1"/>
    </xf>
    <xf numFmtId="0" fontId="13" fillId="0" borderId="27" xfId="0" applyFont="1" applyBorder="1" applyAlignment="1">
      <alignment horizontal="center" vertical="center" wrapText="1"/>
    </xf>
    <xf numFmtId="166" fontId="13" fillId="0" borderId="20" xfId="0" applyNumberFormat="1" applyFont="1" applyBorder="1" applyAlignment="1">
      <alignment horizontal="right" vertical="center" wrapText="1"/>
    </xf>
    <xf numFmtId="0" fontId="14" fillId="0" borderId="27" xfId="0" applyFont="1" applyBorder="1" applyAlignment="1">
      <alignment horizontal="center" vertical="center"/>
    </xf>
    <xf numFmtId="0" fontId="14" fillId="0" borderId="20" xfId="0" applyFont="1" applyBorder="1" applyAlignment="1">
      <alignment horizontal="center" vertical="center"/>
    </xf>
    <xf numFmtId="0" fontId="14" fillId="0" borderId="20" xfId="0" applyFont="1" applyBorder="1" applyAlignment="1">
      <alignment horizontal="center"/>
    </xf>
    <xf numFmtId="166" fontId="13" fillId="0" borderId="21" xfId="0" applyNumberFormat="1" applyFont="1" applyBorder="1" applyAlignment="1">
      <alignment horizontal="center" vertical="center" wrapText="1"/>
    </xf>
    <xf numFmtId="0" fontId="14" fillId="0" borderId="0" xfId="0" applyFont="1" applyBorder="1"/>
    <xf numFmtId="0" fontId="13" fillId="16" borderId="15" xfId="0" applyFont="1" applyFill="1" applyBorder="1" applyAlignment="1">
      <alignment horizontal="center" vertical="center" wrapText="1"/>
    </xf>
    <xf numFmtId="0" fontId="13" fillId="16" borderId="23" xfId="0" applyFont="1" applyFill="1" applyBorder="1" applyAlignment="1">
      <alignment horizontal="center" vertical="center" wrapText="1"/>
    </xf>
    <xf numFmtId="2" fontId="0" fillId="6" borderId="77" xfId="0" applyNumberFormat="1" applyFill="1" applyBorder="1" applyAlignment="1">
      <alignment horizontal="center" vertical="center" wrapText="1"/>
    </xf>
    <xf numFmtId="166" fontId="13" fillId="16" borderId="16" xfId="0" applyNumberFormat="1" applyFont="1" applyFill="1" applyBorder="1" applyAlignment="1">
      <alignment horizontal="right" vertical="center" wrapText="1"/>
    </xf>
    <xf numFmtId="166" fontId="13" fillId="16" borderId="15" xfId="0" applyNumberFormat="1" applyFont="1" applyFill="1" applyBorder="1" applyAlignment="1">
      <alignment horizontal="center" vertical="center" wrapText="1"/>
    </xf>
    <xf numFmtId="0" fontId="13" fillId="17" borderId="25" xfId="0" applyFont="1" applyFill="1" applyBorder="1" applyAlignment="1">
      <alignment horizontal="center" vertical="center" wrapText="1"/>
    </xf>
    <xf numFmtId="0" fontId="13" fillId="17" borderId="12" xfId="0" applyFont="1" applyFill="1" applyBorder="1" applyAlignment="1">
      <alignment horizontal="center" vertical="center" wrapText="1"/>
    </xf>
    <xf numFmtId="166" fontId="13" fillId="16" borderId="16" xfId="0" applyNumberFormat="1" applyFont="1" applyFill="1" applyBorder="1" applyAlignment="1">
      <alignment horizontal="center" vertical="center" wrapText="1"/>
    </xf>
    <xf numFmtId="166" fontId="13" fillId="16" borderId="78" xfId="0" applyNumberFormat="1" applyFont="1" applyFill="1" applyBorder="1" applyAlignment="1">
      <alignment horizontal="center" vertical="center" wrapText="1"/>
    </xf>
    <xf numFmtId="166" fontId="13" fillId="16" borderId="23" xfId="0" applyNumberFormat="1" applyFont="1" applyFill="1" applyBorder="1" applyAlignment="1">
      <alignment horizontal="right" vertical="center" wrapText="1"/>
    </xf>
    <xf numFmtId="166" fontId="13" fillId="16" borderId="56" xfId="0" applyNumberFormat="1" applyFont="1" applyFill="1" applyBorder="1" applyAlignment="1">
      <alignment horizontal="right" vertical="center" wrapText="1"/>
    </xf>
    <xf numFmtId="166" fontId="13" fillId="16" borderId="23" xfId="0" applyNumberFormat="1" applyFont="1" applyFill="1" applyBorder="1" applyAlignment="1">
      <alignment horizontal="center" vertical="center" wrapText="1"/>
    </xf>
    <xf numFmtId="0" fontId="13" fillId="16" borderId="51" xfId="0" applyFont="1" applyFill="1" applyBorder="1" applyAlignment="1">
      <alignment horizontal="center" vertical="center" wrapText="1"/>
    </xf>
    <xf numFmtId="0" fontId="0" fillId="16" borderId="6" xfId="0" applyFill="1" applyBorder="1" applyAlignment="1">
      <alignment vertical="center"/>
    </xf>
    <xf numFmtId="0" fontId="3" fillId="16" borderId="62" xfId="0" applyFont="1" applyFill="1" applyBorder="1" applyAlignment="1">
      <alignment horizontal="center" vertical="center" wrapText="1"/>
    </xf>
    <xf numFmtId="0" fontId="4" fillId="23" borderId="0" xfId="0" applyFont="1" applyFill="1" applyBorder="1"/>
    <xf numFmtId="0" fontId="29" fillId="22" borderId="0" xfId="0" applyFont="1" applyFill="1" applyBorder="1" applyAlignment="1">
      <alignment horizontal="center" wrapText="1"/>
    </xf>
    <xf numFmtId="0" fontId="0" fillId="0" borderId="0" xfId="0" applyBorder="1" applyAlignment="1">
      <alignment wrapText="1"/>
    </xf>
    <xf numFmtId="0" fontId="4" fillId="23" borderId="0" xfId="0" applyFont="1" applyFill="1" applyBorder="1" applyAlignment="1">
      <alignment wrapText="1"/>
    </xf>
    <xf numFmtId="170" fontId="4" fillId="23" borderId="0" xfId="0" applyNumberFormat="1" applyFont="1" applyFill="1" applyBorder="1" applyAlignment="1">
      <alignment wrapText="1"/>
    </xf>
    <xf numFmtId="0" fontId="30" fillId="25" borderId="0" xfId="0" applyFont="1" applyFill="1" applyBorder="1" applyAlignment="1">
      <alignment horizontal="center"/>
    </xf>
    <xf numFmtId="0" fontId="30" fillId="21" borderId="0" xfId="0" applyFont="1" applyFill="1" applyBorder="1" applyAlignment="1">
      <alignment horizontal="center" wrapText="1"/>
    </xf>
    <xf numFmtId="167" fontId="6" fillId="8" borderId="1" xfId="0" applyNumberFormat="1" applyFont="1" applyFill="1" applyBorder="1" applyAlignment="1">
      <alignment horizontal="center" vertical="center" wrapText="1"/>
    </xf>
    <xf numFmtId="0" fontId="30" fillId="25" borderId="0" xfId="0" applyFont="1" applyFill="1" applyBorder="1" applyAlignment="1">
      <alignment horizontal="center" wrapText="1"/>
    </xf>
    <xf numFmtId="0" fontId="7" fillId="0" borderId="1" xfId="0" applyFont="1" applyBorder="1" applyAlignment="1">
      <alignment wrapText="1"/>
    </xf>
    <xf numFmtId="170" fontId="7" fillId="0" borderId="1" xfId="0" applyNumberFormat="1" applyFont="1" applyBorder="1" applyAlignment="1">
      <alignment wrapText="1"/>
    </xf>
    <xf numFmtId="0" fontId="7" fillId="0" borderId="1" xfId="0" applyFont="1" applyBorder="1" applyAlignment="1">
      <alignment horizontal="center" wrapText="1"/>
    </xf>
    <xf numFmtId="3" fontId="7" fillId="0" borderId="1" xfId="0" applyNumberFormat="1" applyFont="1" applyBorder="1" applyAlignment="1">
      <alignment horizontal="center" wrapText="1"/>
    </xf>
    <xf numFmtId="3" fontId="7" fillId="6" borderId="1" xfId="0" applyNumberFormat="1" applyFont="1" applyFill="1" applyBorder="1" applyAlignment="1">
      <alignment horizontal="center" wrapText="1"/>
    </xf>
    <xf numFmtId="3" fontId="0" fillId="0" borderId="1" xfId="0" applyNumberFormat="1" applyBorder="1" applyAlignment="1">
      <alignment horizontal="center" wrapText="1"/>
    </xf>
    <xf numFmtId="3" fontId="0" fillId="6" borderId="1" xfId="0" applyNumberFormat="1" applyFill="1" applyBorder="1" applyAlignment="1">
      <alignment horizontal="center" vertical="center" wrapText="1"/>
    </xf>
    <xf numFmtId="3" fontId="0" fillId="6" borderId="1" xfId="0" applyNumberFormat="1" applyFill="1" applyBorder="1" applyAlignment="1">
      <alignment horizontal="center" wrapText="1"/>
    </xf>
    <xf numFmtId="0" fontId="0" fillId="0" borderId="1" xfId="0" applyBorder="1" applyAlignment="1">
      <alignment wrapText="1"/>
    </xf>
    <xf numFmtId="0" fontId="0" fillId="0" borderId="0" xfId="0" applyBorder="1" applyAlignment="1">
      <alignment horizontal="center" wrapText="1"/>
    </xf>
    <xf numFmtId="166" fontId="7" fillId="0" borderId="1" xfId="0" applyNumberFormat="1" applyFont="1" applyBorder="1" applyAlignment="1">
      <alignment horizontal="center" wrapText="1"/>
    </xf>
    <xf numFmtId="0" fontId="21" fillId="0" borderId="10" xfId="0" applyFont="1" applyBorder="1" applyAlignment="1">
      <alignment wrapText="1"/>
    </xf>
    <xf numFmtId="170" fontId="7" fillId="16" borderId="1" xfId="0" applyNumberFormat="1" applyFont="1" applyFill="1" applyBorder="1" applyAlignment="1">
      <alignment wrapText="1"/>
    </xf>
    <xf numFmtId="0" fontId="7" fillId="16" borderId="1" xfId="0" applyFont="1" applyFill="1" applyBorder="1" applyAlignment="1">
      <alignment horizontal="center" wrapText="1"/>
    </xf>
    <xf numFmtId="3" fontId="7" fillId="16" borderId="1" xfId="0" applyNumberFormat="1" applyFont="1" applyFill="1" applyBorder="1" applyAlignment="1">
      <alignment horizontal="center" wrapText="1"/>
    </xf>
    <xf numFmtId="3" fontId="0" fillId="16" borderId="1" xfId="0" applyNumberFormat="1" applyFill="1" applyBorder="1" applyAlignment="1">
      <alignment horizontal="center" wrapText="1"/>
    </xf>
    <xf numFmtId="3" fontId="0" fillId="16" borderId="1" xfId="0" applyNumberFormat="1" applyFill="1" applyBorder="1" applyAlignment="1">
      <alignment horizontal="center" vertical="center" wrapText="1"/>
    </xf>
    <xf numFmtId="0" fontId="0" fillId="16" borderId="1" xfId="0" applyFill="1" applyBorder="1" applyAlignment="1">
      <alignment wrapText="1"/>
    </xf>
    <xf numFmtId="166" fontId="7" fillId="16" borderId="1" xfId="0" applyNumberFormat="1" applyFont="1" applyFill="1" applyBorder="1" applyAlignment="1">
      <alignment horizontal="center" wrapText="1"/>
    </xf>
    <xf numFmtId="0" fontId="7" fillId="16" borderId="1" xfId="0" applyFont="1" applyFill="1" applyBorder="1" applyAlignment="1">
      <alignment horizontal="left" wrapText="1"/>
    </xf>
    <xf numFmtId="170" fontId="0" fillId="0" borderId="1" xfId="0" applyNumberFormat="1" applyBorder="1" applyAlignment="1">
      <alignment wrapText="1"/>
    </xf>
    <xf numFmtId="0" fontId="27" fillId="0" borderId="1" xfId="0" applyFont="1" applyBorder="1" applyAlignment="1">
      <alignment wrapText="1"/>
    </xf>
    <xf numFmtId="3" fontId="0" fillId="0" borderId="1" xfId="0" applyNumberFormat="1" applyBorder="1" applyAlignment="1">
      <alignment horizontal="center" vertical="center" wrapText="1"/>
    </xf>
    <xf numFmtId="0" fontId="20" fillId="0" borderId="1" xfId="0" applyFont="1" applyBorder="1" applyAlignment="1">
      <alignment wrapText="1"/>
    </xf>
    <xf numFmtId="0" fontId="0" fillId="0" borderId="3" xfId="0" applyBorder="1" applyAlignment="1">
      <alignment wrapText="1"/>
    </xf>
    <xf numFmtId="0" fontId="7" fillId="0" borderId="1" xfId="0" applyFont="1" applyBorder="1" applyAlignment="1">
      <alignment horizontal="left" wrapText="1"/>
    </xf>
    <xf numFmtId="0" fontId="6" fillId="0" borderId="10" xfId="0" applyFont="1" applyBorder="1" applyAlignment="1">
      <alignment wrapText="1"/>
    </xf>
    <xf numFmtId="3" fontId="7" fillId="16" borderId="1" xfId="0" applyNumberFormat="1" applyFont="1" applyFill="1" applyBorder="1" applyAlignment="1">
      <alignment horizontal="center" vertical="center" wrapText="1"/>
    </xf>
    <xf numFmtId="166" fontId="0" fillId="0" borderId="6" xfId="0" applyNumberFormat="1" applyBorder="1" applyAlignment="1">
      <alignment horizontal="center" wrapText="1"/>
    </xf>
    <xf numFmtId="166" fontId="0" fillId="16" borderId="1" xfId="0" applyNumberFormat="1" applyFill="1" applyBorder="1" applyAlignment="1">
      <alignment horizontal="center" wrapText="1"/>
    </xf>
    <xf numFmtId="168" fontId="7" fillId="16" borderId="1" xfId="0" applyNumberFormat="1" applyFont="1" applyFill="1" applyBorder="1" applyAlignment="1">
      <alignment horizontal="center" wrapText="1"/>
    </xf>
    <xf numFmtId="166" fontId="0" fillId="16" borderId="5" xfId="0" applyNumberFormat="1" applyFill="1" applyBorder="1" applyAlignment="1">
      <alignment horizontal="center" wrapText="1"/>
    </xf>
    <xf numFmtId="166" fontId="0" fillId="16" borderId="12" xfId="0" applyNumberFormat="1" applyFill="1" applyBorder="1" applyAlignment="1">
      <alignment wrapText="1"/>
    </xf>
    <xf numFmtId="166" fontId="0" fillId="16" borderId="53" xfId="0" applyNumberFormat="1" applyFill="1" applyBorder="1" applyAlignment="1">
      <alignment wrapText="1"/>
    </xf>
    <xf numFmtId="3" fontId="7" fillId="16" borderId="12" xfId="0" applyNumberFormat="1" applyFont="1" applyFill="1" applyBorder="1" applyAlignment="1">
      <alignment wrapText="1"/>
    </xf>
    <xf numFmtId="0" fontId="0" fillId="16" borderId="6" xfId="0" applyFill="1" applyBorder="1" applyAlignment="1">
      <alignment wrapText="1"/>
    </xf>
    <xf numFmtId="3" fontId="0" fillId="16" borderId="3" xfId="0" applyNumberFormat="1" applyFill="1" applyBorder="1" applyAlignment="1">
      <alignment horizontal="center" wrapText="1"/>
    </xf>
    <xf numFmtId="3" fontId="7" fillId="16" borderId="3" xfId="0" applyNumberFormat="1" applyFont="1" applyFill="1" applyBorder="1" applyAlignment="1">
      <alignment horizontal="center" wrapText="1"/>
    </xf>
    <xf numFmtId="3" fontId="0" fillId="16" borderId="3" xfId="0" applyNumberFormat="1" applyFill="1" applyBorder="1" applyAlignment="1">
      <alignment horizontal="center" vertical="center" wrapText="1"/>
    </xf>
    <xf numFmtId="166" fontId="0" fillId="0" borderId="1" xfId="0" applyNumberFormat="1" applyBorder="1" applyAlignment="1">
      <alignment horizontal="center" wrapText="1"/>
    </xf>
    <xf numFmtId="0" fontId="7" fillId="16" borderId="2" xfId="0" applyFont="1" applyFill="1" applyBorder="1" applyAlignment="1">
      <alignment wrapText="1"/>
    </xf>
    <xf numFmtId="0" fontId="7" fillId="16" borderId="2" xfId="0" applyFont="1" applyFill="1" applyBorder="1" applyAlignment="1">
      <alignment horizontal="left" wrapText="1"/>
    </xf>
    <xf numFmtId="0" fontId="6" fillId="16" borderId="1" xfId="0" applyFont="1" applyFill="1" applyBorder="1" applyAlignment="1">
      <alignment wrapText="1"/>
    </xf>
    <xf numFmtId="170" fontId="7" fillId="16" borderId="6" xfId="0" applyNumberFormat="1" applyFont="1" applyFill="1" applyBorder="1" applyAlignment="1">
      <alignment wrapText="1"/>
    </xf>
    <xf numFmtId="170" fontId="0" fillId="0" borderId="0" xfId="0" applyNumberFormat="1" applyBorder="1" applyAlignment="1">
      <alignment wrapText="1"/>
    </xf>
    <xf numFmtId="1" fontId="0" fillId="0" borderId="0" xfId="0" applyNumberFormat="1" applyBorder="1" applyAlignment="1">
      <alignment horizontal="center" wrapText="1"/>
    </xf>
    <xf numFmtId="4" fontId="0" fillId="0" borderId="0" xfId="0" applyNumberFormat="1" applyBorder="1"/>
    <xf numFmtId="1" fontId="0" fillId="0" borderId="0" xfId="0" applyNumberFormat="1" applyBorder="1"/>
    <xf numFmtId="4" fontId="0" fillId="0" borderId="0" xfId="0" applyNumberFormat="1" applyBorder="1" applyAlignment="1">
      <alignment wrapText="1"/>
    </xf>
    <xf numFmtId="1" fontId="0" fillId="0" borderId="0" xfId="0" applyNumberFormat="1" applyBorder="1" applyAlignment="1">
      <alignment wrapText="1"/>
    </xf>
    <xf numFmtId="0" fontId="29" fillId="29" borderId="0" xfId="0" applyFont="1" applyFill="1" applyBorder="1" applyAlignment="1">
      <alignment horizontal="center" wrapText="1"/>
    </xf>
    <xf numFmtId="0" fontId="29" fillId="23" borderId="0" xfId="0" applyFont="1" applyFill="1" applyBorder="1" applyAlignment="1">
      <alignment horizontal="center" wrapText="1"/>
    </xf>
    <xf numFmtId="3" fontId="0" fillId="0" borderId="0" xfId="0" applyNumberFormat="1" applyBorder="1" applyAlignment="1">
      <alignment wrapText="1"/>
    </xf>
    <xf numFmtId="0" fontId="2" fillId="4" borderId="2" xfId="0" applyFont="1" applyFill="1" applyBorder="1" applyAlignment="1">
      <alignment horizontal="center" vertical="center" wrapText="1"/>
    </xf>
    <xf numFmtId="0" fontId="2" fillId="0" borderId="74" xfId="0" applyFont="1" applyBorder="1" applyAlignment="1">
      <alignment horizontal="center" vertical="center" wrapText="1"/>
    </xf>
    <xf numFmtId="0" fontId="4" fillId="0" borderId="0" xfId="0" applyFont="1" applyBorder="1" applyAlignment="1">
      <alignment wrapText="1"/>
    </xf>
    <xf numFmtId="0" fontId="2" fillId="0" borderId="61" xfId="0" applyFont="1" applyBorder="1" applyAlignment="1">
      <alignment horizontal="center" vertical="center" wrapText="1"/>
    </xf>
    <xf numFmtId="0" fontId="3" fillId="0" borderId="75" xfId="0" applyFont="1" applyBorder="1" applyAlignment="1">
      <alignment horizontal="center" vertical="center" wrapText="1"/>
    </xf>
    <xf numFmtId="166" fontId="3" fillId="0" borderId="6" xfId="0" applyNumberFormat="1" applyFont="1" applyBorder="1" applyAlignment="1">
      <alignment horizontal="center" vertical="center" wrapText="1"/>
    </xf>
    <xf numFmtId="166" fontId="3" fillId="0" borderId="1" xfId="0" applyNumberFormat="1" applyFont="1" applyBorder="1" applyAlignment="1">
      <alignment horizontal="center" vertical="center" wrapText="1"/>
    </xf>
    <xf numFmtId="166" fontId="3" fillId="0" borderId="5" xfId="0" applyNumberFormat="1" applyFont="1" applyBorder="1" applyAlignment="1">
      <alignment horizontal="center" vertical="center" wrapText="1"/>
    </xf>
    <xf numFmtId="166" fontId="3" fillId="0" borderId="40" xfId="0" applyNumberFormat="1" applyFont="1" applyBorder="1" applyAlignment="1">
      <alignment horizontal="center" vertical="center" wrapText="1"/>
    </xf>
    <xf numFmtId="166" fontId="0" fillId="0" borderId="33" xfId="0" applyNumberFormat="1" applyBorder="1" applyAlignment="1">
      <alignment horizontal="center" vertical="center" wrapText="1"/>
    </xf>
    <xf numFmtId="166" fontId="4" fillId="0" borderId="6" xfId="0" applyNumberFormat="1" applyFont="1" applyBorder="1" applyAlignment="1">
      <alignment horizontal="center" vertical="center" wrapText="1"/>
    </xf>
    <xf numFmtId="166" fontId="4" fillId="0" borderId="1" xfId="0" applyNumberFormat="1" applyFont="1" applyBorder="1" applyAlignment="1">
      <alignment horizontal="center" vertical="center" wrapText="1"/>
    </xf>
    <xf numFmtId="166" fontId="2" fillId="0" borderId="1" xfId="0" applyNumberFormat="1" applyFont="1" applyBorder="1" applyAlignment="1">
      <alignment horizontal="center" vertical="center" wrapText="1"/>
    </xf>
    <xf numFmtId="166" fontId="4" fillId="0" borderId="33" xfId="0" applyNumberFormat="1" applyFont="1" applyBorder="1" applyAlignment="1">
      <alignment horizontal="center" vertical="center" wrapText="1"/>
    </xf>
    <xf numFmtId="166" fontId="4" fillId="0" borderId="0" xfId="0" applyNumberFormat="1" applyFont="1" applyBorder="1" applyAlignment="1">
      <alignment wrapText="1"/>
    </xf>
    <xf numFmtId="2" fontId="2" fillId="18" borderId="75" xfId="0" applyNumberFormat="1" applyFont="1" applyFill="1" applyBorder="1" applyAlignment="1">
      <alignment horizontal="center" vertical="center" wrapText="1"/>
    </xf>
    <xf numFmtId="2" fontId="2" fillId="18" borderId="6" xfId="0" applyNumberFormat="1" applyFont="1" applyFill="1" applyBorder="1" applyAlignment="1">
      <alignment horizontal="center" vertical="center" wrapText="1"/>
    </xf>
    <xf numFmtId="2" fontId="2" fillId="18" borderId="1" xfId="0" applyNumberFormat="1" applyFont="1" applyFill="1" applyBorder="1" applyAlignment="1">
      <alignment horizontal="center" vertical="center" wrapText="1"/>
    </xf>
    <xf numFmtId="2" fontId="2" fillId="18" borderId="5" xfId="0" applyNumberFormat="1" applyFont="1" applyFill="1" applyBorder="1" applyAlignment="1">
      <alignment horizontal="center" vertical="center" wrapText="1"/>
    </xf>
    <xf numFmtId="2" fontId="2" fillId="18" borderId="40" xfId="0" applyNumberFormat="1" applyFont="1" applyFill="1" applyBorder="1" applyAlignment="1">
      <alignment horizontal="center" vertical="center" wrapText="1"/>
    </xf>
    <xf numFmtId="2" fontId="2" fillId="18" borderId="33" xfId="0" applyNumberFormat="1" applyFont="1" applyFill="1" applyBorder="1" applyAlignment="1">
      <alignment horizontal="center" vertical="center" wrapText="1"/>
    </xf>
    <xf numFmtId="2" fontId="4" fillId="18" borderId="6" xfId="0" applyNumberFormat="1" applyFont="1" applyFill="1" applyBorder="1" applyAlignment="1">
      <alignment horizontal="center" vertical="center" wrapText="1"/>
    </xf>
    <xf numFmtId="2" fontId="4" fillId="18" borderId="1" xfId="0" applyNumberFormat="1" applyFont="1" applyFill="1" applyBorder="1" applyAlignment="1">
      <alignment horizontal="center" vertical="center" wrapText="1"/>
    </xf>
    <xf numFmtId="2" fontId="4" fillId="18" borderId="33" xfId="0" applyNumberFormat="1" applyFont="1" applyFill="1" applyBorder="1" applyAlignment="1">
      <alignment horizontal="center" vertical="center" wrapText="1"/>
    </xf>
    <xf numFmtId="0" fontId="3" fillId="0" borderId="75" xfId="0" applyFont="1" applyBorder="1" applyAlignment="1">
      <alignment horizontal="center" wrapText="1"/>
    </xf>
    <xf numFmtId="0" fontId="2" fillId="0" borderId="73" xfId="0" applyFont="1" applyBorder="1" applyAlignment="1">
      <alignment horizontal="center" vertical="center" wrapText="1"/>
    </xf>
    <xf numFmtId="0" fontId="2" fillId="0" borderId="65" xfId="0" applyFont="1" applyBorder="1" applyAlignment="1">
      <alignment horizontal="center" vertical="center" wrapText="1"/>
    </xf>
    <xf numFmtId="166" fontId="3" fillId="0" borderId="8" xfId="0" applyNumberFormat="1" applyFont="1" applyBorder="1" applyAlignment="1">
      <alignment horizontal="center" vertical="center" wrapText="1"/>
    </xf>
    <xf numFmtId="166" fontId="3" fillId="0" borderId="2" xfId="0" applyNumberFormat="1" applyFont="1" applyBorder="1" applyAlignment="1">
      <alignment horizontal="center" vertical="center" wrapText="1"/>
    </xf>
    <xf numFmtId="166" fontId="3" fillId="0" borderId="7" xfId="0" applyNumberFormat="1" applyFont="1" applyBorder="1" applyAlignment="1">
      <alignment horizontal="center" vertical="center" wrapText="1"/>
    </xf>
    <xf numFmtId="166" fontId="3" fillId="0" borderId="41" xfId="0" applyNumberFormat="1" applyFont="1" applyBorder="1" applyAlignment="1">
      <alignment horizontal="center" vertical="center" wrapText="1"/>
    </xf>
    <xf numFmtId="166" fontId="3" fillId="0" borderId="38" xfId="0" applyNumberFormat="1" applyFont="1" applyBorder="1" applyAlignment="1">
      <alignment horizontal="center" vertical="center" wrapText="1"/>
    </xf>
    <xf numFmtId="0" fontId="0" fillId="0" borderId="76" xfId="0" applyBorder="1" applyAlignment="1">
      <alignment horizontal="center" wrapText="1"/>
    </xf>
    <xf numFmtId="0" fontId="2" fillId="16" borderId="71" xfId="0" applyFont="1" applyFill="1" applyBorder="1" applyAlignment="1">
      <alignment horizontal="center" vertical="center" wrapText="1"/>
    </xf>
    <xf numFmtId="0" fontId="2" fillId="16" borderId="66" xfId="0" applyFont="1" applyFill="1" applyBorder="1" applyAlignment="1">
      <alignment horizontal="center" vertical="center" wrapText="1"/>
    </xf>
    <xf numFmtId="0" fontId="2" fillId="16" borderId="3" xfId="0" applyFont="1" applyFill="1" applyBorder="1" applyAlignment="1">
      <alignment horizontal="center" vertical="center" wrapText="1"/>
    </xf>
    <xf numFmtId="0" fontId="2" fillId="16" borderId="4" xfId="0" applyFont="1" applyFill="1" applyBorder="1" applyAlignment="1">
      <alignment horizontal="center" vertical="center" wrapText="1"/>
    </xf>
    <xf numFmtId="0" fontId="2" fillId="16" borderId="67" xfId="0" applyFont="1" applyFill="1" applyBorder="1" applyAlignment="1">
      <alignment horizontal="center" vertical="center" wrapText="1"/>
    </xf>
    <xf numFmtId="0" fontId="2" fillId="16" borderId="37" xfId="0" applyFont="1" applyFill="1" applyBorder="1" applyAlignment="1">
      <alignment horizontal="center" vertical="center" wrapText="1"/>
    </xf>
    <xf numFmtId="0" fontId="2" fillId="16" borderId="31" xfId="0" applyFont="1" applyFill="1" applyBorder="1" applyAlignment="1">
      <alignment horizontal="center" vertical="center" wrapText="1"/>
    </xf>
    <xf numFmtId="0" fontId="3" fillId="16" borderId="70" xfId="0" applyFont="1" applyFill="1" applyBorder="1" applyAlignment="1">
      <alignment horizontal="center" vertical="center" wrapText="1"/>
    </xf>
    <xf numFmtId="166" fontId="3" fillId="16" borderId="40" xfId="0" applyNumberFormat="1" applyFont="1" applyFill="1" applyBorder="1" applyAlignment="1">
      <alignment horizontal="center" vertical="center" wrapText="1"/>
    </xf>
    <xf numFmtId="166" fontId="3" fillId="16" borderId="1" xfId="0" applyNumberFormat="1" applyFont="1" applyFill="1" applyBorder="1" applyAlignment="1">
      <alignment horizontal="center" vertical="center" wrapText="1"/>
    </xf>
    <xf numFmtId="166" fontId="3" fillId="16" borderId="5" xfId="0" applyNumberFormat="1" applyFont="1" applyFill="1" applyBorder="1" applyAlignment="1">
      <alignment horizontal="center" vertical="center" wrapText="1"/>
    </xf>
    <xf numFmtId="166" fontId="0" fillId="16" borderId="1" xfId="0" applyNumberFormat="1" applyFill="1" applyBorder="1" applyAlignment="1">
      <alignment horizontal="center" vertical="center" wrapText="1"/>
    </xf>
    <xf numFmtId="166" fontId="0" fillId="16" borderId="33" xfId="0" applyNumberFormat="1" applyFill="1" applyBorder="1" applyAlignment="1">
      <alignment horizontal="center" vertical="center" wrapText="1"/>
    </xf>
    <xf numFmtId="166" fontId="4" fillId="16" borderId="6" xfId="0" applyNumberFormat="1" applyFont="1" applyFill="1" applyBorder="1" applyAlignment="1">
      <alignment horizontal="center" vertical="center" wrapText="1"/>
    </xf>
    <xf numFmtId="166" fontId="4" fillId="16" borderId="1" xfId="0" applyNumberFormat="1" applyFont="1" applyFill="1" applyBorder="1" applyAlignment="1">
      <alignment horizontal="center" vertical="center" wrapText="1"/>
    </xf>
    <xf numFmtId="166" fontId="4" fillId="16" borderId="33" xfId="0" applyNumberFormat="1" applyFont="1" applyFill="1" applyBorder="1" applyAlignment="1">
      <alignment horizontal="center" vertical="center" wrapText="1"/>
    </xf>
    <xf numFmtId="2" fontId="2" fillId="18" borderId="62" xfId="0" applyNumberFormat="1" applyFont="1" applyFill="1" applyBorder="1" applyAlignment="1">
      <alignment horizontal="center" vertical="center" wrapText="1"/>
    </xf>
    <xf numFmtId="2" fontId="3" fillId="18" borderId="68" xfId="0" applyNumberFormat="1" applyFont="1" applyFill="1" applyBorder="1" applyAlignment="1">
      <alignment horizontal="center" vertical="center" wrapText="1"/>
    </xf>
    <xf numFmtId="2" fontId="3" fillId="18" borderId="34" xfId="0" applyNumberFormat="1" applyFont="1" applyFill="1" applyBorder="1" applyAlignment="1">
      <alignment horizontal="center" vertical="center" wrapText="1"/>
    </xf>
    <xf numFmtId="2" fontId="3" fillId="18" borderId="60" xfId="0" applyNumberFormat="1" applyFont="1" applyFill="1" applyBorder="1" applyAlignment="1">
      <alignment horizontal="center" vertical="center" wrapText="1"/>
    </xf>
    <xf numFmtId="2" fontId="4" fillId="18" borderId="34" xfId="0" applyNumberFormat="1" applyFont="1" applyFill="1" applyBorder="1" applyAlignment="1">
      <alignment horizontal="center" vertical="center" wrapText="1"/>
    </xf>
    <xf numFmtId="2" fontId="4" fillId="18" borderId="35" xfId="0" applyNumberFormat="1" applyFont="1" applyFill="1" applyBorder="1" applyAlignment="1">
      <alignment horizontal="center" vertical="center" wrapText="1"/>
    </xf>
    <xf numFmtId="2" fontId="4" fillId="18" borderId="36" xfId="0" applyNumberFormat="1" applyFont="1" applyFill="1" applyBorder="1" applyAlignment="1">
      <alignment horizontal="center" vertical="center" wrapText="1"/>
    </xf>
    <xf numFmtId="3" fontId="3" fillId="16" borderId="40" xfId="0" applyNumberFormat="1" applyFont="1" applyFill="1" applyBorder="1" applyAlignment="1">
      <alignment horizontal="center" vertical="center" wrapText="1"/>
    </xf>
    <xf numFmtId="3" fontId="3" fillId="16" borderId="1" xfId="0" applyNumberFormat="1" applyFont="1" applyFill="1" applyBorder="1" applyAlignment="1">
      <alignment horizontal="center" vertical="center" wrapText="1"/>
    </xf>
    <xf numFmtId="3" fontId="3" fillId="16" borderId="5" xfId="0" applyNumberFormat="1" applyFont="1" applyFill="1" applyBorder="1" applyAlignment="1">
      <alignment horizontal="center" vertical="center" wrapText="1"/>
    </xf>
    <xf numFmtId="3" fontId="4" fillId="16" borderId="1" xfId="0" applyNumberFormat="1" applyFont="1" applyFill="1" applyBorder="1" applyAlignment="1">
      <alignment horizontal="center" vertical="center" wrapText="1"/>
    </xf>
    <xf numFmtId="3" fontId="4" fillId="16" borderId="33" xfId="0" applyNumberFormat="1" applyFont="1" applyFill="1" applyBorder="1" applyAlignment="1">
      <alignment horizontal="center" vertical="center" wrapText="1"/>
    </xf>
    <xf numFmtId="0" fontId="3" fillId="16" borderId="63" xfId="0" applyFont="1" applyFill="1" applyBorder="1" applyAlignment="1">
      <alignment horizontal="center" vertical="center" wrapText="1"/>
    </xf>
    <xf numFmtId="166" fontId="3" fillId="16" borderId="33" xfId="0" applyNumberFormat="1" applyFont="1" applyFill="1" applyBorder="1" applyAlignment="1">
      <alignment horizontal="center" vertical="center" wrapText="1"/>
    </xf>
    <xf numFmtId="0" fontId="2" fillId="0" borderId="43" xfId="0" applyFont="1" applyBorder="1" applyAlignment="1">
      <alignment horizontal="center" vertical="center" wrapText="1"/>
    </xf>
    <xf numFmtId="0" fontId="3" fillId="0" borderId="70" xfId="0" applyFont="1" applyBorder="1" applyAlignment="1">
      <alignment horizontal="center" vertical="center" wrapText="1"/>
    </xf>
    <xf numFmtId="166" fontId="3" fillId="0" borderId="33" xfId="0" applyNumberFormat="1" applyFont="1" applyBorder="1" applyAlignment="1">
      <alignment horizontal="center" vertical="center" wrapText="1"/>
    </xf>
    <xf numFmtId="0" fontId="2" fillId="0" borderId="69"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0" xfId="0" applyFont="1" applyBorder="1" applyAlignment="1">
      <alignment horizontal="center" vertical="center" wrapText="1"/>
    </xf>
    <xf numFmtId="0" fontId="2" fillId="0" borderId="64" xfId="0" applyFont="1" applyBorder="1" applyAlignment="1">
      <alignment horizontal="center" vertical="center" wrapText="1"/>
    </xf>
    <xf numFmtId="165" fontId="3" fillId="0" borderId="63" xfId="0" applyNumberFormat="1" applyFont="1" applyBorder="1" applyAlignment="1">
      <alignment horizontal="center" vertical="center" wrapText="1"/>
    </xf>
    <xf numFmtId="2" fontId="3" fillId="8" borderId="41" xfId="0" applyNumberFormat="1" applyFont="1" applyFill="1" applyBorder="1" applyAlignment="1">
      <alignment horizontal="center" vertical="center" wrapText="1"/>
    </xf>
    <xf numFmtId="2" fontId="3" fillId="8" borderId="2" xfId="0" applyNumberFormat="1" applyFont="1" applyFill="1" applyBorder="1" applyAlignment="1">
      <alignment horizontal="center" vertical="center" wrapText="1"/>
    </xf>
    <xf numFmtId="2" fontId="3" fillId="8" borderId="7" xfId="0" applyNumberFormat="1" applyFont="1" applyFill="1" applyBorder="1" applyAlignment="1">
      <alignment horizontal="center" vertical="center" wrapText="1"/>
    </xf>
    <xf numFmtId="2" fontId="3" fillId="8" borderId="38" xfId="0" applyNumberFormat="1" applyFont="1" applyFill="1" applyBorder="1" applyAlignment="1">
      <alignment horizontal="center" vertical="center" wrapText="1"/>
    </xf>
    <xf numFmtId="2" fontId="3" fillId="0" borderId="2" xfId="0" applyNumberFormat="1" applyFont="1" applyBorder="1" applyAlignment="1">
      <alignment horizontal="center" vertical="center" wrapText="1"/>
    </xf>
    <xf numFmtId="0" fontId="2" fillId="16" borderId="43" xfId="0" applyFont="1" applyFill="1" applyBorder="1" applyAlignment="1">
      <alignment horizontal="center" vertical="center" wrapText="1"/>
    </xf>
    <xf numFmtId="0" fontId="2" fillId="16" borderId="39" xfId="0" applyFont="1" applyFill="1" applyBorder="1" applyAlignment="1">
      <alignment horizontal="center" vertical="center" wrapText="1"/>
    </xf>
    <xf numFmtId="0" fontId="2" fillId="16" borderId="72" xfId="0" applyFont="1" applyFill="1" applyBorder="1" applyAlignment="1">
      <alignment horizontal="center" vertical="center" wrapText="1"/>
    </xf>
    <xf numFmtId="0" fontId="2" fillId="16" borderId="32" xfId="0" applyFont="1" applyFill="1" applyBorder="1" applyAlignment="1">
      <alignment horizontal="center" vertical="center" wrapText="1"/>
    </xf>
    <xf numFmtId="166" fontId="3" fillId="16" borderId="6" xfId="0" applyNumberFormat="1" applyFont="1" applyFill="1" applyBorder="1" applyAlignment="1">
      <alignment horizontal="center" vertical="center" wrapText="1"/>
    </xf>
    <xf numFmtId="2" fontId="2" fillId="18" borderId="70" xfId="0" applyNumberFormat="1" applyFont="1" applyFill="1" applyBorder="1" applyAlignment="1">
      <alignment horizontal="center" vertical="center" wrapText="1"/>
    </xf>
    <xf numFmtId="2" fontId="3" fillId="18" borderId="40" xfId="0" applyNumberFormat="1" applyFont="1" applyFill="1" applyBorder="1" applyAlignment="1">
      <alignment horizontal="center" vertical="center" wrapText="1"/>
    </xf>
    <xf numFmtId="2" fontId="3" fillId="18" borderId="1" xfId="0" applyNumberFormat="1" applyFont="1" applyFill="1" applyBorder="1" applyAlignment="1">
      <alignment horizontal="center" vertical="center" wrapText="1"/>
    </xf>
    <xf numFmtId="2" fontId="3" fillId="18" borderId="5" xfId="0" applyNumberFormat="1" applyFont="1" applyFill="1" applyBorder="1" applyAlignment="1">
      <alignment horizontal="center" vertical="center" wrapText="1"/>
    </xf>
    <xf numFmtId="3" fontId="3" fillId="16" borderId="33" xfId="0" applyNumberFormat="1" applyFont="1" applyFill="1" applyBorder="1" applyAlignment="1">
      <alignment horizontal="center" vertical="center" wrapText="1"/>
    </xf>
    <xf numFmtId="0" fontId="3" fillId="16" borderId="1" xfId="0" applyFont="1" applyFill="1" applyBorder="1" applyAlignment="1">
      <alignment horizontal="center" vertical="center" wrapText="1"/>
    </xf>
    <xf numFmtId="3" fontId="3" fillId="16" borderId="41" xfId="0" applyNumberFormat="1" applyFont="1" applyFill="1" applyBorder="1" applyAlignment="1">
      <alignment horizontal="center" vertical="center" wrapText="1"/>
    </xf>
    <xf numFmtId="3" fontId="3" fillId="16" borderId="2" xfId="0" applyNumberFormat="1" applyFont="1" applyFill="1" applyBorder="1" applyAlignment="1">
      <alignment horizontal="center" vertical="center" wrapText="1"/>
    </xf>
    <xf numFmtId="3" fontId="3" fillId="16" borderId="7" xfId="0" applyNumberFormat="1" applyFont="1" applyFill="1" applyBorder="1" applyAlignment="1">
      <alignment horizontal="center" vertical="center" wrapText="1"/>
    </xf>
    <xf numFmtId="3" fontId="3" fillId="16" borderId="38" xfId="0" applyNumberFormat="1" applyFont="1" applyFill="1" applyBorder="1" applyAlignment="1">
      <alignment horizontal="center" vertical="center" wrapText="1"/>
    </xf>
    <xf numFmtId="166" fontId="4" fillId="16" borderId="2" xfId="0" applyNumberFormat="1" applyFont="1" applyFill="1" applyBorder="1" applyAlignment="1">
      <alignment horizontal="center" vertical="center" wrapText="1"/>
    </xf>
    <xf numFmtId="0" fontId="3" fillId="16" borderId="2" xfId="0" applyFont="1" applyFill="1" applyBorder="1" applyAlignment="1">
      <alignment horizontal="center" vertical="center" wrapText="1"/>
    </xf>
    <xf numFmtId="166" fontId="3" fillId="16" borderId="2" xfId="0" applyNumberFormat="1" applyFont="1" applyFill="1" applyBorder="1" applyAlignment="1">
      <alignment horizontal="center" vertical="center" wrapText="1"/>
    </xf>
    <xf numFmtId="166" fontId="4" fillId="16" borderId="38" xfId="0" applyNumberFormat="1" applyFont="1" applyFill="1" applyBorder="1" applyAlignment="1">
      <alignment horizontal="center" vertical="center" wrapText="1"/>
    </xf>
    <xf numFmtId="166" fontId="3" fillId="16" borderId="62" xfId="0" applyNumberFormat="1" applyFont="1" applyFill="1" applyBorder="1" applyAlignment="1">
      <alignment horizontal="center" vertical="center" wrapText="1"/>
    </xf>
    <xf numFmtId="166" fontId="3" fillId="16" borderId="68" xfId="0" applyNumberFormat="1" applyFont="1" applyFill="1" applyBorder="1" applyAlignment="1">
      <alignment horizontal="center" vertical="center" wrapText="1"/>
    </xf>
    <xf numFmtId="166" fontId="3" fillId="16" borderId="34" xfId="0" applyNumberFormat="1" applyFont="1" applyFill="1" applyBorder="1" applyAlignment="1">
      <alignment horizontal="center" vertical="center" wrapText="1"/>
    </xf>
    <xf numFmtId="166" fontId="3" fillId="16" borderId="60" xfId="0" applyNumberFormat="1" applyFont="1" applyFill="1" applyBorder="1" applyAlignment="1">
      <alignment horizontal="center" vertical="center" wrapText="1"/>
    </xf>
    <xf numFmtId="166" fontId="3" fillId="16" borderId="35" xfId="0" applyNumberFormat="1" applyFont="1" applyFill="1" applyBorder="1" applyAlignment="1">
      <alignment horizontal="center" vertical="center" wrapText="1"/>
    </xf>
    <xf numFmtId="0" fontId="2" fillId="0" borderId="71" xfId="0" applyFont="1" applyBorder="1" applyAlignment="1">
      <alignment horizontal="center" vertical="center" wrapText="1"/>
    </xf>
    <xf numFmtId="2" fontId="3" fillId="0" borderId="66" xfId="0" applyNumberFormat="1" applyFont="1" applyBorder="1" applyAlignment="1">
      <alignment horizontal="center" vertical="center" wrapText="1"/>
    </xf>
    <xf numFmtId="2" fontId="3" fillId="0" borderId="3" xfId="0" applyNumberFormat="1" applyFont="1" applyBorder="1" applyAlignment="1">
      <alignment horizontal="center" vertical="center" wrapText="1"/>
    </xf>
    <xf numFmtId="2" fontId="3" fillId="0" borderId="4" xfId="0" applyNumberFormat="1" applyFont="1" applyBorder="1" applyAlignment="1">
      <alignment horizontal="center" vertical="center" wrapText="1"/>
    </xf>
    <xf numFmtId="2" fontId="3" fillId="0" borderId="67" xfId="0" applyNumberFormat="1" applyFont="1" applyBorder="1" applyAlignment="1">
      <alignment horizontal="center" vertical="center" wrapText="1"/>
    </xf>
    <xf numFmtId="166" fontId="3" fillId="0" borderId="3" xfId="0" applyNumberFormat="1" applyFont="1" applyBorder="1" applyAlignment="1">
      <alignment horizontal="center" vertical="center" wrapText="1"/>
    </xf>
    <xf numFmtId="0" fontId="2" fillId="18" borderId="70" xfId="0" applyFont="1" applyFill="1" applyBorder="1" applyAlignment="1">
      <alignment horizontal="center" vertical="center" wrapText="1"/>
    </xf>
    <xf numFmtId="166" fontId="4" fillId="18" borderId="1" xfId="0" applyNumberFormat="1" applyFont="1" applyFill="1" applyBorder="1" applyAlignment="1">
      <alignment horizontal="center" vertical="center" wrapText="1"/>
    </xf>
    <xf numFmtId="166" fontId="3" fillId="18" borderId="1" xfId="0" applyNumberFormat="1" applyFont="1" applyFill="1" applyBorder="1" applyAlignment="1">
      <alignment horizontal="center" vertical="center" wrapText="1"/>
    </xf>
    <xf numFmtId="166" fontId="4" fillId="18" borderId="33" xfId="0" applyNumberFormat="1" applyFont="1" applyFill="1" applyBorder="1" applyAlignment="1">
      <alignment horizontal="center" vertical="center" wrapText="1"/>
    </xf>
    <xf numFmtId="3" fontId="3" fillId="0" borderId="70" xfId="0" applyNumberFormat="1" applyFont="1" applyBorder="1" applyAlignment="1">
      <alignment horizontal="center" vertical="center" wrapText="1"/>
    </xf>
    <xf numFmtId="3" fontId="3" fillId="0" borderId="40" xfId="0" applyNumberFormat="1" applyFont="1" applyBorder="1" applyAlignment="1">
      <alignment horizontal="center" vertical="center" wrapText="1"/>
    </xf>
    <xf numFmtId="3" fontId="3" fillId="0" borderId="1" xfId="0" applyNumberFormat="1" applyFont="1" applyBorder="1" applyAlignment="1">
      <alignment horizontal="center" vertical="center" wrapText="1"/>
    </xf>
    <xf numFmtId="3" fontId="3" fillId="0" borderId="5" xfId="0" applyNumberFormat="1" applyFont="1" applyBorder="1" applyAlignment="1">
      <alignment horizontal="center" vertical="center" wrapText="1"/>
    </xf>
    <xf numFmtId="3" fontId="0" fillId="0" borderId="33" xfId="0" applyNumberFormat="1" applyBorder="1" applyAlignment="1">
      <alignment horizontal="center" vertical="center" wrapText="1"/>
    </xf>
    <xf numFmtId="3" fontId="0" fillId="0" borderId="6" xfId="0" applyNumberFormat="1" applyBorder="1" applyAlignment="1">
      <alignment horizontal="center" vertical="center" wrapText="1"/>
    </xf>
    <xf numFmtId="3" fontId="0" fillId="0" borderId="5" xfId="0" applyNumberFormat="1" applyBorder="1" applyAlignment="1">
      <alignment horizontal="center" vertical="center" wrapText="1"/>
    </xf>
    <xf numFmtId="1" fontId="3" fillId="19" borderId="70" xfId="0" applyNumberFormat="1" applyFont="1" applyFill="1" applyBorder="1" applyAlignment="1">
      <alignment horizontal="center" vertical="center" wrapText="1"/>
    </xf>
    <xf numFmtId="2" fontId="3" fillId="19" borderId="40" xfId="0" applyNumberFormat="1" applyFont="1" applyFill="1" applyBorder="1" applyAlignment="1">
      <alignment horizontal="center" vertical="center" wrapText="1"/>
    </xf>
    <xf numFmtId="2" fontId="3" fillId="0" borderId="1" xfId="0" applyNumberFormat="1" applyFont="1" applyBorder="1" applyAlignment="1">
      <alignment horizontal="center" vertical="center" wrapText="1"/>
    </xf>
    <xf numFmtId="2" fontId="3" fillId="0" borderId="5" xfId="0" applyNumberFormat="1" applyFont="1" applyBorder="1" applyAlignment="1">
      <alignment horizontal="center" vertical="center" wrapText="1"/>
    </xf>
    <xf numFmtId="2" fontId="3" fillId="8" borderId="59" xfId="0" applyNumberFormat="1" applyFont="1" applyFill="1" applyBorder="1" applyAlignment="1">
      <alignment horizontal="center" vertical="center" wrapText="1"/>
    </xf>
    <xf numFmtId="2" fontId="3" fillId="0" borderId="33" xfId="0" applyNumberFormat="1" applyFont="1" applyBorder="1" applyAlignment="1">
      <alignment horizontal="center" vertical="center" wrapText="1"/>
    </xf>
    <xf numFmtId="2" fontId="3" fillId="0" borderId="6" xfId="0" applyNumberFormat="1" applyFont="1" applyBorder="1" applyAlignment="1">
      <alignment horizontal="center" vertical="center" wrapText="1"/>
    </xf>
    <xf numFmtId="166" fontId="0" fillId="16" borderId="6" xfId="0" applyNumberFormat="1" applyFill="1" applyBorder="1" applyAlignment="1">
      <alignment horizontal="center" vertical="center" wrapText="1"/>
    </xf>
    <xf numFmtId="1" fontId="2" fillId="18" borderId="40" xfId="0" applyNumberFormat="1" applyFont="1" applyFill="1" applyBorder="1" applyAlignment="1">
      <alignment horizontal="center" vertical="center" wrapText="1"/>
    </xf>
    <xf numFmtId="1" fontId="2" fillId="18" borderId="1" xfId="0" applyNumberFormat="1" applyFont="1" applyFill="1" applyBorder="1" applyAlignment="1">
      <alignment horizontal="center" vertical="center" wrapText="1"/>
    </xf>
    <xf numFmtId="1" fontId="2" fillId="18" borderId="5" xfId="0" applyNumberFormat="1" applyFont="1" applyFill="1" applyBorder="1" applyAlignment="1">
      <alignment horizontal="center" vertical="center" wrapText="1"/>
    </xf>
    <xf numFmtId="1" fontId="4" fillId="18" borderId="1" xfId="0" applyNumberFormat="1" applyFont="1" applyFill="1" applyBorder="1" applyAlignment="1">
      <alignment horizontal="center" vertical="center" wrapText="1"/>
    </xf>
    <xf numFmtId="1" fontId="4" fillId="18" borderId="33" xfId="0" applyNumberFormat="1" applyFont="1" applyFill="1" applyBorder="1" applyAlignment="1">
      <alignment horizontal="center" vertical="center" wrapText="1"/>
    </xf>
    <xf numFmtId="1" fontId="4" fillId="18" borderId="6" xfId="0" applyNumberFormat="1" applyFont="1" applyFill="1" applyBorder="1" applyAlignment="1">
      <alignment horizontal="center" vertical="center" wrapText="1"/>
    </xf>
    <xf numFmtId="165" fontId="4" fillId="18" borderId="1" xfId="0" applyNumberFormat="1" applyFont="1" applyFill="1" applyBorder="1" applyAlignment="1">
      <alignment horizontal="center" vertical="center" wrapText="1"/>
    </xf>
    <xf numFmtId="2" fontId="0" fillId="18" borderId="33" xfId="0" applyNumberFormat="1" applyFill="1" applyBorder="1" applyAlignment="1">
      <alignment horizontal="center" vertical="center" wrapText="1"/>
    </xf>
    <xf numFmtId="3" fontId="4" fillId="16" borderId="6" xfId="0" applyNumberFormat="1" applyFont="1" applyFill="1" applyBorder="1" applyAlignment="1">
      <alignment horizontal="center" vertical="center" wrapText="1"/>
    </xf>
    <xf numFmtId="166" fontId="3" fillId="16" borderId="41" xfId="0" applyNumberFormat="1" applyFont="1" applyFill="1" applyBorder="1" applyAlignment="1">
      <alignment horizontal="center" vertical="center" wrapText="1"/>
    </xf>
    <xf numFmtId="166" fontId="3" fillId="16" borderId="7" xfId="0" applyNumberFormat="1" applyFont="1" applyFill="1" applyBorder="1" applyAlignment="1">
      <alignment horizontal="center" vertical="center" wrapText="1"/>
    </xf>
    <xf numFmtId="166" fontId="4" fillId="16" borderId="8" xfId="0" applyNumberFormat="1" applyFont="1" applyFill="1" applyBorder="1" applyAlignment="1">
      <alignment horizontal="center" vertical="center" wrapText="1"/>
    </xf>
    <xf numFmtId="0" fontId="0" fillId="0" borderId="46" xfId="0" applyBorder="1" applyAlignment="1">
      <alignment horizontal="center" wrapText="1"/>
    </xf>
    <xf numFmtId="1" fontId="4" fillId="18" borderId="40" xfId="0" applyNumberFormat="1" applyFont="1" applyFill="1" applyBorder="1" applyAlignment="1">
      <alignment horizontal="center" vertical="center" wrapText="1"/>
    </xf>
    <xf numFmtId="2" fontId="0" fillId="18" borderId="1" xfId="0" applyNumberFormat="1" applyFill="1" applyBorder="1" applyAlignment="1">
      <alignment horizontal="center" vertical="center" wrapText="1"/>
    </xf>
    <xf numFmtId="3" fontId="4" fillId="0" borderId="1" xfId="0" applyNumberFormat="1" applyFont="1" applyBorder="1" applyAlignment="1">
      <alignment horizontal="center" vertical="center" wrapText="1"/>
    </xf>
    <xf numFmtId="3" fontId="4" fillId="0" borderId="33" xfId="0" applyNumberFormat="1" applyFont="1" applyBorder="1" applyAlignment="1">
      <alignment horizontal="center" vertical="center" wrapText="1"/>
    </xf>
    <xf numFmtId="3" fontId="4" fillId="0" borderId="6" xfId="0" applyNumberFormat="1" applyFont="1" applyBorder="1" applyAlignment="1">
      <alignment horizontal="center" vertical="center" wrapText="1"/>
    </xf>
    <xf numFmtId="0" fontId="3" fillId="0" borderId="63" xfId="0" applyFont="1" applyBorder="1" applyAlignment="1">
      <alignment horizontal="center" vertical="center" wrapText="1"/>
    </xf>
    <xf numFmtId="166" fontId="4" fillId="0" borderId="2" xfId="0" applyNumberFormat="1" applyFont="1" applyBorder="1" applyAlignment="1">
      <alignment horizontal="center" vertical="center" wrapText="1"/>
    </xf>
    <xf numFmtId="166" fontId="4" fillId="0" borderId="38" xfId="0" applyNumberFormat="1" applyFont="1" applyBorder="1" applyAlignment="1">
      <alignment horizontal="center" vertical="center" wrapText="1"/>
    </xf>
    <xf numFmtId="166" fontId="4" fillId="0" borderId="8" xfId="0" applyNumberFormat="1" applyFont="1" applyBorder="1" applyAlignment="1">
      <alignment horizontal="center" vertical="center" wrapText="1"/>
    </xf>
    <xf numFmtId="166" fontId="3" fillId="16" borderId="38" xfId="0" applyNumberFormat="1" applyFont="1" applyFill="1" applyBorder="1" applyAlignment="1">
      <alignment horizontal="center" vertical="center" wrapText="1"/>
    </xf>
    <xf numFmtId="3" fontId="3" fillId="0" borderId="33" xfId="0" applyNumberFormat="1" applyFont="1" applyBorder="1" applyAlignment="1">
      <alignment horizontal="center" vertical="center" wrapText="1"/>
    </xf>
    <xf numFmtId="3" fontId="3" fillId="0" borderId="6" xfId="0" applyNumberFormat="1" applyFont="1" applyBorder="1" applyAlignment="1">
      <alignment horizontal="center" vertical="center" wrapText="1"/>
    </xf>
    <xf numFmtId="0" fontId="3" fillId="0" borderId="74" xfId="0" applyFont="1" applyBorder="1" applyAlignment="1">
      <alignment horizontal="center" vertical="center" wrapText="1"/>
    </xf>
    <xf numFmtId="0" fontId="3" fillId="16" borderId="39" xfId="0" applyFont="1" applyFill="1" applyBorder="1" applyAlignment="1">
      <alignment horizontal="center" vertical="center" wrapText="1"/>
    </xf>
    <xf numFmtId="0" fontId="0" fillId="16" borderId="1" xfId="0" applyFill="1" applyBorder="1" applyAlignment="1">
      <alignment horizontal="center" vertical="center" wrapText="1"/>
    </xf>
    <xf numFmtId="3" fontId="2" fillId="16" borderId="1" xfId="0" applyNumberFormat="1" applyFont="1" applyFill="1" applyBorder="1" applyAlignment="1">
      <alignment horizontal="center" vertical="center" wrapText="1"/>
    </xf>
    <xf numFmtId="3" fontId="25" fillId="0" borderId="0" xfId="0" applyNumberFormat="1" applyFont="1" applyBorder="1" applyAlignment="1">
      <alignment wrapText="1"/>
    </xf>
    <xf numFmtId="0" fontId="0" fillId="16" borderId="2" xfId="0" applyFill="1" applyBorder="1" applyAlignment="1">
      <alignment horizontal="center" vertical="center" wrapText="1"/>
    </xf>
    <xf numFmtId="3" fontId="2" fillId="16" borderId="2" xfId="0" applyNumberFormat="1" applyFont="1" applyFill="1" applyBorder="1" applyAlignment="1">
      <alignment horizontal="center" vertical="center" wrapText="1"/>
    </xf>
    <xf numFmtId="3" fontId="4" fillId="16" borderId="38" xfId="0" applyNumberFormat="1" applyFont="1" applyFill="1" applyBorder="1" applyAlignment="1">
      <alignment horizontal="center" vertical="center" wrapText="1"/>
    </xf>
    <xf numFmtId="3" fontId="3" fillId="16" borderId="63" xfId="0" applyNumberFormat="1" applyFont="1" applyFill="1" applyBorder="1" applyAlignment="1">
      <alignment horizontal="center" vertical="center" wrapText="1"/>
    </xf>
    <xf numFmtId="2" fontId="3" fillId="16" borderId="41" xfId="0" applyNumberFormat="1" applyFont="1" applyFill="1" applyBorder="1" applyAlignment="1">
      <alignment horizontal="center" vertical="center" wrapText="1"/>
    </xf>
    <xf numFmtId="2" fontId="3" fillId="16" borderId="2" xfId="0" applyNumberFormat="1" applyFont="1" applyFill="1" applyBorder="1" applyAlignment="1">
      <alignment horizontal="center" vertical="center" wrapText="1"/>
    </xf>
    <xf numFmtId="2" fontId="3" fillId="16" borderId="7" xfId="0" applyNumberFormat="1" applyFont="1" applyFill="1" applyBorder="1" applyAlignment="1">
      <alignment horizontal="center" vertical="center" wrapText="1"/>
    </xf>
    <xf numFmtId="2" fontId="2" fillId="16" borderId="2" xfId="0" applyNumberFormat="1" applyFont="1" applyFill="1" applyBorder="1" applyAlignment="1">
      <alignment horizontal="center" vertical="center" wrapText="1"/>
    </xf>
    <xf numFmtId="2" fontId="4" fillId="16" borderId="38" xfId="0" applyNumberFormat="1" applyFont="1" applyFill="1" applyBorder="1" applyAlignment="1">
      <alignment horizontal="center" vertical="center" wrapText="1"/>
    </xf>
    <xf numFmtId="3" fontId="3" fillId="16" borderId="0" xfId="0" applyNumberFormat="1" applyFont="1" applyFill="1" applyBorder="1" applyAlignment="1">
      <alignment horizontal="center" vertical="center" wrapText="1"/>
    </xf>
    <xf numFmtId="0" fontId="0" fillId="20" borderId="0" xfId="0" applyFill="1" applyBorder="1" applyAlignment="1">
      <alignment wrapText="1"/>
    </xf>
    <xf numFmtId="0" fontId="6" fillId="5" borderId="12" xfId="0" applyFont="1" applyFill="1" applyBorder="1" applyAlignment="1">
      <alignment horizontal="center" vertical="center" wrapText="1"/>
    </xf>
    <xf numFmtId="167" fontId="6" fillId="5" borderId="12" xfId="0" applyNumberFormat="1" applyFont="1" applyFill="1" applyBorder="1" applyAlignment="1">
      <alignment horizontal="center" vertical="center" wrapText="1"/>
    </xf>
    <xf numFmtId="167" fontId="21" fillId="7" borderId="12" xfId="0" applyNumberFormat="1" applyFont="1" applyFill="1" applyBorder="1" applyAlignment="1">
      <alignment horizontal="center" vertical="center" wrapText="1"/>
    </xf>
    <xf numFmtId="0" fontId="6" fillId="0" borderId="12" xfId="0" applyFont="1" applyBorder="1" applyAlignment="1">
      <alignment vertical="center" wrapText="1"/>
    </xf>
    <xf numFmtId="4" fontId="7" fillId="0" borderId="12" xfId="0" applyNumberFormat="1" applyFont="1" applyBorder="1" applyAlignment="1">
      <alignment horizontal="center" wrapText="1"/>
    </xf>
    <xf numFmtId="4" fontId="0" fillId="6" borderId="12" xfId="0" applyNumberFormat="1" applyFill="1" applyBorder="1" applyAlignment="1">
      <alignment horizontal="center" wrapText="1"/>
    </xf>
    <xf numFmtId="4" fontId="7" fillId="6" borderId="12" xfId="0" applyNumberFormat="1" applyFont="1" applyFill="1" applyBorder="1" applyAlignment="1">
      <alignment horizontal="center" wrapText="1"/>
    </xf>
    <xf numFmtId="2" fontId="7" fillId="0" borderId="14" xfId="0" applyNumberFormat="1" applyFont="1" applyBorder="1" applyAlignment="1">
      <alignment horizontal="center" wrapText="1"/>
    </xf>
    <xf numFmtId="0" fontId="6" fillId="0" borderId="53" xfId="0" applyFont="1" applyBorder="1" applyAlignment="1">
      <alignment vertical="center" wrapText="1"/>
    </xf>
    <xf numFmtId="4" fontId="0" fillId="6" borderId="13" xfId="0" applyNumberFormat="1" applyFill="1" applyBorder="1" applyAlignment="1">
      <alignment horizontal="center" wrapText="1"/>
    </xf>
    <xf numFmtId="0" fontId="6" fillId="16" borderId="3" xfId="0" applyFont="1" applyFill="1" applyBorder="1" applyAlignment="1">
      <alignment vertical="center" wrapText="1"/>
    </xf>
    <xf numFmtId="2" fontId="7" fillId="16" borderId="3" xfId="0" applyNumberFormat="1" applyFont="1" applyFill="1" applyBorder="1" applyAlignment="1">
      <alignment horizontal="center" wrapText="1"/>
    </xf>
    <xf numFmtId="2" fontId="0" fillId="16" borderId="3" xfId="0" applyNumberFormat="1" applyFill="1" applyBorder="1" applyAlignment="1">
      <alignment horizontal="center" wrapText="1"/>
    </xf>
    <xf numFmtId="2" fontId="0" fillId="16" borderId="3" xfId="0" applyNumberFormat="1" applyFill="1" applyBorder="1" applyAlignment="1">
      <alignment horizontal="center" vertical="center" wrapText="1"/>
    </xf>
    <xf numFmtId="4" fontId="0" fillId="16" borderId="3" xfId="0" applyNumberFormat="1" applyFill="1" applyBorder="1" applyAlignment="1">
      <alignment horizontal="center" wrapText="1"/>
    </xf>
    <xf numFmtId="0" fontId="6" fillId="16" borderId="1" xfId="0" applyFont="1" applyFill="1" applyBorder="1" applyAlignment="1">
      <alignment vertical="center" wrapText="1"/>
    </xf>
    <xf numFmtId="2" fontId="7" fillId="16" borderId="1" xfId="0" applyNumberFormat="1" applyFont="1" applyFill="1" applyBorder="1" applyAlignment="1">
      <alignment horizontal="center" wrapText="1"/>
    </xf>
    <xf numFmtId="2" fontId="0" fillId="16" borderId="1" xfId="0" applyNumberFormat="1" applyFill="1" applyBorder="1" applyAlignment="1">
      <alignment horizontal="center" wrapText="1"/>
    </xf>
    <xf numFmtId="2" fontId="0" fillId="16" borderId="1" xfId="0" applyNumberFormat="1" applyFill="1" applyBorder="1" applyAlignment="1">
      <alignment horizontal="center" vertical="center" wrapText="1"/>
    </xf>
    <xf numFmtId="4" fontId="0" fillId="16" borderId="1" xfId="0" applyNumberFormat="1" applyFill="1" applyBorder="1" applyAlignment="1">
      <alignment horizontal="center" wrapText="1"/>
    </xf>
    <xf numFmtId="0" fontId="6" fillId="16" borderId="12" xfId="0" applyFont="1" applyFill="1" applyBorder="1" applyAlignment="1">
      <alignment vertical="center" wrapText="1"/>
    </xf>
    <xf numFmtId="2" fontId="7" fillId="16" borderId="1" xfId="0" applyNumberFormat="1" applyFont="1" applyFill="1" applyBorder="1" applyAlignment="1">
      <alignment horizontal="center" vertical="center" wrapText="1"/>
    </xf>
    <xf numFmtId="4" fontId="0" fillId="16" borderId="1" xfId="0" applyNumberFormat="1" applyFill="1" applyBorder="1" applyAlignment="1">
      <alignment horizontal="center" vertical="center" wrapText="1"/>
    </xf>
    <xf numFmtId="0" fontId="6" fillId="0" borderId="1" xfId="0" applyFont="1" applyBorder="1" applyAlignment="1">
      <alignment vertical="center" wrapText="1"/>
    </xf>
    <xf numFmtId="2" fontId="7" fillId="6" borderId="1" xfId="0" applyNumberFormat="1" applyFont="1" applyFill="1" applyBorder="1" applyAlignment="1">
      <alignment horizontal="center" wrapText="1"/>
    </xf>
    <xf numFmtId="2" fontId="0" fillId="6" borderId="1" xfId="0" applyNumberFormat="1" applyFill="1" applyBorder="1" applyAlignment="1">
      <alignment horizontal="center" wrapText="1"/>
    </xf>
    <xf numFmtId="2" fontId="0" fillId="0" borderId="1" xfId="0" applyNumberFormat="1" applyBorder="1" applyAlignment="1">
      <alignment horizontal="center" wrapText="1"/>
    </xf>
    <xf numFmtId="4" fontId="0" fillId="6" borderId="1" xfId="0" applyNumberFormat="1" applyFill="1" applyBorder="1" applyAlignment="1">
      <alignment horizontal="center" wrapText="1"/>
    </xf>
    <xf numFmtId="2" fontId="7" fillId="0" borderId="1" xfId="0" applyNumberFormat="1" applyFont="1" applyBorder="1" applyAlignment="1">
      <alignment horizontal="center" wrapText="1"/>
    </xf>
    <xf numFmtId="4" fontId="7" fillId="0" borderId="1" xfId="0" applyNumberFormat="1" applyFont="1" applyBorder="1" applyAlignment="1">
      <alignment horizontal="center" wrapText="1"/>
    </xf>
    <xf numFmtId="2" fontId="7" fillId="0" borderId="12" xfId="0" applyNumberFormat="1" applyFont="1" applyBorder="1" applyAlignment="1">
      <alignment horizontal="center" wrapText="1"/>
    </xf>
    <xf numFmtId="2" fontId="7" fillId="16" borderId="1" xfId="0" applyNumberFormat="1" applyFont="1" applyFill="1" applyBorder="1" applyAlignment="1">
      <alignment wrapText="1"/>
    </xf>
    <xf numFmtId="2" fontId="0" fillId="16" borderId="1" xfId="0" applyNumberFormat="1" applyFill="1" applyBorder="1" applyAlignment="1">
      <alignment vertical="center" wrapText="1"/>
    </xf>
    <xf numFmtId="2" fontId="0" fillId="16" borderId="1" xfId="0" applyNumberFormat="1" applyFill="1" applyBorder="1" applyAlignment="1">
      <alignment wrapText="1"/>
    </xf>
    <xf numFmtId="4" fontId="0" fillId="16" borderId="1" xfId="0" applyNumberFormat="1" applyFill="1" applyBorder="1" applyAlignment="1">
      <alignment wrapText="1"/>
    </xf>
    <xf numFmtId="1" fontId="29" fillId="24" borderId="0" xfId="0" applyNumberFormat="1" applyFont="1" applyFill="1" applyBorder="1" applyAlignment="1">
      <alignment horizontal="center" wrapText="1"/>
    </xf>
    <xf numFmtId="0" fontId="41" fillId="30" borderId="0" xfId="0" applyFont="1" applyFill="1" applyBorder="1" applyAlignment="1">
      <alignment horizontal="center" vertical="center" wrapText="1"/>
    </xf>
    <xf numFmtId="0" fontId="0" fillId="32" borderId="0" xfId="0" applyFill="1" applyBorder="1"/>
    <xf numFmtId="0" fontId="42" fillId="30" borderId="0" xfId="0" applyFont="1" applyFill="1" applyBorder="1" applyAlignment="1">
      <alignment horizontal="center" vertical="center"/>
    </xf>
    <xf numFmtId="0" fontId="0" fillId="30" borderId="0" xfId="0" applyFill="1" applyBorder="1"/>
    <xf numFmtId="0" fontId="50" fillId="36" borderId="0" xfId="0" applyFont="1" applyFill="1" applyBorder="1" applyAlignment="1">
      <alignment vertical="center"/>
    </xf>
    <xf numFmtId="0" fontId="36" fillId="30" borderId="0" xfId="0" applyFont="1" applyFill="1" applyBorder="1" applyAlignment="1">
      <alignment vertical="center"/>
    </xf>
    <xf numFmtId="0" fontId="26" fillId="0" borderId="79" xfId="0" applyFont="1" applyAlignment="1">
      <alignment wrapText="1"/>
    </xf>
    <xf numFmtId="0" fontId="35" fillId="0" borderId="0" xfId="0" applyFont="1" applyBorder="1"/>
    <xf numFmtId="0" fontId="36" fillId="30" borderId="0" xfId="0" applyFont="1" applyFill="1" applyBorder="1" applyAlignment="1">
      <alignment horizontal="center" vertical="center" wrapText="1"/>
    </xf>
    <xf numFmtId="9" fontId="37" fillId="0" borderId="0" xfId="0" applyNumberFormat="1" applyFont="1" applyBorder="1"/>
    <xf numFmtId="0" fontId="38" fillId="0" borderId="0" xfId="0" applyFont="1" applyBorder="1"/>
    <xf numFmtId="0" fontId="39" fillId="31" borderId="0" xfId="0" applyFont="1" applyFill="1" applyBorder="1"/>
    <xf numFmtId="3" fontId="39" fillId="31" borderId="0" xfId="0" applyNumberFormat="1" applyFont="1" applyFill="1" applyBorder="1"/>
    <xf numFmtId="0" fontId="40" fillId="0" borderId="0" xfId="0" applyFont="1" applyBorder="1"/>
    <xf numFmtId="1" fontId="40" fillId="0" borderId="0" xfId="0" applyNumberFormat="1" applyFont="1" applyBorder="1"/>
    <xf numFmtId="165" fontId="0" fillId="0" borderId="0" xfId="0" applyNumberFormat="1" applyBorder="1"/>
    <xf numFmtId="165" fontId="39" fillId="31" borderId="0" xfId="0" applyNumberFormat="1" applyFont="1" applyFill="1" applyBorder="1"/>
    <xf numFmtId="2" fontId="0" fillId="0" borderId="0" xfId="0" applyNumberFormat="1" applyBorder="1"/>
    <xf numFmtId="2" fontId="39" fillId="31" borderId="0" xfId="0" applyNumberFormat="1" applyFont="1" applyFill="1" applyBorder="1"/>
    <xf numFmtId="171" fontId="0" fillId="0" borderId="0" xfId="0" applyNumberFormat="1" applyBorder="1"/>
    <xf numFmtId="9" fontId="0" fillId="0" borderId="0" xfId="0" applyNumberFormat="1" applyBorder="1"/>
    <xf numFmtId="172" fontId="0" fillId="0" borderId="0" xfId="0" applyNumberFormat="1" applyBorder="1"/>
    <xf numFmtId="1" fontId="57" fillId="34" borderId="142" xfId="0" applyNumberFormat="1" applyFont="1" applyFill="1" applyBorder="1" applyAlignment="1">
      <alignment horizontal="center" vertical="center" wrapText="1"/>
    </xf>
    <xf numFmtId="0" fontId="57" fillId="34" borderId="142" xfId="0" applyFont="1" applyFill="1" applyBorder="1" applyAlignment="1">
      <alignment horizontal="center" vertical="center" wrapText="1"/>
    </xf>
    <xf numFmtId="3" fontId="57" fillId="34" borderId="142" xfId="0" applyNumberFormat="1" applyFont="1" applyFill="1" applyBorder="1" applyAlignment="1">
      <alignment horizontal="center" vertical="center" wrapText="1"/>
    </xf>
    <xf numFmtId="2" fontId="57" fillId="34" borderId="142" xfId="0" applyNumberFormat="1" applyFont="1" applyFill="1" applyBorder="1" applyAlignment="1">
      <alignment horizontal="center" vertical="center" wrapText="1"/>
    </xf>
    <xf numFmtId="165" fontId="57" fillId="34" borderId="142" xfId="0" applyNumberFormat="1" applyFont="1" applyFill="1" applyBorder="1" applyAlignment="1">
      <alignment horizontal="center" vertical="center" wrapText="1"/>
    </xf>
    <xf numFmtId="0" fontId="56" fillId="34" borderId="142" xfId="0" applyFont="1" applyFill="1" applyBorder="1" applyAlignment="1">
      <alignment horizontal="center" vertical="center" wrapText="1"/>
    </xf>
    <xf numFmtId="0" fontId="55" fillId="30" borderId="79" xfId="0" applyFont="1" applyFill="1" applyAlignment="1">
      <alignment horizontal="center" vertical="center" wrapText="1"/>
    </xf>
    <xf numFmtId="0" fontId="56" fillId="34" borderId="142" xfId="0" applyFont="1" applyFill="1" applyBorder="1" applyAlignment="1">
      <alignment horizontal="left" vertical="center"/>
    </xf>
    <xf numFmtId="0" fontId="58" fillId="34" borderId="142" xfId="0" applyFont="1" applyFill="1" applyBorder="1" applyAlignment="1">
      <alignment horizontal="left" vertical="center" wrapText="1"/>
    </xf>
    <xf numFmtId="0" fontId="49" fillId="32" borderId="79" xfId="0" applyFont="1" applyFill="1" applyAlignment="1">
      <alignment vertical="top" wrapText="1"/>
    </xf>
    <xf numFmtId="0" fontId="0" fillId="0" borderId="79" xfId="0"/>
    <xf numFmtId="3" fontId="51" fillId="33" borderId="79" xfId="0" applyNumberFormat="1" applyFont="1" applyFill="1" applyAlignment="1">
      <alignment horizontal="center" vertical="center" wrapText="1"/>
    </xf>
    <xf numFmtId="0" fontId="51" fillId="33" borderId="79" xfId="0" applyFont="1" applyFill="1" applyAlignment="1">
      <alignment horizontal="center" vertical="center" wrapText="1"/>
    </xf>
    <xf numFmtId="165" fontId="51" fillId="33" borderId="79" xfId="0" applyNumberFormat="1" applyFont="1" applyFill="1" applyAlignment="1">
      <alignment horizontal="center" vertical="center" wrapText="1"/>
    </xf>
    <xf numFmtId="0" fontId="57" fillId="34" borderId="142" xfId="0" applyFont="1" applyFill="1" applyBorder="1" applyAlignment="1">
      <alignment horizontal="left" vertical="center"/>
    </xf>
    <xf numFmtId="0" fontId="51" fillId="33" borderId="149" xfId="0" applyFont="1" applyFill="1" applyBorder="1" applyAlignment="1">
      <alignment horizontal="left" vertical="center"/>
    </xf>
    <xf numFmtId="0" fontId="51" fillId="33" borderId="79" xfId="0" applyFont="1" applyFill="1" applyAlignment="1">
      <alignment horizontal="left" vertical="center"/>
    </xf>
    <xf numFmtId="0" fontId="48" fillId="34" borderId="79" xfId="0" applyFont="1" applyFill="1" applyAlignment="1">
      <alignment horizontal="left" vertical="center"/>
    </xf>
    <xf numFmtId="1" fontId="39" fillId="34" borderId="142" xfId="0" applyNumberFormat="1" applyFont="1" applyFill="1" applyBorder="1" applyAlignment="1">
      <alignment horizontal="center" vertical="center" wrapText="1"/>
    </xf>
    <xf numFmtId="0" fontId="39" fillId="34" borderId="142" xfId="0" applyFont="1" applyFill="1" applyBorder="1" applyAlignment="1">
      <alignment horizontal="center" vertical="center" wrapText="1"/>
    </xf>
    <xf numFmtId="0" fontId="53" fillId="34" borderId="146" xfId="0" applyFont="1" applyFill="1" applyBorder="1" applyAlignment="1">
      <alignment horizontal="left" vertical="center"/>
    </xf>
    <xf numFmtId="0" fontId="53" fillId="34" borderId="79" xfId="0" applyFont="1" applyFill="1" applyAlignment="1">
      <alignment horizontal="left" vertical="center"/>
    </xf>
    <xf numFmtId="0" fontId="53" fillId="34" borderId="145" xfId="0" applyFont="1" applyFill="1" applyBorder="1" applyAlignment="1">
      <alignment horizontal="left" vertical="center"/>
    </xf>
    <xf numFmtId="3" fontId="52" fillId="34" borderId="148" xfId="0" applyNumberFormat="1" applyFont="1" applyFill="1" applyBorder="1" applyAlignment="1">
      <alignment horizontal="left" vertical="center"/>
    </xf>
    <xf numFmtId="0" fontId="52" fillId="34" borderId="79" xfId="0" applyFont="1" applyFill="1" applyAlignment="1">
      <alignment horizontal="left" vertical="center"/>
    </xf>
    <xf numFmtId="1" fontId="52" fillId="34" borderId="149" xfId="0" applyNumberFormat="1" applyFont="1" applyFill="1" applyBorder="1" applyAlignment="1">
      <alignment horizontal="left" vertical="center"/>
    </xf>
    <xf numFmtId="0" fontId="47" fillId="35" borderId="142" xfId="0" applyFont="1" applyFill="1" applyBorder="1" applyAlignment="1">
      <alignment horizontal="center" vertical="center" wrapText="1"/>
    </xf>
    <xf numFmtId="0" fontId="0" fillId="35" borderId="142" xfId="0" applyFill="1" applyBorder="1"/>
    <xf numFmtId="1" fontId="52" fillId="34" borderId="146" xfId="0" applyNumberFormat="1" applyFont="1" applyFill="1" applyBorder="1" applyAlignment="1">
      <alignment horizontal="left" vertical="center"/>
    </xf>
    <xf numFmtId="0" fontId="53" fillId="34" borderId="148" xfId="0" applyFont="1" applyFill="1" applyBorder="1" applyAlignment="1">
      <alignment horizontal="left" vertical="center"/>
    </xf>
    <xf numFmtId="0" fontId="0" fillId="34" borderId="79" xfId="0" applyFill="1"/>
    <xf numFmtId="0" fontId="53" fillId="34" borderId="144" xfId="0" applyFont="1" applyFill="1" applyBorder="1" applyAlignment="1">
      <alignment horizontal="left" vertical="center"/>
    </xf>
    <xf numFmtId="175" fontId="39" fillId="34" borderId="142" xfId="0" applyNumberFormat="1" applyFont="1" applyFill="1" applyBorder="1" applyAlignment="1">
      <alignment horizontal="center" vertical="center" wrapText="1"/>
    </xf>
    <xf numFmtId="0" fontId="51" fillId="41" borderId="147" xfId="0" applyFont="1" applyFill="1" applyBorder="1" applyAlignment="1">
      <alignment horizontal="left" vertical="center"/>
    </xf>
    <xf numFmtId="0" fontId="51" fillId="41" borderId="79" xfId="0" applyFont="1" applyFill="1" applyAlignment="1">
      <alignment horizontal="left" vertical="center"/>
    </xf>
    <xf numFmtId="0" fontId="43" fillId="33" borderId="79" xfId="0" applyFont="1" applyFill="1" applyAlignment="1">
      <alignment horizontal="left" vertical="center"/>
    </xf>
    <xf numFmtId="165" fontId="52" fillId="34" borderId="143" xfId="0" applyNumberFormat="1" applyFont="1" applyFill="1" applyBorder="1" applyAlignment="1">
      <alignment horizontal="left" vertical="center"/>
    </xf>
    <xf numFmtId="0" fontId="49" fillId="34" borderId="79" xfId="0" applyFont="1" applyFill="1" applyAlignment="1">
      <alignment horizontal="left" vertical="center" wrapText="1"/>
    </xf>
    <xf numFmtId="3" fontId="52" fillId="34" borderId="145" xfId="0" applyNumberFormat="1" applyFont="1" applyFill="1" applyBorder="1" applyAlignment="1">
      <alignment horizontal="left" vertical="center"/>
    </xf>
    <xf numFmtId="0" fontId="51" fillId="30" borderId="148" xfId="0" applyFont="1" applyFill="1" applyBorder="1" applyAlignment="1">
      <alignment horizontal="left" vertical="center"/>
    </xf>
    <xf numFmtId="0" fontId="51" fillId="30" borderId="79" xfId="0" applyFont="1" applyFill="1" applyAlignment="1">
      <alignment horizontal="left" vertical="center"/>
    </xf>
    <xf numFmtId="0" fontId="54" fillId="43" borderId="79" xfId="0" applyFont="1" applyFill="1" applyAlignment="1">
      <alignment horizontal="left" vertical="center"/>
    </xf>
    <xf numFmtId="0" fontId="0" fillId="43" borderId="79" xfId="0" applyFill="1"/>
    <xf numFmtId="0" fontId="53" fillId="34" borderId="147" xfId="0" applyFont="1" applyFill="1" applyBorder="1" applyAlignment="1">
      <alignment horizontal="left" vertical="center"/>
    </xf>
    <xf numFmtId="0" fontId="51" fillId="39" borderId="145" xfId="0" applyFont="1" applyFill="1" applyBorder="1" applyAlignment="1">
      <alignment horizontal="left" vertical="center"/>
    </xf>
    <xf numFmtId="0" fontId="51" fillId="39" borderId="79" xfId="0" applyFont="1" applyFill="1" applyAlignment="1">
      <alignment horizontal="left" vertical="center"/>
    </xf>
    <xf numFmtId="0" fontId="46" fillId="34" borderId="79" xfId="0" applyFont="1" applyFill="1"/>
    <xf numFmtId="0" fontId="53" fillId="34" borderId="149" xfId="0" applyFont="1" applyFill="1" applyBorder="1" applyAlignment="1">
      <alignment horizontal="left" vertical="center"/>
    </xf>
    <xf numFmtId="0" fontId="51" fillId="37" borderId="143" xfId="0" applyFont="1" applyFill="1" applyBorder="1" applyAlignment="1">
      <alignment horizontal="left" vertical="center"/>
    </xf>
    <xf numFmtId="0" fontId="51" fillId="37" borderId="79" xfId="0" applyFont="1" applyFill="1" applyAlignment="1">
      <alignment horizontal="left" vertical="center"/>
    </xf>
    <xf numFmtId="0" fontId="51" fillId="40" borderId="146" xfId="0" applyFont="1" applyFill="1" applyBorder="1" applyAlignment="1">
      <alignment horizontal="left" vertical="center"/>
    </xf>
    <xf numFmtId="0" fontId="51" fillId="40" borderId="79" xfId="0" applyFont="1" applyFill="1" applyAlignment="1">
      <alignment horizontal="left" vertical="center"/>
    </xf>
    <xf numFmtId="165" fontId="52" fillId="34" borderId="147" xfId="0" applyNumberFormat="1" applyFont="1" applyFill="1" applyBorder="1" applyAlignment="1">
      <alignment horizontal="left" vertical="center"/>
    </xf>
    <xf numFmtId="0" fontId="51" fillId="38" borderId="144" xfId="0" applyFont="1" applyFill="1" applyBorder="1" applyAlignment="1">
      <alignment horizontal="left" vertical="center"/>
    </xf>
    <xf numFmtId="0" fontId="51" fillId="38" borderId="79" xfId="0" applyFont="1" applyFill="1" applyAlignment="1">
      <alignment horizontal="left" vertical="center"/>
    </xf>
    <xf numFmtId="1" fontId="51" fillId="33" borderId="79" xfId="0" applyNumberFormat="1" applyFont="1" applyFill="1" applyAlignment="1">
      <alignment horizontal="center" vertical="center" wrapText="1"/>
    </xf>
    <xf numFmtId="3" fontId="52" fillId="34" borderId="146" xfId="0" applyNumberFormat="1" applyFont="1" applyFill="1" applyBorder="1" applyAlignment="1">
      <alignment horizontal="left" vertical="center"/>
    </xf>
    <xf numFmtId="173" fontId="52" fillId="34" borderId="144" xfId="0" applyNumberFormat="1" applyFont="1" applyFill="1" applyBorder="1" applyAlignment="1">
      <alignment horizontal="left" vertical="center"/>
    </xf>
    <xf numFmtId="0" fontId="45" fillId="34" borderId="79" xfId="0" applyFont="1" applyFill="1"/>
    <xf numFmtId="0" fontId="54" fillId="42" borderId="79" xfId="0" applyFont="1" applyFill="1" applyAlignment="1">
      <alignment horizontal="left" vertical="center"/>
    </xf>
    <xf numFmtId="0" fontId="0" fillId="42" borderId="79" xfId="0" applyFill="1"/>
    <xf numFmtId="0" fontId="53" fillId="34" borderId="143" xfId="0" applyFont="1" applyFill="1" applyBorder="1" applyAlignment="1">
      <alignment horizontal="left" vertical="center"/>
    </xf>
    <xf numFmtId="0" fontId="44" fillId="33" borderId="79" xfId="0" applyFont="1" applyFill="1" applyAlignment="1">
      <alignment horizontal="left" vertical="center"/>
    </xf>
    <xf numFmtId="2" fontId="51" fillId="33" borderId="79" xfId="0" applyNumberFormat="1" applyFont="1" applyFill="1" applyAlignment="1">
      <alignment horizontal="center" vertical="center" wrapText="1"/>
    </xf>
    <xf numFmtId="9" fontId="52" fillId="34" borderId="147" xfId="0" applyNumberFormat="1" applyFont="1" applyFill="1" applyBorder="1" applyAlignment="1">
      <alignment horizontal="left" vertical="center"/>
    </xf>
    <xf numFmtId="174" fontId="52" fillId="34" borderId="144" xfId="0" applyNumberFormat="1" applyFont="1" applyFill="1" applyBorder="1" applyAlignment="1">
      <alignment horizontal="left" vertical="center"/>
    </xf>
    <xf numFmtId="3" fontId="52" fillId="34" borderId="143" xfId="0" applyNumberFormat="1" applyFont="1" applyFill="1" applyBorder="1" applyAlignment="1">
      <alignment horizontal="left" vertical="center"/>
    </xf>
    <xf numFmtId="0" fontId="54" fillId="33" borderId="79" xfId="0" applyFont="1" applyFill="1" applyAlignment="1">
      <alignment horizontal="left" vertical="center"/>
    </xf>
    <xf numFmtId="0" fontId="0" fillId="33" borderId="79" xfId="0" applyFill="1"/>
    <xf numFmtId="1" fontId="3" fillId="8" borderId="99" xfId="0" applyNumberFormat="1" applyFont="1" applyFill="1" applyBorder="1" applyAlignment="1">
      <alignment horizontal="center" vertical="center" wrapText="1"/>
    </xf>
    <xf numFmtId="0" fontId="0" fillId="0" borderId="112" xfId="0" applyBorder="1"/>
    <xf numFmtId="1" fontId="3" fillId="8" borderId="131" xfId="0" applyNumberFormat="1" applyFont="1" applyFill="1" applyBorder="1" applyAlignment="1">
      <alignment horizontal="center" vertical="center" wrapText="1"/>
    </xf>
    <xf numFmtId="0" fontId="0" fillId="0" borderId="113" xfId="0" applyBorder="1"/>
    <xf numFmtId="0" fontId="3" fillId="16" borderId="131" xfId="0" applyFont="1" applyFill="1" applyBorder="1" applyAlignment="1">
      <alignment horizontal="center" vertical="center" wrapText="1"/>
    </xf>
    <xf numFmtId="0" fontId="2" fillId="8" borderId="105" xfId="0" applyFont="1" applyFill="1" applyBorder="1" applyAlignment="1">
      <alignment horizontal="center" vertical="center" wrapText="1"/>
    </xf>
    <xf numFmtId="0" fontId="0" fillId="0" borderId="98" xfId="0" applyBorder="1"/>
    <xf numFmtId="0" fontId="0" fillId="0" borderId="92" xfId="0" applyBorder="1"/>
    <xf numFmtId="0" fontId="3" fillId="0" borderId="106" xfId="0" applyFont="1" applyBorder="1" applyAlignment="1">
      <alignment horizontal="center" vertical="center" wrapText="1"/>
    </xf>
    <xf numFmtId="0" fontId="0" fillId="0" borderId="106" xfId="0" applyBorder="1"/>
    <xf numFmtId="0" fontId="2" fillId="16" borderId="105" xfId="0" applyFont="1" applyFill="1" applyBorder="1" applyAlignment="1">
      <alignment horizontal="center" vertical="center" wrapText="1"/>
    </xf>
    <xf numFmtId="1" fontId="3" fillId="8" borderId="129" xfId="0" applyNumberFormat="1" applyFont="1" applyFill="1" applyBorder="1" applyAlignment="1">
      <alignment horizontal="center" vertical="center" wrapText="1"/>
    </xf>
    <xf numFmtId="0" fontId="0" fillId="0" borderId="84" xfId="0" applyBorder="1"/>
    <xf numFmtId="0" fontId="0" fillId="0" borderId="90" xfId="0" applyBorder="1"/>
    <xf numFmtId="1" fontId="3" fillId="16" borderId="132" xfId="0" applyNumberFormat="1" applyFont="1" applyFill="1" applyBorder="1" applyAlignment="1">
      <alignment horizontal="center" vertical="center" wrapText="1"/>
    </xf>
    <xf numFmtId="0" fontId="0" fillId="0" borderId="107" xfId="0" applyBorder="1"/>
    <xf numFmtId="0" fontId="23" fillId="4" borderId="95" xfId="0" applyFont="1" applyFill="1" applyBorder="1" applyAlignment="1">
      <alignment horizontal="center" vertical="center" wrapText="1"/>
    </xf>
    <xf numFmtId="0" fontId="0" fillId="0" borderId="108" xfId="0" applyBorder="1"/>
    <xf numFmtId="0" fontId="0" fillId="20" borderId="115" xfId="0" applyFill="1" applyBorder="1" applyAlignment="1">
      <alignment horizontal="center" wrapText="1"/>
    </xf>
    <xf numFmtId="0" fontId="0" fillId="0" borderId="134" xfId="0" applyBorder="1"/>
    <xf numFmtId="1" fontId="3" fillId="8" borderId="112" xfId="0" applyNumberFormat="1" applyFont="1" applyFill="1" applyBorder="1" applyAlignment="1">
      <alignment horizontal="center" vertical="center" wrapText="1"/>
    </xf>
    <xf numFmtId="1" fontId="3" fillId="8" borderId="113" xfId="0" applyNumberFormat="1" applyFont="1" applyFill="1" applyBorder="1" applyAlignment="1">
      <alignment horizontal="center" vertical="center" wrapText="1"/>
    </xf>
    <xf numFmtId="0" fontId="2" fillId="8" borderId="111" xfId="0" applyFont="1" applyFill="1" applyBorder="1" applyAlignment="1">
      <alignment horizontal="center" vertical="center" wrapText="1"/>
    </xf>
    <xf numFmtId="0" fontId="0" fillId="0" borderId="133" xfId="0" applyBorder="1"/>
    <xf numFmtId="0" fontId="3" fillId="0" borderId="132" xfId="0" applyFont="1" applyBorder="1" applyAlignment="1">
      <alignment horizontal="center" vertical="center" wrapText="1"/>
    </xf>
    <xf numFmtId="0" fontId="2" fillId="16" borderId="111" xfId="0" applyFont="1" applyFill="1" applyBorder="1" applyAlignment="1">
      <alignment horizontal="center" vertical="center" wrapText="1"/>
    </xf>
    <xf numFmtId="0" fontId="20" fillId="0" borderId="87" xfId="0" applyFont="1" applyBorder="1" applyAlignment="1">
      <alignment horizontal="center" vertical="center" wrapText="1"/>
    </xf>
    <xf numFmtId="0" fontId="0" fillId="0" borderId="85" xfId="0" applyBorder="1"/>
    <xf numFmtId="0" fontId="2" fillId="0" borderId="103" xfId="0" applyFont="1" applyBorder="1" applyAlignment="1">
      <alignment horizontal="center" vertical="center" wrapText="1"/>
    </xf>
    <xf numFmtId="0" fontId="1" fillId="3" borderId="80" xfId="0" applyFont="1" applyFill="1" applyBorder="1" applyAlignment="1">
      <alignment horizontal="center" vertical="center" wrapText="1"/>
    </xf>
    <xf numFmtId="0" fontId="0" fillId="0" borderId="93" xfId="0" applyBorder="1"/>
    <xf numFmtId="1" fontId="0" fillId="20" borderId="114" xfId="0" applyNumberFormat="1" applyFill="1" applyBorder="1" applyAlignment="1">
      <alignment horizontal="center" wrapText="1"/>
    </xf>
    <xf numFmtId="0" fontId="0" fillId="0" borderId="130" xfId="0" applyBorder="1"/>
    <xf numFmtId="1" fontId="3" fillId="8" borderId="100" xfId="0" applyNumberFormat="1" applyFont="1" applyFill="1" applyBorder="1" applyAlignment="1">
      <alignment horizontal="center" vertical="center" wrapText="1"/>
    </xf>
    <xf numFmtId="0" fontId="3" fillId="16" borderId="99" xfId="0" applyFont="1" applyFill="1" applyBorder="1" applyAlignment="1">
      <alignment horizontal="center" vertical="center" wrapText="1"/>
    </xf>
    <xf numFmtId="0" fontId="2" fillId="0" borderId="105" xfId="0" applyFont="1" applyBorder="1" applyAlignment="1">
      <alignment horizontal="center" vertical="center" wrapText="1"/>
    </xf>
    <xf numFmtId="1" fontId="3" fillId="16" borderId="105" xfId="0" applyNumberFormat="1" applyFont="1" applyFill="1" applyBorder="1" applyAlignment="1">
      <alignment horizontal="center" vertical="center" wrapText="1"/>
    </xf>
    <xf numFmtId="4" fontId="7" fillId="16" borderId="80" xfId="0" applyNumberFormat="1" applyFont="1" applyFill="1" applyBorder="1" applyAlignment="1">
      <alignment horizontal="center" wrapText="1"/>
    </xf>
    <xf numFmtId="2" fontId="6" fillId="6" borderId="132" xfId="0" applyNumberFormat="1" applyFont="1" applyFill="1" applyBorder="1" applyAlignment="1">
      <alignment horizontal="center" wrapText="1"/>
    </xf>
    <xf numFmtId="2" fontId="7" fillId="0" borderId="135" xfId="0" applyNumberFormat="1" applyFont="1" applyBorder="1" applyAlignment="1">
      <alignment horizontal="center" wrapText="1"/>
    </xf>
    <xf numFmtId="0" fontId="0" fillId="0" borderId="109" xfId="0" applyBorder="1"/>
    <xf numFmtId="0" fontId="0" fillId="0" borderId="110" xfId="0" applyBorder="1"/>
    <xf numFmtId="2" fontId="7" fillId="16" borderId="80" xfId="0" applyNumberFormat="1" applyFont="1" applyFill="1" applyBorder="1" applyAlignment="1">
      <alignment horizontal="center" wrapText="1"/>
    </xf>
    <xf numFmtId="2" fontId="0" fillId="16" borderId="80" xfId="0" applyNumberFormat="1" applyFill="1" applyBorder="1" applyAlignment="1">
      <alignment horizontal="center" wrapText="1"/>
    </xf>
    <xf numFmtId="0" fontId="7" fillId="16" borderId="80" xfId="0" applyFont="1" applyFill="1" applyBorder="1" applyAlignment="1">
      <alignment horizontal="center" vertical="center" wrapText="1"/>
    </xf>
    <xf numFmtId="0" fontId="0" fillId="0" borderId="94" xfId="0" applyBorder="1"/>
    <xf numFmtId="0" fontId="0" fillId="0" borderId="86" xfId="0" applyBorder="1"/>
    <xf numFmtId="0" fontId="7" fillId="16" borderId="86" xfId="0" applyFont="1" applyFill="1" applyBorder="1" applyAlignment="1">
      <alignment horizontal="center" vertical="center" wrapText="1"/>
    </xf>
    <xf numFmtId="0" fontId="7" fillId="0" borderId="81" xfId="0" applyFont="1" applyBorder="1" applyAlignment="1">
      <alignment horizontal="center" vertical="center" wrapText="1"/>
    </xf>
    <xf numFmtId="0" fontId="0" fillId="0" borderId="88" xfId="0" applyBorder="1"/>
    <xf numFmtId="0" fontId="0" fillId="0" borderId="83" xfId="0" applyBorder="1"/>
    <xf numFmtId="0" fontId="7" fillId="0" borderId="80" xfId="0" applyFont="1" applyBorder="1" applyAlignment="1">
      <alignment horizontal="center" vertical="center" wrapText="1"/>
    </xf>
    <xf numFmtId="0" fontId="5" fillId="4" borderId="118" xfId="0" applyFont="1" applyFill="1" applyBorder="1" applyAlignment="1">
      <alignment horizontal="left" vertical="center" wrapText="1"/>
    </xf>
    <xf numFmtId="0" fontId="0" fillId="0" borderId="91" xfId="0" applyBorder="1"/>
    <xf numFmtId="0" fontId="0" fillId="0" borderId="104" xfId="0" applyBorder="1"/>
    <xf numFmtId="0" fontId="15" fillId="2" borderId="81" xfId="0" applyFont="1" applyFill="1" applyBorder="1" applyAlignment="1">
      <alignment horizontal="center" vertical="center" wrapText="1"/>
    </xf>
    <xf numFmtId="0" fontId="0" fillId="0" borderId="82" xfId="0" applyBorder="1"/>
    <xf numFmtId="0" fontId="15" fillId="16" borderId="118" xfId="0" applyFont="1" applyFill="1" applyBorder="1" applyAlignment="1">
      <alignment horizontal="center" vertical="center" wrapText="1"/>
    </xf>
    <xf numFmtId="0" fontId="0" fillId="0" borderId="119" xfId="0" applyBorder="1"/>
    <xf numFmtId="0" fontId="15" fillId="11" borderId="136" xfId="0" applyFont="1" applyFill="1" applyBorder="1" applyAlignment="1">
      <alignment horizontal="center" vertical="center" wrapText="1"/>
    </xf>
    <xf numFmtId="0" fontId="0" fillId="0" borderId="116" xfId="0" applyBorder="1"/>
    <xf numFmtId="0" fontId="0" fillId="0" borderId="117" xfId="0" applyBorder="1"/>
    <xf numFmtId="0" fontId="15" fillId="16" borderId="119" xfId="0" applyFont="1" applyFill="1" applyBorder="1" applyAlignment="1">
      <alignment horizontal="center" vertical="center" wrapText="1"/>
    </xf>
    <xf numFmtId="0" fontId="15" fillId="10" borderId="81" xfId="0" applyFont="1" applyFill="1" applyBorder="1" applyAlignment="1">
      <alignment horizontal="center" vertical="center" wrapText="1"/>
    </xf>
    <xf numFmtId="0" fontId="15" fillId="16" borderId="136" xfId="0" applyFont="1" applyFill="1" applyBorder="1" applyAlignment="1">
      <alignment horizontal="center" vertical="center" wrapText="1"/>
    </xf>
    <xf numFmtId="0" fontId="15" fillId="11" borderId="122" xfId="0" applyFont="1" applyFill="1" applyBorder="1" applyAlignment="1">
      <alignment horizontal="center" vertical="center" wrapText="1"/>
    </xf>
    <xf numFmtId="0" fontId="0" fillId="0" borderId="137" xfId="0" applyBorder="1"/>
    <xf numFmtId="0" fontId="22" fillId="10" borderId="121" xfId="0" applyFont="1" applyFill="1" applyBorder="1" applyAlignment="1">
      <alignment horizontal="center" vertical="center" wrapText="1"/>
    </xf>
    <xf numFmtId="0" fontId="0" fillId="0" borderId="121" xfId="0" applyBorder="1"/>
    <xf numFmtId="0" fontId="15" fillId="11" borderId="132" xfId="0" applyFont="1" applyFill="1" applyBorder="1" applyAlignment="1">
      <alignment horizontal="center" vertical="center" wrapText="1"/>
    </xf>
    <xf numFmtId="0" fontId="0" fillId="0" borderId="120" xfId="0" applyBorder="1"/>
    <xf numFmtId="0" fontId="15" fillId="16" borderId="132" xfId="0" applyFont="1" applyFill="1" applyBorder="1" applyAlignment="1">
      <alignment horizontal="center" vertical="center" wrapText="1"/>
    </xf>
    <xf numFmtId="0" fontId="15" fillId="2" borderId="82" xfId="0" applyFont="1" applyFill="1" applyBorder="1" applyAlignment="1">
      <alignment horizontal="center" vertical="center" wrapText="1"/>
    </xf>
    <xf numFmtId="0" fontId="15" fillId="16" borderId="122" xfId="0" applyFont="1" applyFill="1" applyBorder="1" applyAlignment="1">
      <alignment horizontal="center" vertical="center" wrapText="1"/>
    </xf>
    <xf numFmtId="0" fontId="15" fillId="16" borderId="120" xfId="0" applyFont="1" applyFill="1" applyBorder="1" applyAlignment="1">
      <alignment horizontal="center" vertical="center" wrapText="1"/>
    </xf>
    <xf numFmtId="0" fontId="15" fillId="11" borderId="117" xfId="0" applyFont="1" applyFill="1" applyBorder="1" applyAlignment="1">
      <alignment horizontal="center" vertical="center" wrapText="1"/>
    </xf>
    <xf numFmtId="0" fontId="0" fillId="4" borderId="89" xfId="0" applyFill="1" applyBorder="1" applyAlignment="1">
      <alignment horizontal="center"/>
    </xf>
    <xf numFmtId="0" fontId="0" fillId="0" borderId="123" xfId="0" applyBorder="1"/>
    <xf numFmtId="0" fontId="16" fillId="0" borderId="79" xfId="0" applyFont="1" applyAlignment="1">
      <alignment horizontal="center"/>
    </xf>
    <xf numFmtId="2" fontId="0" fillId="4" borderId="89" xfId="0" applyNumberFormat="1" applyFill="1" applyBorder="1" applyAlignment="1">
      <alignment horizontal="center"/>
    </xf>
    <xf numFmtId="1" fontId="0" fillId="4" borderId="89" xfId="0" applyNumberFormat="1" applyFill="1" applyBorder="1" applyAlignment="1">
      <alignment horizontal="center"/>
    </xf>
    <xf numFmtId="0" fontId="0" fillId="0" borderId="80" xfId="0" applyBorder="1" applyAlignment="1">
      <alignment horizontal="center" vertical="center"/>
    </xf>
    <xf numFmtId="0" fontId="0" fillId="16" borderId="80" xfId="0" applyFill="1" applyBorder="1" applyAlignment="1">
      <alignment horizontal="center" vertical="center"/>
    </xf>
    <xf numFmtId="0" fontId="4" fillId="4" borderId="97" xfId="0" applyFont="1" applyFill="1" applyBorder="1" applyAlignment="1">
      <alignment horizontal="center" vertical="center"/>
    </xf>
    <xf numFmtId="0" fontId="0" fillId="0" borderId="97" xfId="0" applyBorder="1"/>
    <xf numFmtId="0" fontId="5" fillId="8" borderId="80" xfId="0" applyFont="1" applyFill="1" applyBorder="1" applyAlignment="1">
      <alignment horizontal="center" vertical="center"/>
    </xf>
    <xf numFmtId="0" fontId="4" fillId="0" borderId="80" xfId="0" applyFont="1" applyBorder="1" applyAlignment="1">
      <alignment horizontal="center" vertical="center"/>
    </xf>
    <xf numFmtId="0" fontId="4" fillId="16" borderId="80" xfId="0" applyFont="1" applyFill="1" applyBorder="1" applyAlignment="1">
      <alignment horizontal="center" vertical="center" wrapText="1"/>
    </xf>
    <xf numFmtId="0" fontId="4" fillId="4" borderId="97" xfId="0" applyFont="1" applyFill="1" applyBorder="1" applyAlignment="1">
      <alignment horizontal="center" vertical="center" wrapText="1"/>
    </xf>
    <xf numFmtId="0" fontId="0" fillId="16" borderId="86" xfId="0" applyFill="1" applyBorder="1" applyAlignment="1">
      <alignment horizontal="center" vertical="center"/>
    </xf>
    <xf numFmtId="0" fontId="24" fillId="8" borderId="80" xfId="0" applyFont="1" applyFill="1" applyBorder="1" applyAlignment="1">
      <alignment horizontal="center" vertical="center" wrapText="1"/>
    </xf>
    <xf numFmtId="0" fontId="4" fillId="4" borderId="125" xfId="0" applyFont="1" applyFill="1" applyBorder="1" applyAlignment="1">
      <alignment horizontal="center" vertical="center"/>
    </xf>
    <xf numFmtId="0" fontId="0" fillId="0" borderId="96" xfId="0" applyBorder="1"/>
    <xf numFmtId="0" fontId="0" fillId="0" borderId="81" xfId="0" applyBorder="1" applyAlignment="1">
      <alignment horizontal="center" vertical="center"/>
    </xf>
    <xf numFmtId="0" fontId="4" fillId="0" borderId="125" xfId="0" applyFont="1" applyBorder="1" applyAlignment="1">
      <alignment horizontal="center" vertical="center"/>
    </xf>
    <xf numFmtId="0" fontId="0" fillId="0" borderId="140" xfId="0" applyBorder="1"/>
    <xf numFmtId="0" fontId="0" fillId="0" borderId="141" xfId="0" applyBorder="1"/>
    <xf numFmtId="0" fontId="5" fillId="9" borderId="97" xfId="0" applyFont="1" applyFill="1" applyBorder="1" applyAlignment="1">
      <alignment horizontal="center" vertical="center"/>
    </xf>
    <xf numFmtId="0" fontId="4" fillId="4" borderId="124" xfId="0" applyFont="1" applyFill="1" applyBorder="1" applyAlignment="1">
      <alignment horizontal="center" vertical="center"/>
    </xf>
    <xf numFmtId="0" fontId="0" fillId="0" borderId="138" xfId="0" applyBorder="1"/>
    <xf numFmtId="0" fontId="0" fillId="0" borderId="139" xfId="0" applyBorder="1"/>
    <xf numFmtId="0" fontId="0" fillId="16" borderId="81" xfId="0" applyFill="1" applyBorder="1" applyAlignment="1">
      <alignment horizontal="center" vertical="center"/>
    </xf>
    <xf numFmtId="0" fontId="4" fillId="8" borderId="80" xfId="0" applyFont="1" applyFill="1" applyBorder="1" applyAlignment="1">
      <alignment horizontal="center" vertical="center"/>
    </xf>
    <xf numFmtId="3" fontId="0" fillId="0" borderId="93" xfId="0" applyNumberFormat="1" applyBorder="1" applyAlignment="1">
      <alignment horizontal="center" wrapText="1"/>
    </xf>
    <xf numFmtId="166" fontId="7" fillId="16" borderId="102" xfId="0" applyNumberFormat="1" applyFont="1" applyFill="1" applyBorder="1" applyAlignment="1">
      <alignment horizontal="center" wrapText="1"/>
    </xf>
    <xf numFmtId="0" fontId="0" fillId="0" borderId="126" xfId="0" applyBorder="1"/>
    <xf numFmtId="0" fontId="0" fillId="0" borderId="127" xfId="0" applyBorder="1"/>
    <xf numFmtId="166" fontId="7" fillId="0" borderId="95" xfId="0" applyNumberFormat="1" applyFont="1" applyBorder="1" applyAlignment="1">
      <alignment horizontal="center" wrapText="1"/>
    </xf>
    <xf numFmtId="166" fontId="0" fillId="16" borderId="80" xfId="0" applyNumberFormat="1" applyFill="1" applyBorder="1" applyAlignment="1">
      <alignment horizontal="center" wrapText="1"/>
    </xf>
    <xf numFmtId="166" fontId="7" fillId="16" borderId="80" xfId="0" applyNumberFormat="1" applyFont="1" applyFill="1" applyBorder="1" applyAlignment="1">
      <alignment horizontal="center" wrapText="1"/>
    </xf>
    <xf numFmtId="166" fontId="0" fillId="0" borderId="80" xfId="0" applyNumberFormat="1" applyBorder="1" applyAlignment="1">
      <alignment horizontal="center" wrapText="1"/>
    </xf>
    <xf numFmtId="0" fontId="19" fillId="4" borderId="101" xfId="0" applyFont="1" applyFill="1" applyBorder="1" applyAlignment="1">
      <alignment horizontal="center" vertical="center" wrapText="1"/>
    </xf>
    <xf numFmtId="0" fontId="0" fillId="0" borderId="128" xfId="0" applyBorder="1"/>
    <xf numFmtId="3" fontId="0" fillId="0" borderId="80" xfId="0" applyNumberFormat="1" applyBorder="1" applyAlignment="1">
      <alignment horizontal="center" wrapText="1"/>
    </xf>
    <xf numFmtId="166" fontId="0" fillId="16" borderId="87" xfId="0" applyNumberFormat="1" applyFill="1" applyBorder="1" applyAlignment="1">
      <alignment horizontal="center" wrapText="1"/>
    </xf>
    <xf numFmtId="166" fontId="7" fillId="0" borderId="80" xfId="0" applyNumberFormat="1" applyFont="1" applyBorder="1" applyAlignment="1">
      <alignment horizontal="center" wrapText="1"/>
    </xf>
    <xf numFmtId="3" fontId="7" fillId="0" borderId="80" xfId="0" applyNumberFormat="1" applyFont="1" applyBorder="1" applyAlignment="1">
      <alignment horizontal="center" wrapText="1"/>
    </xf>
    <xf numFmtId="0" fontId="28" fillId="21" borderId="79" xfId="0" applyFont="1" applyFill="1" applyAlignment="1">
      <alignment horizontal="center" wrapText="1"/>
    </xf>
    <xf numFmtId="0" fontId="28" fillId="21" borderId="79" xfId="0" applyFont="1" applyFill="1" applyAlignment="1">
      <alignment horizontal="center" vertical="center" wrapText="1"/>
    </xf>
    <xf numFmtId="0" fontId="30" fillId="28" borderId="79" xfId="0" applyFont="1" applyFill="1" applyAlignment="1">
      <alignment horizontal="center" wrapText="1"/>
    </xf>
    <xf numFmtId="1" fontId="34" fillId="27" borderId="79" xfId="0" applyNumberFormat="1" applyFont="1" applyFill="1" applyAlignment="1">
      <alignment horizontal="center" vertical="center" wrapText="1"/>
    </xf>
    <xf numFmtId="0" fontId="33" fillId="25" borderId="79" xfId="0" applyFont="1" applyFill="1" applyAlignment="1">
      <alignment horizontal="center" vertical="center" wrapText="1"/>
    </xf>
    <xf numFmtId="3" fontId="34" fillId="27" borderId="79" xfId="0" applyNumberFormat="1" applyFont="1" applyFill="1" applyAlignment="1">
      <alignment horizontal="center" vertical="center" wrapText="1"/>
    </xf>
    <xf numFmtId="49" fontId="34" fillId="27" borderId="79" xfId="0" applyNumberFormat="1" applyFont="1" applyFill="1" applyAlignment="1">
      <alignment horizontal="center" vertical="center" wrapText="1"/>
    </xf>
    <xf numFmtId="0" fontId="32" fillId="26" borderId="79" xfId="0" applyFont="1" applyFill="1" applyAlignment="1">
      <alignment horizontal="center" wrapText="1"/>
    </xf>
    <xf numFmtId="0" fontId="31" fillId="21" borderId="79" xfId="0" applyFont="1" applyFill="1" applyAlignment="1">
      <alignment horizontal="center" vertical="center" wrapText="1"/>
    </xf>
  </cellXfs>
  <cellStyles count="4">
    <cellStyle name="Comma" xfId="1" xr:uid="{00000000-0005-0000-0000-000001000000}"/>
    <cellStyle name="Normal" xfId="0" builtinId="0"/>
    <cellStyle name="Normal 2" xfId="2" xr:uid="{00000000-0005-0000-0000-000002000000}"/>
    <cellStyle name="Style 1" xfId="3" xr:uid="{00000000-0005-0000-0000-000003000000}"/>
  </cellStyles>
  <dxfs count="43">
    <dxf>
      <font>
        <b/>
        <color rgb="FF9C6500"/>
      </font>
      <fill>
        <patternFill patternType="solid">
          <bgColor rgb="FFFFF2CC"/>
        </patternFill>
      </fill>
    </dxf>
    <dxf>
      <font>
        <b/>
        <color rgb="FF006100"/>
      </font>
      <fill>
        <patternFill patternType="solid">
          <bgColor rgb="FFE2F0D9"/>
        </patternFill>
      </fill>
    </dxf>
    <dxf>
      <font>
        <b/>
        <color rgb="FF9C6500"/>
      </font>
      <fill>
        <patternFill patternType="solid">
          <bgColor rgb="FFFCE4D6"/>
        </patternFill>
      </fill>
    </dxf>
    <dxf>
      <font>
        <b/>
        <color rgb="FF9C0006"/>
      </font>
      <fill>
        <patternFill patternType="solid">
          <bgColor rgb="FFFFC7CE"/>
        </patternFill>
      </fill>
    </dxf>
    <dxf>
      <font>
        <b/>
        <color rgb="FFC00000"/>
      </font>
      <fill>
        <patternFill patternType="solid">
          <bgColor rgb="FFFCE4D6"/>
        </patternFill>
      </fill>
    </dxf>
    <dxf>
      <font>
        <b/>
        <color rgb="FF9C6500"/>
      </font>
      <fill>
        <patternFill patternType="solid">
          <bgColor rgb="FFFFF2CC"/>
        </patternFill>
      </fill>
    </dxf>
    <dxf>
      <font>
        <color rgb="FF006100"/>
      </font>
      <fill>
        <patternFill patternType="solid">
          <bgColor rgb="FFE2F0D9"/>
        </patternFill>
      </fill>
    </dxf>
    <dxf>
      <font>
        <b/>
        <color rgb="FF9C6500"/>
      </font>
      <fill>
        <patternFill patternType="solid">
          <bgColor rgb="FFFFF2CC"/>
        </patternFill>
      </fill>
    </dxf>
    <dxf>
      <font>
        <b/>
        <color rgb="FF9C0006"/>
      </font>
      <fill>
        <patternFill patternType="solid">
          <bgColor rgb="FFFFC7CE"/>
        </patternFill>
      </fill>
    </dxf>
    <dxf>
      <font>
        <b/>
        <color rgb="FFC00000"/>
      </font>
      <fill>
        <patternFill patternType="solid">
          <bgColor rgb="FFFCE4D6"/>
        </patternFill>
      </fill>
    </dxf>
    <dxf>
      <font>
        <b/>
        <color rgb="FF9C0006"/>
      </font>
      <fill>
        <patternFill patternType="solid">
          <bgColor rgb="FFFFC7CE"/>
        </patternFill>
      </fill>
    </dxf>
    <dxf>
      <font>
        <b/>
        <color rgb="FF9C0006"/>
      </font>
      <fill>
        <patternFill patternType="solid">
          <bgColor rgb="FFFFC7CE"/>
        </patternFill>
      </fill>
    </dxf>
    <dxf>
      <font>
        <b/>
        <color rgb="FF9C0006"/>
      </font>
      <fill>
        <patternFill patternType="solid">
          <bgColor rgb="FFFFC7CE"/>
        </patternFill>
      </fill>
    </dxf>
    <dxf>
      <font>
        <b/>
        <color rgb="FF9C0006"/>
      </font>
      <fill>
        <patternFill patternType="solid">
          <bgColor rgb="FFFFC7CE"/>
        </patternFill>
      </fill>
    </dxf>
    <dxf>
      <font>
        <b/>
        <color rgb="FF9C0006"/>
      </font>
      <fill>
        <patternFill patternType="solid">
          <bgColor rgb="FFFFC7CE"/>
        </patternFill>
      </fill>
    </dxf>
    <dxf>
      <font>
        <b/>
        <color rgb="FF9C0006"/>
      </font>
      <fill>
        <patternFill patternType="solid">
          <bgColor rgb="FFFFC7CE"/>
        </patternFill>
      </fill>
    </dxf>
    <dxf>
      <font>
        <b/>
        <color rgb="FF9C0006"/>
      </font>
      <fill>
        <patternFill patternType="solid">
          <bgColor rgb="FFFFC7CE"/>
        </patternFill>
      </fill>
    </dxf>
    <dxf>
      <font>
        <b/>
        <color rgb="FF9C0006"/>
      </font>
      <fill>
        <patternFill patternType="solid">
          <bgColor rgb="FFFFC7CE"/>
        </patternFill>
      </fill>
    </dxf>
    <dxf>
      <font>
        <b/>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color rgb="FF145A32"/>
      </font>
      <fill>
        <patternFill patternType="solid">
          <fgColor rgb="FFD5F5E3"/>
          <bgColor rgb="FFD5F5E3"/>
        </patternFill>
      </fill>
    </dxf>
    <dxf>
      <font>
        <b/>
        <color rgb="FF922B21"/>
      </font>
      <fill>
        <patternFill patternType="solid">
          <fgColor rgb="FFF5B7B1"/>
          <bgColor rgb="FFF5B7B1"/>
        </patternFill>
      </fill>
    </dxf>
    <dxf>
      <font>
        <b/>
        <color rgb="FF145A32"/>
      </font>
      <fill>
        <patternFill patternType="solid">
          <fgColor rgb="FFFCF3CF"/>
          <bgColor rgb="FFFCF3C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50" b="1">
                <a:solidFill>
                  <a:srgbClr val="0B3D3A"/>
                </a:solidFill>
                <a:latin typeface="Calibri"/>
              </a:defRPr>
            </a:pPr>
            <a:r>
              <a:rPr lang="en-IN" sz="1050" b="1">
                <a:solidFill>
                  <a:srgbClr val="0B3D3A"/>
                </a:solidFill>
                <a:latin typeface="Calibri"/>
              </a:rPr>
              <a:t>Monthly Grid Energy (kWh)</a:t>
            </a:r>
          </a:p>
        </c:rich>
      </c:tx>
      <c:overlay val="0"/>
    </c:title>
    <c:autoTitleDeleted val="0"/>
    <c:plotArea>
      <c:layout/>
      <c:barChart>
        <c:barDir val="col"/>
        <c:grouping val="clustered"/>
        <c:varyColors val="1"/>
        <c:ser>
          <c:idx val="0"/>
          <c:order val="0"/>
          <c:tx>
            <c:v>Grid energy</c:v>
          </c:tx>
          <c:spPr>
            <a:solidFill>
              <a:srgbClr val="2874A6"/>
            </a:solidFill>
            <a:ln>
              <a:solidFill>
                <a:srgbClr val="FFFFFF"/>
              </a:solidFill>
              <a:prstDash val="solid"/>
            </a:ln>
          </c:spPr>
          <c:invertIfNegative val="0"/>
          <c:dLbls>
            <c:spPr>
              <a:noFill/>
              <a:ln>
                <a:noFill/>
              </a:ln>
              <a:effectLst/>
            </c:spPr>
            <c:txPr>
              <a:bodyPr/>
              <a:lstStyle/>
              <a:p>
                <a:pPr>
                  <a:defRPr sz="700" b="0">
                    <a:solidFill>
                      <a:srgbClr val="1B2631"/>
                    </a:solidFill>
                    <a:latin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MIS_Calc!$B$316:$M$316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MIS_Calc!$B$317:$M$317</c:f>
              <c:numCache>
                <c:formatCode>#,##0</c:formatCode>
                <c:ptCount val="12"/>
                <c:pt idx="0">
                  <c:v>38530</c:v>
                </c:pt>
                <c:pt idx="1">
                  <c:v>42367</c:v>
                </c:pt>
                <c:pt idx="2">
                  <c:v>40774</c:v>
                </c:pt>
                <c:pt idx="3">
                  <c:v>47475</c:v>
                </c:pt>
                <c:pt idx="4">
                  <c:v>33039</c:v>
                </c:pt>
                <c:pt idx="5">
                  <c:v>58080</c:v>
                </c:pt>
                <c:pt idx="6">
                  <c:v>61338</c:v>
                </c:pt>
                <c:pt idx="7">
                  <c:v>58854</c:v>
                </c:pt>
                <c:pt idx="8">
                  <c:v>20775</c:v>
                </c:pt>
                <c:pt idx="9">
                  <c:v>0</c:v>
                </c:pt>
                <c:pt idx="10">
                  <c:v>0</c:v>
                </c:pt>
                <c:pt idx="11">
                  <c:v>0</c:v>
                </c:pt>
              </c:numCache>
            </c:numRef>
          </c:val>
          <c:extLst>
            <c:ext xmlns:c16="http://schemas.microsoft.com/office/drawing/2014/chart" uri="{C3380CC4-5D6E-409C-BE32-E72D297353CC}">
              <c16:uniqueId val="{00000000-020E-46F4-9001-9C51DCE336D5}"/>
            </c:ext>
          </c:extLst>
        </c:ser>
        <c:dLbls>
          <c:dLblPos val="outEnd"/>
          <c:showLegendKey val="0"/>
          <c:showVal val="1"/>
          <c:showCatName val="0"/>
          <c:showSerName val="0"/>
          <c:showPercent val="0"/>
          <c:showBubbleSize val="1"/>
        </c:dLbls>
        <c:gapWidth val="50"/>
        <c:axId val="10"/>
        <c:axId val="100"/>
      </c:barChart>
      <c:catAx>
        <c:axId val="10"/>
        <c:scaling>
          <c:orientation val="minMax"/>
        </c:scaling>
        <c:delete val="0"/>
        <c:axPos val="b"/>
        <c:numFmt formatCode="General" sourceLinked="0"/>
        <c:majorTickMark val="none"/>
        <c:minorTickMark val="none"/>
        <c:tickLblPos val="nextTo"/>
        <c:spPr>
          <a:ln>
            <a:solidFill>
              <a:srgbClr val="BFC9CA"/>
            </a:solidFill>
            <a:prstDash val="solid"/>
          </a:ln>
        </c:spPr>
        <c:txPr>
          <a:bodyPr/>
          <a:lstStyle/>
          <a:p>
            <a:pPr>
              <a:defRPr sz="800" b="0">
                <a:solidFill>
                  <a:srgbClr val="5D6D7E"/>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a:solidFill>
                <a:srgbClr val="E5E8E8"/>
              </a:solidFill>
              <a:prstDash val="solid"/>
            </a:ln>
          </c:spPr>
        </c:majorGridlines>
        <c:numFmt formatCode="#,##0" sourceLinked="0"/>
        <c:majorTickMark val="none"/>
        <c:minorTickMark val="none"/>
        <c:tickLblPos val="nextTo"/>
        <c:spPr>
          <a:ln>
            <a:noFill/>
            <a:prstDash val="solid"/>
          </a:ln>
        </c:spPr>
        <c:txPr>
          <a:bodyPr/>
          <a:lstStyle/>
          <a:p>
            <a:pPr>
              <a:defRPr sz="800" b="0">
                <a:solidFill>
                  <a:srgbClr val="5D6D7E"/>
                </a:solidFill>
                <a:latin typeface="Calibri"/>
              </a:defRPr>
            </a:pPr>
            <a:endParaRPr lang="en-US"/>
          </a:p>
        </c:txPr>
        <c:crossAx val="10"/>
        <c:crosses val="autoZero"/>
        <c:crossBetween val="between"/>
      </c:valAx>
    </c:plotArea>
    <c:plotVisOnly val="1"/>
    <c:dispBlanksAs val="gap"/>
    <c:showDLblsOverMax val="1"/>
  </c:chart>
  <c:spPr>
    <a:solidFill>
      <a:srgbClr val="FFFFFF"/>
    </a:solidFill>
    <a:ln>
      <a:solidFill>
        <a:srgbClr val="D5DBDB"/>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50" b="1">
                <a:solidFill>
                  <a:srgbClr val="0B3D3A"/>
                </a:solidFill>
                <a:latin typeface="Calibri"/>
              </a:defRPr>
            </a:pPr>
            <a:r>
              <a:rPr lang="en-IN" sz="1050" b="1">
                <a:solidFill>
                  <a:srgbClr val="0B3D3A"/>
                </a:solidFill>
                <a:latin typeface="Calibri"/>
              </a:rPr>
              <a:t>Monthly Energy Bill (₹)</a:t>
            </a:r>
          </a:p>
        </c:rich>
      </c:tx>
      <c:overlay val="0"/>
    </c:title>
    <c:autoTitleDeleted val="0"/>
    <c:plotArea>
      <c:layout/>
      <c:barChart>
        <c:barDir val="col"/>
        <c:grouping val="clustered"/>
        <c:varyColors val="1"/>
        <c:ser>
          <c:idx val="0"/>
          <c:order val="0"/>
          <c:tx>
            <c:v>Energy bill</c:v>
          </c:tx>
          <c:spPr>
            <a:solidFill>
              <a:srgbClr val="C0562F"/>
            </a:solidFill>
            <a:ln>
              <a:solidFill>
                <a:srgbClr val="FFFFFF"/>
              </a:solidFill>
              <a:prstDash val="solid"/>
            </a:ln>
          </c:spPr>
          <c:invertIfNegative val="0"/>
          <c:dLbls>
            <c:spPr>
              <a:noFill/>
              <a:ln>
                <a:noFill/>
              </a:ln>
              <a:effectLst/>
            </c:spPr>
            <c:txPr>
              <a:bodyPr/>
              <a:lstStyle/>
              <a:p>
                <a:pPr>
                  <a:defRPr sz="700" b="0">
                    <a:solidFill>
                      <a:srgbClr val="1B2631"/>
                    </a:solidFill>
                    <a:latin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MIS_Calc!$B$316:$M$316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MIS_Calc!$B$318:$M$318</c:f>
              <c:numCache>
                <c:formatCode>#,##0</c:formatCode>
                <c:ptCount val="12"/>
                <c:pt idx="0">
                  <c:v>477223</c:v>
                </c:pt>
                <c:pt idx="1">
                  <c:v>535258</c:v>
                </c:pt>
                <c:pt idx="2">
                  <c:v>442144</c:v>
                </c:pt>
                <c:pt idx="3">
                  <c:v>548050</c:v>
                </c:pt>
                <c:pt idx="4">
                  <c:v>482582</c:v>
                </c:pt>
                <c:pt idx="5">
                  <c:v>684747</c:v>
                </c:pt>
                <c:pt idx="6">
                  <c:v>708158</c:v>
                </c:pt>
                <c:pt idx="7">
                  <c:v>683473</c:v>
                </c:pt>
                <c:pt idx="8">
                  <c:v>256238</c:v>
                </c:pt>
                <c:pt idx="9">
                  <c:v>0</c:v>
                </c:pt>
                <c:pt idx="10">
                  <c:v>0</c:v>
                </c:pt>
                <c:pt idx="11">
                  <c:v>0</c:v>
                </c:pt>
              </c:numCache>
            </c:numRef>
          </c:val>
          <c:extLst>
            <c:ext xmlns:c16="http://schemas.microsoft.com/office/drawing/2014/chart" uri="{C3380CC4-5D6E-409C-BE32-E72D297353CC}">
              <c16:uniqueId val="{00000000-A598-4A4A-B8AC-7CC71E89FF06}"/>
            </c:ext>
          </c:extLst>
        </c:ser>
        <c:dLbls>
          <c:dLblPos val="outEnd"/>
          <c:showLegendKey val="0"/>
          <c:showVal val="1"/>
          <c:showCatName val="0"/>
          <c:showSerName val="0"/>
          <c:showPercent val="0"/>
          <c:showBubbleSize val="1"/>
        </c:dLbls>
        <c:gapWidth val="50"/>
        <c:axId val="10"/>
        <c:axId val="100"/>
      </c:barChart>
      <c:catAx>
        <c:axId val="10"/>
        <c:scaling>
          <c:orientation val="minMax"/>
        </c:scaling>
        <c:delete val="0"/>
        <c:axPos val="b"/>
        <c:numFmt formatCode="General" sourceLinked="0"/>
        <c:majorTickMark val="none"/>
        <c:minorTickMark val="none"/>
        <c:tickLblPos val="nextTo"/>
        <c:spPr>
          <a:ln>
            <a:solidFill>
              <a:srgbClr val="BFC9CA"/>
            </a:solidFill>
            <a:prstDash val="solid"/>
          </a:ln>
        </c:spPr>
        <c:txPr>
          <a:bodyPr/>
          <a:lstStyle/>
          <a:p>
            <a:pPr>
              <a:defRPr sz="800" b="0">
                <a:solidFill>
                  <a:srgbClr val="5D6D7E"/>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a:solidFill>
                <a:srgbClr val="E5E8E8"/>
              </a:solidFill>
              <a:prstDash val="solid"/>
            </a:ln>
          </c:spPr>
        </c:majorGridlines>
        <c:numFmt formatCode="#,##0" sourceLinked="0"/>
        <c:majorTickMark val="none"/>
        <c:minorTickMark val="none"/>
        <c:tickLblPos val="nextTo"/>
        <c:spPr>
          <a:ln>
            <a:noFill/>
            <a:prstDash val="solid"/>
          </a:ln>
        </c:spPr>
        <c:txPr>
          <a:bodyPr/>
          <a:lstStyle/>
          <a:p>
            <a:pPr>
              <a:defRPr sz="800" b="0">
                <a:solidFill>
                  <a:srgbClr val="5D6D7E"/>
                </a:solidFill>
                <a:latin typeface="Calibri"/>
              </a:defRPr>
            </a:pPr>
            <a:endParaRPr lang="en-US"/>
          </a:p>
        </c:txPr>
        <c:crossAx val="10"/>
        <c:crosses val="autoZero"/>
        <c:crossBetween val="between"/>
      </c:valAx>
    </c:plotArea>
    <c:plotVisOnly val="1"/>
    <c:dispBlanksAs val="gap"/>
    <c:showDLblsOverMax val="1"/>
  </c:chart>
  <c:spPr>
    <a:solidFill>
      <a:srgbClr val="FFFFFF"/>
    </a:solidFill>
    <a:ln>
      <a:solidFill>
        <a:srgbClr val="D5DBDB"/>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50" b="1">
                <a:solidFill>
                  <a:srgbClr val="0B3D3A"/>
                </a:solidFill>
                <a:latin typeface="Calibri"/>
              </a:defRPr>
            </a:pPr>
            <a:r>
              <a:rPr lang="en-IN" sz="1050" b="1">
                <a:solidFill>
                  <a:srgbClr val="0B3D3A"/>
                </a:solidFill>
                <a:latin typeface="Calibri"/>
              </a:rPr>
              <a:t>Grid Energy by School (kWh) — selected period</a:t>
            </a:r>
          </a:p>
        </c:rich>
      </c:tx>
      <c:overlay val="0"/>
    </c:title>
    <c:autoTitleDeleted val="0"/>
    <c:plotArea>
      <c:layout/>
      <c:barChart>
        <c:barDir val="bar"/>
        <c:grouping val="clustered"/>
        <c:varyColors val="1"/>
        <c:ser>
          <c:idx val="0"/>
          <c:order val="0"/>
          <c:tx>
            <c:v>Grid energy</c:v>
          </c:tx>
          <c:spPr>
            <a:solidFill>
              <a:srgbClr val="2874A6"/>
            </a:solidFill>
            <a:ln>
              <a:solidFill>
                <a:srgbClr val="FFFFFF"/>
              </a:solidFill>
              <a:prstDash val="solid"/>
            </a:ln>
          </c:spPr>
          <c:invertIfNegative val="0"/>
          <c:dLbls>
            <c:spPr>
              <a:noFill/>
              <a:ln>
                <a:noFill/>
              </a:ln>
              <a:effectLst/>
            </c:spPr>
            <c:txPr>
              <a:bodyPr/>
              <a:lstStyle/>
              <a:p>
                <a:pPr>
                  <a:defRPr sz="700" b="0">
                    <a:solidFill>
                      <a:srgbClr val="1B2631"/>
                    </a:solidFill>
                    <a:latin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MIS_Calc!$D$337:$D$346</c:f>
              <c:strCache>
                <c:ptCount val="10"/>
                <c:pt idx="0">
                  <c:v>DJHSM</c:v>
                </c:pt>
                <c:pt idx="1">
                  <c:v>AKSM</c:v>
                </c:pt>
                <c:pt idx="2">
                  <c:v>AKSS</c:v>
                </c:pt>
                <c:pt idx="3">
                  <c:v>AKSC</c:v>
                </c:pt>
                <c:pt idx="4">
                  <c:v>PJHSW</c:v>
                </c:pt>
                <c:pt idx="5">
                  <c:v>DJHSH (PRI)</c:v>
                </c:pt>
                <c:pt idx="6">
                  <c:v>LSHSA</c:v>
                </c:pt>
                <c:pt idx="7">
                  <c:v>DJHSH (HS)</c:v>
                </c:pt>
                <c:pt idx="8">
                  <c:v>DJG</c:v>
                </c:pt>
                <c:pt idx="9">
                  <c:v>AKHH</c:v>
                </c:pt>
              </c:strCache>
            </c:strRef>
          </c:cat>
          <c:val>
            <c:numRef>
              <c:f>MIS_Calc!$E$337:$E$346</c:f>
              <c:numCache>
                <c:formatCode>#,##0</c:formatCode>
                <c:ptCount val="10"/>
                <c:pt idx="0">
                  <c:v>0</c:v>
                </c:pt>
                <c:pt idx="1">
                  <c:v>0</c:v>
                </c:pt>
                <c:pt idx="2">
                  <c:v>0</c:v>
                </c:pt>
                <c:pt idx="3">
                  <c:v>0</c:v>
                </c:pt>
                <c:pt idx="4">
                  <c:v>0</c:v>
                </c:pt>
                <c:pt idx="5">
                  <c:v>1187</c:v>
                </c:pt>
                <c:pt idx="6">
                  <c:v>3089</c:v>
                </c:pt>
                <c:pt idx="7">
                  <c:v>3427</c:v>
                </c:pt>
                <c:pt idx="8">
                  <c:v>3820</c:v>
                </c:pt>
                <c:pt idx="9">
                  <c:v>9252</c:v>
                </c:pt>
              </c:numCache>
            </c:numRef>
          </c:val>
          <c:extLst>
            <c:ext xmlns:c16="http://schemas.microsoft.com/office/drawing/2014/chart" uri="{C3380CC4-5D6E-409C-BE32-E72D297353CC}">
              <c16:uniqueId val="{00000000-9603-42B3-AF02-9111519C6D49}"/>
            </c:ext>
          </c:extLst>
        </c:ser>
        <c:dLbls>
          <c:dLblPos val="outEnd"/>
          <c:showLegendKey val="0"/>
          <c:showVal val="1"/>
          <c:showCatName val="0"/>
          <c:showSerName val="0"/>
          <c:showPercent val="0"/>
          <c:showBubbleSize val="1"/>
        </c:dLbls>
        <c:gapWidth val="50"/>
        <c:axId val="10"/>
        <c:axId val="100"/>
      </c:barChart>
      <c:catAx>
        <c:axId val="10"/>
        <c:scaling>
          <c:orientation val="minMax"/>
        </c:scaling>
        <c:delete val="0"/>
        <c:axPos val="l"/>
        <c:numFmt formatCode="General" sourceLinked="0"/>
        <c:majorTickMark val="none"/>
        <c:minorTickMark val="none"/>
        <c:tickLblPos val="nextTo"/>
        <c:spPr>
          <a:ln>
            <a:solidFill>
              <a:srgbClr val="BFC9CA"/>
            </a:solidFill>
            <a:prstDash val="solid"/>
          </a:ln>
        </c:spPr>
        <c:txPr>
          <a:bodyPr/>
          <a:lstStyle/>
          <a:p>
            <a:pPr>
              <a:defRPr sz="800" b="0">
                <a:solidFill>
                  <a:srgbClr val="5D6D7E"/>
                </a:solidFill>
                <a:latin typeface="Calibri"/>
              </a:defRPr>
            </a:pPr>
            <a:endParaRPr lang="en-US"/>
          </a:p>
        </c:txPr>
        <c:crossAx val="100"/>
        <c:crosses val="autoZero"/>
        <c:auto val="1"/>
        <c:lblAlgn val="ctr"/>
        <c:lblOffset val="100"/>
        <c:noMultiLvlLbl val="1"/>
      </c:catAx>
      <c:valAx>
        <c:axId val="100"/>
        <c:scaling>
          <c:orientation val="minMax"/>
        </c:scaling>
        <c:delete val="0"/>
        <c:axPos val="b"/>
        <c:majorGridlines>
          <c:spPr>
            <a:ln>
              <a:solidFill>
                <a:srgbClr val="E5E8E8"/>
              </a:solidFill>
              <a:prstDash val="solid"/>
            </a:ln>
          </c:spPr>
        </c:majorGridlines>
        <c:numFmt formatCode="#,##0" sourceLinked="0"/>
        <c:majorTickMark val="none"/>
        <c:minorTickMark val="none"/>
        <c:tickLblPos val="nextTo"/>
        <c:spPr>
          <a:ln>
            <a:noFill/>
            <a:prstDash val="solid"/>
          </a:ln>
        </c:spPr>
        <c:txPr>
          <a:bodyPr/>
          <a:lstStyle/>
          <a:p>
            <a:pPr>
              <a:defRPr sz="800" b="0">
                <a:solidFill>
                  <a:srgbClr val="5D6D7E"/>
                </a:solidFill>
                <a:latin typeface="Calibri"/>
              </a:defRPr>
            </a:pPr>
            <a:endParaRPr lang="en-US"/>
          </a:p>
        </c:txPr>
        <c:crossAx val="10"/>
        <c:crosses val="autoZero"/>
        <c:crossBetween val="between"/>
      </c:valAx>
    </c:plotArea>
    <c:plotVisOnly val="1"/>
    <c:dispBlanksAs val="gap"/>
    <c:showDLblsOverMax val="1"/>
  </c:chart>
  <c:spPr>
    <a:solidFill>
      <a:srgbClr val="FFFFFF"/>
    </a:solidFill>
    <a:ln>
      <a:solidFill>
        <a:srgbClr val="D5DBDB"/>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50" b="1">
                <a:solidFill>
                  <a:srgbClr val="0B3D3A"/>
                </a:solidFill>
                <a:latin typeface="Calibri"/>
              </a:defRPr>
            </a:pPr>
            <a:r>
              <a:rPr lang="en-IN" sz="1050" b="1">
                <a:solidFill>
                  <a:srgbClr val="0B3D3A"/>
                </a:solidFill>
                <a:latin typeface="Calibri"/>
              </a:rPr>
              <a:t>Monthly Water Consumption (kL)</a:t>
            </a:r>
          </a:p>
        </c:rich>
      </c:tx>
      <c:overlay val="0"/>
    </c:title>
    <c:autoTitleDeleted val="0"/>
    <c:plotArea>
      <c:layout/>
      <c:barChart>
        <c:barDir val="col"/>
        <c:grouping val="clustered"/>
        <c:varyColors val="1"/>
        <c:ser>
          <c:idx val="0"/>
          <c:order val="0"/>
          <c:tx>
            <c:v>Water</c:v>
          </c:tx>
          <c:spPr>
            <a:solidFill>
              <a:srgbClr val="13A89E"/>
            </a:solidFill>
            <a:ln>
              <a:solidFill>
                <a:srgbClr val="FFFFFF"/>
              </a:solidFill>
              <a:prstDash val="solid"/>
            </a:ln>
          </c:spPr>
          <c:invertIfNegative val="0"/>
          <c:dLbls>
            <c:spPr>
              <a:noFill/>
              <a:ln>
                <a:noFill/>
              </a:ln>
              <a:effectLst/>
            </c:spPr>
            <c:txPr>
              <a:bodyPr/>
              <a:lstStyle/>
              <a:p>
                <a:pPr>
                  <a:defRPr sz="700" b="0">
                    <a:solidFill>
                      <a:srgbClr val="1B2631"/>
                    </a:solidFill>
                    <a:latin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MIS_Calc!$B$316:$M$316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MIS_Calc!$B$319:$M$319</c:f>
              <c:numCache>
                <c:formatCode>#,##0</c:formatCode>
                <c:ptCount val="12"/>
                <c:pt idx="0">
                  <c:v>3344.4439999999995</c:v>
                </c:pt>
                <c:pt idx="1">
                  <c:v>3095.1570000000006</c:v>
                </c:pt>
                <c:pt idx="2">
                  <c:v>2667.7969999999996</c:v>
                </c:pt>
                <c:pt idx="3">
                  <c:v>2136.7669999999998</c:v>
                </c:pt>
                <c:pt idx="4">
                  <c:v>2081.9639999999999</c:v>
                </c:pt>
                <c:pt idx="5">
                  <c:v>3192.9580000000001</c:v>
                </c:pt>
                <c:pt idx="6">
                  <c:v>3834.9319999999998</c:v>
                </c:pt>
                <c:pt idx="7">
                  <c:v>3336.373</c:v>
                </c:pt>
                <c:pt idx="8">
                  <c:v>3046.3760000000002</c:v>
                </c:pt>
                <c:pt idx="9">
                  <c:v>0</c:v>
                </c:pt>
                <c:pt idx="10">
                  <c:v>0</c:v>
                </c:pt>
                <c:pt idx="11">
                  <c:v>0</c:v>
                </c:pt>
              </c:numCache>
            </c:numRef>
          </c:val>
          <c:extLst>
            <c:ext xmlns:c16="http://schemas.microsoft.com/office/drawing/2014/chart" uri="{C3380CC4-5D6E-409C-BE32-E72D297353CC}">
              <c16:uniqueId val="{00000000-90CB-4EF6-8402-BD333ADA497C}"/>
            </c:ext>
          </c:extLst>
        </c:ser>
        <c:dLbls>
          <c:dLblPos val="outEnd"/>
          <c:showLegendKey val="0"/>
          <c:showVal val="1"/>
          <c:showCatName val="0"/>
          <c:showSerName val="0"/>
          <c:showPercent val="0"/>
          <c:showBubbleSize val="1"/>
        </c:dLbls>
        <c:gapWidth val="50"/>
        <c:axId val="10"/>
        <c:axId val="100"/>
      </c:barChart>
      <c:catAx>
        <c:axId val="10"/>
        <c:scaling>
          <c:orientation val="minMax"/>
        </c:scaling>
        <c:delete val="0"/>
        <c:axPos val="b"/>
        <c:numFmt formatCode="General" sourceLinked="0"/>
        <c:majorTickMark val="none"/>
        <c:minorTickMark val="none"/>
        <c:tickLblPos val="nextTo"/>
        <c:spPr>
          <a:ln>
            <a:solidFill>
              <a:srgbClr val="BFC9CA"/>
            </a:solidFill>
            <a:prstDash val="solid"/>
          </a:ln>
        </c:spPr>
        <c:txPr>
          <a:bodyPr/>
          <a:lstStyle/>
          <a:p>
            <a:pPr>
              <a:defRPr sz="800" b="0">
                <a:solidFill>
                  <a:srgbClr val="5D6D7E"/>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a:solidFill>
                <a:srgbClr val="E5E8E8"/>
              </a:solidFill>
              <a:prstDash val="solid"/>
            </a:ln>
          </c:spPr>
        </c:majorGridlines>
        <c:numFmt formatCode="#,##0" sourceLinked="0"/>
        <c:majorTickMark val="none"/>
        <c:minorTickMark val="none"/>
        <c:tickLblPos val="nextTo"/>
        <c:spPr>
          <a:ln>
            <a:noFill/>
            <a:prstDash val="solid"/>
          </a:ln>
        </c:spPr>
        <c:txPr>
          <a:bodyPr/>
          <a:lstStyle/>
          <a:p>
            <a:pPr>
              <a:defRPr sz="800" b="0">
                <a:solidFill>
                  <a:srgbClr val="5D6D7E"/>
                </a:solidFill>
                <a:latin typeface="Calibri"/>
              </a:defRPr>
            </a:pPr>
            <a:endParaRPr lang="en-US"/>
          </a:p>
        </c:txPr>
        <c:crossAx val="10"/>
        <c:crosses val="autoZero"/>
        <c:crossBetween val="between"/>
      </c:valAx>
    </c:plotArea>
    <c:plotVisOnly val="1"/>
    <c:dispBlanksAs val="gap"/>
    <c:showDLblsOverMax val="1"/>
  </c:chart>
  <c:spPr>
    <a:solidFill>
      <a:srgbClr val="FFFFFF"/>
    </a:solidFill>
    <a:ln>
      <a:solidFill>
        <a:srgbClr val="D5DBDB"/>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50" b="1">
                <a:solidFill>
                  <a:srgbClr val="0B3D3A"/>
                </a:solidFill>
                <a:latin typeface="Calibri"/>
              </a:defRPr>
            </a:pPr>
            <a:r>
              <a:rPr lang="en-IN" sz="1050" b="1">
                <a:solidFill>
                  <a:srgbClr val="0B3D3A"/>
                </a:solidFill>
                <a:latin typeface="Calibri"/>
              </a:rPr>
              <a:t>Water per Pupil per Day (L)</a:t>
            </a:r>
          </a:p>
        </c:rich>
      </c:tx>
      <c:overlay val="0"/>
    </c:title>
    <c:autoTitleDeleted val="0"/>
    <c:plotArea>
      <c:layout/>
      <c:barChart>
        <c:barDir val="col"/>
        <c:grouping val="clustered"/>
        <c:varyColors val="1"/>
        <c:ser>
          <c:idx val="0"/>
          <c:order val="0"/>
          <c:tx>
            <c:v>L per pupil per day</c:v>
          </c:tx>
          <c:spPr>
            <a:solidFill>
              <a:srgbClr val="1A5276"/>
            </a:solidFill>
            <a:ln>
              <a:solidFill>
                <a:srgbClr val="FFFFFF"/>
              </a:solidFill>
              <a:prstDash val="solid"/>
            </a:ln>
          </c:spPr>
          <c:invertIfNegative val="0"/>
          <c:dLbls>
            <c:spPr>
              <a:noFill/>
              <a:ln>
                <a:noFill/>
              </a:ln>
              <a:effectLst/>
            </c:spPr>
            <c:txPr>
              <a:bodyPr/>
              <a:lstStyle/>
              <a:p>
                <a:pPr>
                  <a:defRPr sz="700" b="0">
                    <a:solidFill>
                      <a:srgbClr val="1B2631"/>
                    </a:solidFill>
                    <a:latin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MIS_Calc!$B$316:$M$316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MIS_Calc!$B$320:$M$320</c:f>
              <c:numCache>
                <c:formatCode>0.0</c:formatCode>
                <c:ptCount val="12"/>
                <c:pt idx="0">
                  <c:v>14.161891614935762</c:v>
                </c:pt>
                <c:pt idx="1">
                  <c:v>14.571753417950362</c:v>
                </c:pt>
                <c:pt idx="2">
                  <c:v>11.42868097502463</c:v>
                </c:pt>
                <c:pt idx="3">
                  <c:v>9.4614195890896209</c:v>
                </c:pt>
                <c:pt idx="4">
                  <c:v>24.210572830662603</c:v>
                </c:pt>
                <c:pt idx="5">
                  <c:v>14.332336834545291</c:v>
                </c:pt>
                <c:pt idx="6">
                  <c:v>16.413358613635101</c:v>
                </c:pt>
                <c:pt idx="7">
                  <c:v>16.020383370626817</c:v>
                </c:pt>
                <c:pt idx="8">
                  <c:v>15.931262420248927</c:v>
                </c:pt>
                <c:pt idx="9">
                  <c:v>0</c:v>
                </c:pt>
                <c:pt idx="10">
                  <c:v>0</c:v>
                </c:pt>
                <c:pt idx="11">
                  <c:v>0</c:v>
                </c:pt>
              </c:numCache>
            </c:numRef>
          </c:val>
          <c:extLst>
            <c:ext xmlns:c16="http://schemas.microsoft.com/office/drawing/2014/chart" uri="{C3380CC4-5D6E-409C-BE32-E72D297353CC}">
              <c16:uniqueId val="{00000000-75A1-4EB6-86EA-76EA20026F42}"/>
            </c:ext>
          </c:extLst>
        </c:ser>
        <c:dLbls>
          <c:dLblPos val="outEnd"/>
          <c:showLegendKey val="0"/>
          <c:showVal val="1"/>
          <c:showCatName val="0"/>
          <c:showSerName val="0"/>
          <c:showPercent val="0"/>
          <c:showBubbleSize val="1"/>
        </c:dLbls>
        <c:gapWidth val="50"/>
        <c:axId val="10"/>
        <c:axId val="100"/>
      </c:barChart>
      <c:catAx>
        <c:axId val="10"/>
        <c:scaling>
          <c:orientation val="minMax"/>
        </c:scaling>
        <c:delete val="0"/>
        <c:axPos val="b"/>
        <c:numFmt formatCode="General" sourceLinked="0"/>
        <c:majorTickMark val="none"/>
        <c:minorTickMark val="none"/>
        <c:tickLblPos val="nextTo"/>
        <c:spPr>
          <a:ln>
            <a:solidFill>
              <a:srgbClr val="BFC9CA"/>
            </a:solidFill>
            <a:prstDash val="solid"/>
          </a:ln>
        </c:spPr>
        <c:txPr>
          <a:bodyPr/>
          <a:lstStyle/>
          <a:p>
            <a:pPr>
              <a:defRPr sz="800" b="0">
                <a:solidFill>
                  <a:srgbClr val="5D6D7E"/>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a:solidFill>
                <a:srgbClr val="E5E8E8"/>
              </a:solidFill>
              <a:prstDash val="solid"/>
            </a:ln>
          </c:spPr>
        </c:majorGridlines>
        <c:numFmt formatCode="0.0" sourceLinked="0"/>
        <c:majorTickMark val="none"/>
        <c:minorTickMark val="none"/>
        <c:tickLblPos val="nextTo"/>
        <c:spPr>
          <a:ln>
            <a:noFill/>
            <a:prstDash val="solid"/>
          </a:ln>
        </c:spPr>
        <c:txPr>
          <a:bodyPr/>
          <a:lstStyle/>
          <a:p>
            <a:pPr>
              <a:defRPr sz="800" b="0">
                <a:solidFill>
                  <a:srgbClr val="5D6D7E"/>
                </a:solidFill>
                <a:latin typeface="Calibri"/>
              </a:defRPr>
            </a:pPr>
            <a:endParaRPr lang="en-US"/>
          </a:p>
        </c:txPr>
        <c:crossAx val="10"/>
        <c:crosses val="autoZero"/>
        <c:crossBetween val="between"/>
      </c:valAx>
    </c:plotArea>
    <c:plotVisOnly val="1"/>
    <c:dispBlanksAs val="gap"/>
    <c:showDLblsOverMax val="1"/>
  </c:chart>
  <c:spPr>
    <a:solidFill>
      <a:srgbClr val="FFFFFF"/>
    </a:solidFill>
    <a:ln>
      <a:solidFill>
        <a:srgbClr val="D5DBDB"/>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50" b="1">
                <a:solidFill>
                  <a:srgbClr val="0B3D3A"/>
                </a:solidFill>
                <a:latin typeface="Calibri"/>
              </a:defRPr>
            </a:pPr>
            <a:r>
              <a:rPr lang="en-IN" sz="1050" b="1">
                <a:solidFill>
                  <a:srgbClr val="0B3D3A"/>
                </a:solidFill>
                <a:latin typeface="Calibri"/>
              </a:rPr>
              <a:t>Water by School (kL) — selected period</a:t>
            </a:r>
          </a:p>
        </c:rich>
      </c:tx>
      <c:overlay val="0"/>
    </c:title>
    <c:autoTitleDeleted val="0"/>
    <c:plotArea>
      <c:layout/>
      <c:barChart>
        <c:barDir val="bar"/>
        <c:grouping val="clustered"/>
        <c:varyColors val="1"/>
        <c:ser>
          <c:idx val="0"/>
          <c:order val="0"/>
          <c:tx>
            <c:v>Water</c:v>
          </c:tx>
          <c:spPr>
            <a:solidFill>
              <a:srgbClr val="13A89E"/>
            </a:solidFill>
            <a:ln>
              <a:solidFill>
                <a:srgbClr val="FFFFFF"/>
              </a:solidFill>
              <a:prstDash val="solid"/>
            </a:ln>
          </c:spPr>
          <c:invertIfNegative val="0"/>
          <c:dLbls>
            <c:spPr>
              <a:noFill/>
              <a:ln>
                <a:noFill/>
              </a:ln>
              <a:effectLst/>
            </c:spPr>
            <c:txPr>
              <a:bodyPr/>
              <a:lstStyle/>
              <a:p>
                <a:pPr>
                  <a:defRPr sz="700" b="0">
                    <a:solidFill>
                      <a:srgbClr val="1B2631"/>
                    </a:solidFill>
                    <a:latin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MIS_Calc!$J$337:$J$346</c:f>
              <c:strCache>
                <c:ptCount val="10"/>
                <c:pt idx="0">
                  <c:v>AKSM</c:v>
                </c:pt>
                <c:pt idx="1">
                  <c:v>AKSC</c:v>
                </c:pt>
                <c:pt idx="2">
                  <c:v>DJG</c:v>
                </c:pt>
                <c:pt idx="3">
                  <c:v>AKSS</c:v>
                </c:pt>
                <c:pt idx="4">
                  <c:v>DJHSM</c:v>
                </c:pt>
                <c:pt idx="5">
                  <c:v>DJHSH (PRI)</c:v>
                </c:pt>
                <c:pt idx="6">
                  <c:v>DJHSH (HS)</c:v>
                </c:pt>
                <c:pt idx="7">
                  <c:v>LSHSA</c:v>
                </c:pt>
                <c:pt idx="8">
                  <c:v>PJHSW</c:v>
                </c:pt>
                <c:pt idx="9">
                  <c:v>AKHH</c:v>
                </c:pt>
              </c:strCache>
            </c:strRef>
          </c:cat>
          <c:val>
            <c:numRef>
              <c:f>MIS_Calc!$K$337:$K$346</c:f>
              <c:numCache>
                <c:formatCode>#,##0</c:formatCode>
                <c:ptCount val="10"/>
                <c:pt idx="0">
                  <c:v>0</c:v>
                </c:pt>
                <c:pt idx="1">
                  <c:v>0</c:v>
                </c:pt>
                <c:pt idx="2">
                  <c:v>13.436</c:v>
                </c:pt>
                <c:pt idx="3">
                  <c:v>27.9</c:v>
                </c:pt>
                <c:pt idx="4">
                  <c:v>42.29999999999972</c:v>
                </c:pt>
                <c:pt idx="5">
                  <c:v>78.11</c:v>
                </c:pt>
                <c:pt idx="6">
                  <c:v>141.30000000000001</c:v>
                </c:pt>
                <c:pt idx="7">
                  <c:v>456.33</c:v>
                </c:pt>
                <c:pt idx="8">
                  <c:v>699</c:v>
                </c:pt>
                <c:pt idx="9">
                  <c:v>1588</c:v>
                </c:pt>
              </c:numCache>
            </c:numRef>
          </c:val>
          <c:extLst>
            <c:ext xmlns:c16="http://schemas.microsoft.com/office/drawing/2014/chart" uri="{C3380CC4-5D6E-409C-BE32-E72D297353CC}">
              <c16:uniqueId val="{00000000-FE7F-4839-B132-194F3DAC913E}"/>
            </c:ext>
          </c:extLst>
        </c:ser>
        <c:dLbls>
          <c:dLblPos val="outEnd"/>
          <c:showLegendKey val="0"/>
          <c:showVal val="1"/>
          <c:showCatName val="0"/>
          <c:showSerName val="0"/>
          <c:showPercent val="0"/>
          <c:showBubbleSize val="1"/>
        </c:dLbls>
        <c:gapWidth val="50"/>
        <c:axId val="10"/>
        <c:axId val="100"/>
      </c:barChart>
      <c:catAx>
        <c:axId val="10"/>
        <c:scaling>
          <c:orientation val="minMax"/>
        </c:scaling>
        <c:delete val="0"/>
        <c:axPos val="l"/>
        <c:numFmt formatCode="General" sourceLinked="0"/>
        <c:majorTickMark val="none"/>
        <c:minorTickMark val="none"/>
        <c:tickLblPos val="nextTo"/>
        <c:spPr>
          <a:ln>
            <a:solidFill>
              <a:srgbClr val="BFC9CA"/>
            </a:solidFill>
            <a:prstDash val="solid"/>
          </a:ln>
        </c:spPr>
        <c:txPr>
          <a:bodyPr/>
          <a:lstStyle/>
          <a:p>
            <a:pPr>
              <a:defRPr sz="800" b="0">
                <a:solidFill>
                  <a:srgbClr val="5D6D7E"/>
                </a:solidFill>
                <a:latin typeface="Calibri"/>
              </a:defRPr>
            </a:pPr>
            <a:endParaRPr lang="en-US"/>
          </a:p>
        </c:txPr>
        <c:crossAx val="100"/>
        <c:crosses val="autoZero"/>
        <c:auto val="1"/>
        <c:lblAlgn val="ctr"/>
        <c:lblOffset val="100"/>
        <c:noMultiLvlLbl val="1"/>
      </c:catAx>
      <c:valAx>
        <c:axId val="100"/>
        <c:scaling>
          <c:orientation val="minMax"/>
        </c:scaling>
        <c:delete val="0"/>
        <c:axPos val="b"/>
        <c:majorGridlines>
          <c:spPr>
            <a:ln>
              <a:solidFill>
                <a:srgbClr val="E5E8E8"/>
              </a:solidFill>
              <a:prstDash val="solid"/>
            </a:ln>
          </c:spPr>
        </c:majorGridlines>
        <c:numFmt formatCode="#,##0" sourceLinked="0"/>
        <c:majorTickMark val="none"/>
        <c:minorTickMark val="none"/>
        <c:tickLblPos val="nextTo"/>
        <c:spPr>
          <a:ln>
            <a:noFill/>
            <a:prstDash val="solid"/>
          </a:ln>
        </c:spPr>
        <c:txPr>
          <a:bodyPr/>
          <a:lstStyle/>
          <a:p>
            <a:pPr>
              <a:defRPr sz="800" b="0">
                <a:solidFill>
                  <a:srgbClr val="5D6D7E"/>
                </a:solidFill>
                <a:latin typeface="Calibri"/>
              </a:defRPr>
            </a:pPr>
            <a:endParaRPr lang="en-US"/>
          </a:p>
        </c:txPr>
        <c:crossAx val="10"/>
        <c:crosses val="autoZero"/>
        <c:crossBetween val="between"/>
      </c:valAx>
    </c:plotArea>
    <c:plotVisOnly val="1"/>
    <c:dispBlanksAs val="gap"/>
    <c:showDLblsOverMax val="1"/>
  </c:chart>
  <c:spPr>
    <a:solidFill>
      <a:srgbClr val="FFFFFF"/>
    </a:solidFill>
    <a:ln>
      <a:solidFill>
        <a:srgbClr val="D5DBDB"/>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50" b="1">
                <a:solidFill>
                  <a:srgbClr val="0B3D3A"/>
                </a:solidFill>
                <a:latin typeface="Calibri"/>
              </a:defRPr>
            </a:pPr>
            <a:r>
              <a:rPr lang="en-IN" sz="1050" b="1">
                <a:solidFill>
                  <a:srgbClr val="0B3D3A"/>
                </a:solidFill>
                <a:latin typeface="Calibri"/>
              </a:rPr>
              <a:t>Monthly Solar Generation by Site (kWh)</a:t>
            </a:r>
          </a:p>
        </c:rich>
      </c:tx>
      <c:overlay val="0"/>
    </c:title>
    <c:autoTitleDeleted val="0"/>
    <c:plotArea>
      <c:layout/>
      <c:barChart>
        <c:barDir val="col"/>
        <c:grouping val="stacked"/>
        <c:varyColors val="1"/>
        <c:ser>
          <c:idx val="0"/>
          <c:order val="0"/>
          <c:tx>
            <c:v>AKSM</c:v>
          </c:tx>
          <c:spPr>
            <a:solidFill>
              <a:srgbClr val="D4A017"/>
            </a:solidFill>
            <a:ln>
              <a:solidFill>
                <a:srgbClr val="FFFFFF"/>
              </a:solidFill>
              <a:prstDash val="solid"/>
            </a:ln>
          </c:spPr>
          <c:invertIfNegative val="0"/>
          <c:cat>
            <c:strRef>
              <c:f>MIS_Calc!$B$316:$M$316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MIS_Calc!$B$324:$M$324</c:f>
              <c:numCache>
                <c:formatCode>#,##0</c:formatCode>
                <c:ptCount val="12"/>
                <c:pt idx="0">
                  <c:v>1829</c:v>
                </c:pt>
                <c:pt idx="1">
                  <c:v>2464</c:v>
                </c:pt>
                <c:pt idx="2">
                  <c:v>2982</c:v>
                </c:pt>
                <c:pt idx="3">
                  <c:v>2965</c:v>
                </c:pt>
                <c:pt idx="4">
                  <c:v>2826</c:v>
                </c:pt>
                <c:pt idx="5">
                  <c:v>2617</c:v>
                </c:pt>
                <c:pt idx="6">
                  <c:v>3348</c:v>
                </c:pt>
                <c:pt idx="7">
                  <c:v>3594</c:v>
                </c:pt>
                <c:pt idx="8">
                  <c:v>0</c:v>
                </c:pt>
                <c:pt idx="9">
                  <c:v>0</c:v>
                </c:pt>
                <c:pt idx="10">
                  <c:v>0</c:v>
                </c:pt>
                <c:pt idx="11">
                  <c:v>0</c:v>
                </c:pt>
              </c:numCache>
            </c:numRef>
          </c:val>
          <c:extLst>
            <c:ext xmlns:c16="http://schemas.microsoft.com/office/drawing/2014/chart" uri="{C3380CC4-5D6E-409C-BE32-E72D297353CC}">
              <c16:uniqueId val="{00000000-60D8-49AE-8190-B692C4282BBA}"/>
            </c:ext>
          </c:extLst>
        </c:ser>
        <c:ser>
          <c:idx val="1"/>
          <c:order val="1"/>
          <c:tx>
            <c:v>AKSC</c:v>
          </c:tx>
          <c:spPr>
            <a:solidFill>
              <a:srgbClr val="E67E22"/>
            </a:solidFill>
            <a:ln>
              <a:solidFill>
                <a:srgbClr val="FFFFFF"/>
              </a:solidFill>
              <a:prstDash val="solid"/>
            </a:ln>
          </c:spPr>
          <c:invertIfNegative val="0"/>
          <c:cat>
            <c:strRef>
              <c:f>MIS_Calc!$B$316:$M$316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MIS_Calc!$B$325:$M$325</c:f>
              <c:numCache>
                <c:formatCode>#,##0</c:formatCode>
                <c:ptCount val="12"/>
                <c:pt idx="0">
                  <c:v>1215.3</c:v>
                </c:pt>
                <c:pt idx="1">
                  <c:v>1061.5</c:v>
                </c:pt>
                <c:pt idx="2">
                  <c:v>1071.8</c:v>
                </c:pt>
                <c:pt idx="3">
                  <c:v>8483</c:v>
                </c:pt>
                <c:pt idx="4">
                  <c:v>10107</c:v>
                </c:pt>
                <c:pt idx="5">
                  <c:v>11913</c:v>
                </c:pt>
                <c:pt idx="6">
                  <c:v>13477</c:v>
                </c:pt>
                <c:pt idx="7">
                  <c:v>14795</c:v>
                </c:pt>
                <c:pt idx="8">
                  <c:v>0</c:v>
                </c:pt>
                <c:pt idx="9">
                  <c:v>0</c:v>
                </c:pt>
                <c:pt idx="10">
                  <c:v>0</c:v>
                </c:pt>
                <c:pt idx="11">
                  <c:v>0</c:v>
                </c:pt>
              </c:numCache>
            </c:numRef>
          </c:val>
          <c:extLst>
            <c:ext xmlns:c16="http://schemas.microsoft.com/office/drawing/2014/chart" uri="{C3380CC4-5D6E-409C-BE32-E72D297353CC}">
              <c16:uniqueId val="{00000001-60D8-49AE-8190-B692C4282BBA}"/>
            </c:ext>
          </c:extLst>
        </c:ser>
        <c:ser>
          <c:idx val="2"/>
          <c:order val="2"/>
          <c:tx>
            <c:v>AKHH</c:v>
          </c:tx>
          <c:spPr>
            <a:solidFill>
              <a:srgbClr val="7D6608"/>
            </a:solidFill>
            <a:ln>
              <a:solidFill>
                <a:srgbClr val="FFFFFF"/>
              </a:solidFill>
              <a:prstDash val="solid"/>
            </a:ln>
          </c:spPr>
          <c:invertIfNegative val="0"/>
          <c:cat>
            <c:strRef>
              <c:f>MIS_Calc!$B$316:$M$316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MIS_Calc!$B$326:$M$326</c:f>
              <c:numCache>
                <c:formatCode>#,##0</c:formatCode>
                <c:ptCount val="12"/>
                <c:pt idx="0">
                  <c:v>5265</c:v>
                </c:pt>
                <c:pt idx="1">
                  <c:v>5543</c:v>
                </c:pt>
                <c:pt idx="2">
                  <c:v>11156</c:v>
                </c:pt>
                <c:pt idx="3">
                  <c:v>8556</c:v>
                </c:pt>
                <c:pt idx="4">
                  <c:v>8417</c:v>
                </c:pt>
                <c:pt idx="5">
                  <c:v>7590</c:v>
                </c:pt>
                <c:pt idx="6">
                  <c:v>10958</c:v>
                </c:pt>
                <c:pt idx="7">
                  <c:v>12043</c:v>
                </c:pt>
                <c:pt idx="8">
                  <c:v>7494</c:v>
                </c:pt>
                <c:pt idx="9">
                  <c:v>0</c:v>
                </c:pt>
                <c:pt idx="10">
                  <c:v>0</c:v>
                </c:pt>
                <c:pt idx="11">
                  <c:v>0</c:v>
                </c:pt>
              </c:numCache>
            </c:numRef>
          </c:val>
          <c:extLst>
            <c:ext xmlns:c16="http://schemas.microsoft.com/office/drawing/2014/chart" uri="{C3380CC4-5D6E-409C-BE32-E72D297353CC}">
              <c16:uniqueId val="{00000002-60D8-49AE-8190-B692C4282BBA}"/>
            </c:ext>
          </c:extLst>
        </c:ser>
        <c:dLbls>
          <c:showLegendKey val="0"/>
          <c:showVal val="0"/>
          <c:showCatName val="0"/>
          <c:showSerName val="0"/>
          <c:showPercent val="0"/>
          <c:showBubbleSize val="0"/>
        </c:dLbls>
        <c:gapWidth val="50"/>
        <c:overlap val="100"/>
        <c:axId val="10"/>
        <c:axId val="100"/>
      </c:barChart>
      <c:catAx>
        <c:axId val="10"/>
        <c:scaling>
          <c:orientation val="minMax"/>
        </c:scaling>
        <c:delete val="0"/>
        <c:axPos val="b"/>
        <c:numFmt formatCode="General" sourceLinked="0"/>
        <c:majorTickMark val="none"/>
        <c:minorTickMark val="none"/>
        <c:tickLblPos val="nextTo"/>
        <c:spPr>
          <a:ln>
            <a:solidFill>
              <a:srgbClr val="BFC9CA"/>
            </a:solidFill>
            <a:prstDash val="solid"/>
          </a:ln>
        </c:spPr>
        <c:txPr>
          <a:bodyPr/>
          <a:lstStyle/>
          <a:p>
            <a:pPr>
              <a:defRPr sz="800" b="0">
                <a:solidFill>
                  <a:srgbClr val="5D6D7E"/>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a:solidFill>
                <a:srgbClr val="E5E8E8"/>
              </a:solidFill>
              <a:prstDash val="solid"/>
            </a:ln>
          </c:spPr>
        </c:majorGridlines>
        <c:numFmt formatCode="#,##0" sourceLinked="0"/>
        <c:majorTickMark val="none"/>
        <c:minorTickMark val="none"/>
        <c:tickLblPos val="nextTo"/>
        <c:spPr>
          <a:ln>
            <a:noFill/>
            <a:prstDash val="solid"/>
          </a:ln>
        </c:spPr>
        <c:txPr>
          <a:bodyPr/>
          <a:lstStyle/>
          <a:p>
            <a:pPr>
              <a:defRPr sz="800" b="0">
                <a:solidFill>
                  <a:srgbClr val="5D6D7E"/>
                </a:solidFill>
                <a:latin typeface="Calibri"/>
              </a:defRPr>
            </a:pPr>
            <a:endParaRPr lang="en-US"/>
          </a:p>
        </c:txPr>
        <c:crossAx val="10"/>
        <c:crosses val="autoZero"/>
        <c:crossBetween val="between"/>
      </c:valAx>
    </c:plotArea>
    <c:legend>
      <c:legendPos val="b"/>
      <c:layout>
        <c:manualLayout>
          <c:xMode val="edge"/>
          <c:yMode val="edge"/>
          <c:x val="0.2667294584500467"/>
          <c:y val="0.10280864197530858"/>
          <c:w val="0.28866993464052287"/>
          <c:h val="8.1882716049382714E-2"/>
        </c:manualLayout>
      </c:layout>
      <c:overlay val="1"/>
      <c:txPr>
        <a:bodyPr/>
        <a:lstStyle/>
        <a:p>
          <a:pPr>
            <a:defRPr sz="800" b="0">
              <a:solidFill>
                <a:srgbClr val="5D6D7E"/>
              </a:solidFill>
              <a:latin typeface="Calibri"/>
            </a:defRPr>
          </a:pPr>
          <a:endParaRPr lang="en-US"/>
        </a:p>
      </c:txPr>
    </c:legend>
    <c:plotVisOnly val="1"/>
    <c:dispBlanksAs val="gap"/>
    <c:showDLblsOverMax val="1"/>
  </c:chart>
  <c:spPr>
    <a:solidFill>
      <a:srgbClr val="FFFFFF"/>
    </a:solidFill>
    <a:ln>
      <a:solidFill>
        <a:srgbClr val="D5DBDB"/>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50" b="1">
                <a:solidFill>
                  <a:srgbClr val="0B3D3A"/>
                </a:solidFill>
                <a:latin typeface="Calibri"/>
              </a:defRPr>
            </a:pPr>
            <a:r>
              <a:rPr lang="en-IN" sz="1050" b="1">
                <a:solidFill>
                  <a:srgbClr val="0B3D3A"/>
                </a:solidFill>
                <a:latin typeface="Calibri"/>
              </a:rPr>
              <a:t>Energy Unit Cost by School (₹/kWh) — selected period</a:t>
            </a:r>
          </a:p>
        </c:rich>
      </c:tx>
      <c:overlay val="0"/>
    </c:title>
    <c:autoTitleDeleted val="0"/>
    <c:plotArea>
      <c:layout/>
      <c:barChart>
        <c:barDir val="bar"/>
        <c:grouping val="clustered"/>
        <c:varyColors val="1"/>
        <c:ser>
          <c:idx val="0"/>
          <c:order val="0"/>
          <c:tx>
            <c:v>₹ per kWh</c:v>
          </c:tx>
          <c:spPr>
            <a:solidFill>
              <a:srgbClr val="C0562F"/>
            </a:solidFill>
            <a:ln>
              <a:solidFill>
                <a:srgbClr val="FFFFFF"/>
              </a:solidFill>
              <a:prstDash val="solid"/>
            </a:ln>
          </c:spPr>
          <c:invertIfNegative val="0"/>
          <c:dLbls>
            <c:spPr>
              <a:noFill/>
              <a:ln>
                <a:noFill/>
              </a:ln>
              <a:effectLst/>
            </c:spPr>
            <c:txPr>
              <a:bodyPr/>
              <a:lstStyle/>
              <a:p>
                <a:pPr>
                  <a:defRPr sz="700" b="0">
                    <a:solidFill>
                      <a:srgbClr val="1B2631"/>
                    </a:solidFill>
                    <a:latin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MIS_Calc!$P$337:$P$346</c:f>
              <c:strCache>
                <c:ptCount val="10"/>
                <c:pt idx="0">
                  <c:v>DJHSM</c:v>
                </c:pt>
                <c:pt idx="1">
                  <c:v>AKSM</c:v>
                </c:pt>
                <c:pt idx="2">
                  <c:v>AKSS</c:v>
                </c:pt>
                <c:pt idx="3">
                  <c:v>AKSC</c:v>
                </c:pt>
                <c:pt idx="4">
                  <c:v>PJHSW</c:v>
                </c:pt>
                <c:pt idx="5">
                  <c:v>DJHSH (HS)</c:v>
                </c:pt>
                <c:pt idx="6">
                  <c:v>DJHSH (PRI)</c:v>
                </c:pt>
                <c:pt idx="7">
                  <c:v>DJG</c:v>
                </c:pt>
                <c:pt idx="8">
                  <c:v>LSHSA</c:v>
                </c:pt>
                <c:pt idx="9">
                  <c:v>AKHH</c:v>
                </c:pt>
              </c:strCache>
            </c:strRef>
          </c:cat>
          <c:val>
            <c:numRef>
              <c:f>MIS_Calc!$Q$337:$Q$346</c:f>
              <c:numCache>
                <c:formatCode>#,##0.00</c:formatCode>
                <c:ptCount val="10"/>
                <c:pt idx="0">
                  <c:v>0</c:v>
                </c:pt>
                <c:pt idx="1">
                  <c:v>0</c:v>
                </c:pt>
                <c:pt idx="2">
                  <c:v>0</c:v>
                </c:pt>
                <c:pt idx="3">
                  <c:v>0</c:v>
                </c:pt>
                <c:pt idx="4">
                  <c:v>0</c:v>
                </c:pt>
                <c:pt idx="5">
                  <c:v>11.333819667347534</c:v>
                </c:pt>
                <c:pt idx="6">
                  <c:v>11.405223251895535</c:v>
                </c:pt>
                <c:pt idx="7">
                  <c:v>11.415445026178011</c:v>
                </c:pt>
                <c:pt idx="8">
                  <c:v>12.289414049854322</c:v>
                </c:pt>
                <c:pt idx="9">
                  <c:v>13.217682663207954</c:v>
                </c:pt>
              </c:numCache>
            </c:numRef>
          </c:val>
          <c:extLst>
            <c:ext xmlns:c16="http://schemas.microsoft.com/office/drawing/2014/chart" uri="{C3380CC4-5D6E-409C-BE32-E72D297353CC}">
              <c16:uniqueId val="{00000000-7B6A-414E-8E96-952007F0E30A}"/>
            </c:ext>
          </c:extLst>
        </c:ser>
        <c:dLbls>
          <c:dLblPos val="outEnd"/>
          <c:showLegendKey val="0"/>
          <c:showVal val="1"/>
          <c:showCatName val="0"/>
          <c:showSerName val="0"/>
          <c:showPercent val="0"/>
          <c:showBubbleSize val="1"/>
        </c:dLbls>
        <c:gapWidth val="50"/>
        <c:axId val="10"/>
        <c:axId val="100"/>
      </c:barChart>
      <c:catAx>
        <c:axId val="10"/>
        <c:scaling>
          <c:orientation val="minMax"/>
        </c:scaling>
        <c:delete val="0"/>
        <c:axPos val="l"/>
        <c:numFmt formatCode="General" sourceLinked="0"/>
        <c:majorTickMark val="none"/>
        <c:minorTickMark val="none"/>
        <c:tickLblPos val="nextTo"/>
        <c:spPr>
          <a:ln>
            <a:solidFill>
              <a:srgbClr val="BFC9CA"/>
            </a:solidFill>
            <a:prstDash val="solid"/>
          </a:ln>
        </c:spPr>
        <c:txPr>
          <a:bodyPr/>
          <a:lstStyle/>
          <a:p>
            <a:pPr>
              <a:defRPr sz="800" b="0">
                <a:solidFill>
                  <a:srgbClr val="5D6D7E"/>
                </a:solidFill>
                <a:latin typeface="Calibri"/>
              </a:defRPr>
            </a:pPr>
            <a:endParaRPr lang="en-US"/>
          </a:p>
        </c:txPr>
        <c:crossAx val="100"/>
        <c:crosses val="autoZero"/>
        <c:auto val="1"/>
        <c:lblAlgn val="ctr"/>
        <c:lblOffset val="100"/>
        <c:noMultiLvlLbl val="1"/>
      </c:catAx>
      <c:valAx>
        <c:axId val="100"/>
        <c:scaling>
          <c:orientation val="minMax"/>
        </c:scaling>
        <c:delete val="0"/>
        <c:axPos val="b"/>
        <c:majorGridlines>
          <c:spPr>
            <a:ln>
              <a:solidFill>
                <a:srgbClr val="E5E8E8"/>
              </a:solidFill>
              <a:prstDash val="solid"/>
            </a:ln>
          </c:spPr>
        </c:majorGridlines>
        <c:numFmt formatCode="0.00" sourceLinked="0"/>
        <c:majorTickMark val="none"/>
        <c:minorTickMark val="none"/>
        <c:tickLblPos val="nextTo"/>
        <c:spPr>
          <a:ln>
            <a:noFill/>
            <a:prstDash val="solid"/>
          </a:ln>
        </c:spPr>
        <c:txPr>
          <a:bodyPr/>
          <a:lstStyle/>
          <a:p>
            <a:pPr>
              <a:defRPr sz="800" b="0">
                <a:solidFill>
                  <a:srgbClr val="5D6D7E"/>
                </a:solidFill>
                <a:latin typeface="Calibri"/>
              </a:defRPr>
            </a:pPr>
            <a:endParaRPr lang="en-US"/>
          </a:p>
        </c:txPr>
        <c:crossAx val="10"/>
        <c:crosses val="autoZero"/>
        <c:crossBetween val="between"/>
      </c:valAx>
    </c:plotArea>
    <c:plotVisOnly val="1"/>
    <c:dispBlanksAs val="gap"/>
    <c:showDLblsOverMax val="1"/>
  </c:chart>
  <c:spPr>
    <a:solidFill>
      <a:srgbClr val="FFFFFF"/>
    </a:solidFill>
    <a:ln>
      <a:solidFill>
        <a:srgbClr val="D5DBDB"/>
      </a:solid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50" b="1">
                <a:solidFill>
                  <a:srgbClr val="0B3D3A"/>
                </a:solidFill>
                <a:latin typeface="Calibri"/>
              </a:defRPr>
            </a:pPr>
            <a:r>
              <a:rPr lang="en-IN" sz="1050" b="1">
                <a:solidFill>
                  <a:srgbClr val="0B3D3A"/>
                </a:solidFill>
                <a:latin typeface="Calibri"/>
              </a:rPr>
              <a:t>Monthly Generator Diesel by Site (L)</a:t>
            </a:r>
          </a:p>
        </c:rich>
      </c:tx>
      <c:overlay val="0"/>
    </c:title>
    <c:autoTitleDeleted val="0"/>
    <c:plotArea>
      <c:layout/>
      <c:barChart>
        <c:barDir val="col"/>
        <c:grouping val="stacked"/>
        <c:varyColors val="1"/>
        <c:ser>
          <c:idx val="0"/>
          <c:order val="0"/>
          <c:tx>
            <c:v>AKSC 16 kVA</c:v>
          </c:tx>
          <c:spPr>
            <a:solidFill>
              <a:srgbClr val="5D6D7E"/>
            </a:solidFill>
            <a:ln>
              <a:solidFill>
                <a:srgbClr val="FFFFFF"/>
              </a:solidFill>
              <a:prstDash val="solid"/>
            </a:ln>
          </c:spPr>
          <c:invertIfNegative val="0"/>
          <c:cat>
            <c:strRef>
              <c:f>MIS_Calc!$B$316:$M$316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MIS_Calc!$B$328:$M$328</c:f>
              <c:numCache>
                <c:formatCode>#,##0.0</c:formatCode>
                <c:ptCount val="12"/>
                <c:pt idx="0">
                  <c:v>21.89</c:v>
                </c:pt>
                <c:pt idx="1">
                  <c:v>0</c:v>
                </c:pt>
                <c:pt idx="2">
                  <c:v>21.89</c:v>
                </c:pt>
                <c:pt idx="3">
                  <c:v>20</c:v>
                </c:pt>
                <c:pt idx="4">
                  <c:v>20</c:v>
                </c:pt>
                <c:pt idx="5">
                  <c:v>20</c:v>
                </c:pt>
                <c:pt idx="6">
                  <c:v>40</c:v>
                </c:pt>
                <c:pt idx="7">
                  <c:v>20</c:v>
                </c:pt>
                <c:pt idx="8">
                  <c:v>20</c:v>
                </c:pt>
                <c:pt idx="9">
                  <c:v>0</c:v>
                </c:pt>
                <c:pt idx="10">
                  <c:v>0</c:v>
                </c:pt>
                <c:pt idx="11">
                  <c:v>0</c:v>
                </c:pt>
              </c:numCache>
            </c:numRef>
          </c:val>
          <c:extLst>
            <c:ext xmlns:c16="http://schemas.microsoft.com/office/drawing/2014/chart" uri="{C3380CC4-5D6E-409C-BE32-E72D297353CC}">
              <c16:uniqueId val="{00000000-7399-4B59-A0C1-51D3EC01D275}"/>
            </c:ext>
          </c:extLst>
        </c:ser>
        <c:ser>
          <c:idx val="1"/>
          <c:order val="1"/>
          <c:tx>
            <c:v>AKSM 160 kVA</c:v>
          </c:tx>
          <c:spPr>
            <a:solidFill>
              <a:srgbClr val="D4A017"/>
            </a:solidFill>
            <a:ln>
              <a:solidFill>
                <a:srgbClr val="FFFFFF"/>
              </a:solidFill>
              <a:prstDash val="solid"/>
            </a:ln>
          </c:spPr>
          <c:invertIfNegative val="0"/>
          <c:cat>
            <c:strRef>
              <c:f>MIS_Calc!$B$316:$M$316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MIS_Calc!$B$329:$M$329</c:f>
              <c:numCache>
                <c:formatCode>#,##0.0</c:formatCode>
                <c:ptCount val="12"/>
                <c:pt idx="0">
                  <c:v>80</c:v>
                </c:pt>
                <c:pt idx="1">
                  <c:v>80</c:v>
                </c:pt>
                <c:pt idx="2">
                  <c:v>100</c:v>
                </c:pt>
                <c:pt idx="3">
                  <c:v>0</c:v>
                </c:pt>
                <c:pt idx="4">
                  <c:v>0</c:v>
                </c:pt>
                <c:pt idx="5">
                  <c:v>40</c:v>
                </c:pt>
                <c:pt idx="6">
                  <c:v>203.38</c:v>
                </c:pt>
                <c:pt idx="7">
                  <c:v>204.08</c:v>
                </c:pt>
                <c:pt idx="8">
                  <c:v>0</c:v>
                </c:pt>
                <c:pt idx="9">
                  <c:v>0</c:v>
                </c:pt>
                <c:pt idx="10">
                  <c:v>0</c:v>
                </c:pt>
                <c:pt idx="11">
                  <c:v>0</c:v>
                </c:pt>
              </c:numCache>
            </c:numRef>
          </c:val>
          <c:extLst>
            <c:ext xmlns:c16="http://schemas.microsoft.com/office/drawing/2014/chart" uri="{C3380CC4-5D6E-409C-BE32-E72D297353CC}">
              <c16:uniqueId val="{00000001-7399-4B59-A0C1-51D3EC01D275}"/>
            </c:ext>
          </c:extLst>
        </c:ser>
        <c:ser>
          <c:idx val="2"/>
          <c:order val="2"/>
          <c:tx>
            <c:v>AKHH 63 kVA</c:v>
          </c:tx>
          <c:spPr>
            <a:solidFill>
              <a:srgbClr val="C0562F"/>
            </a:solidFill>
            <a:ln>
              <a:solidFill>
                <a:srgbClr val="FFFFFF"/>
              </a:solidFill>
              <a:prstDash val="solid"/>
            </a:ln>
          </c:spPr>
          <c:invertIfNegative val="0"/>
          <c:cat>
            <c:strRef>
              <c:f>MIS_Calc!$B$316:$M$316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MIS_Calc!$B$330:$M$330</c:f>
              <c:numCache>
                <c:formatCode>#,##0.0</c:formatCode>
                <c:ptCount val="12"/>
                <c:pt idx="0">
                  <c:v>70</c:v>
                </c:pt>
                <c:pt idx="1">
                  <c:v>95</c:v>
                </c:pt>
                <c:pt idx="2">
                  <c:v>160</c:v>
                </c:pt>
                <c:pt idx="3">
                  <c:v>140</c:v>
                </c:pt>
                <c:pt idx="4">
                  <c:v>120</c:v>
                </c:pt>
                <c:pt idx="5">
                  <c:v>140</c:v>
                </c:pt>
                <c:pt idx="6">
                  <c:v>200</c:v>
                </c:pt>
                <c:pt idx="7">
                  <c:v>115</c:v>
                </c:pt>
                <c:pt idx="8">
                  <c:v>40</c:v>
                </c:pt>
                <c:pt idx="9">
                  <c:v>0</c:v>
                </c:pt>
                <c:pt idx="10">
                  <c:v>0</c:v>
                </c:pt>
                <c:pt idx="11">
                  <c:v>0</c:v>
                </c:pt>
              </c:numCache>
            </c:numRef>
          </c:val>
          <c:extLst>
            <c:ext xmlns:c16="http://schemas.microsoft.com/office/drawing/2014/chart" uri="{C3380CC4-5D6E-409C-BE32-E72D297353CC}">
              <c16:uniqueId val="{00000002-7399-4B59-A0C1-51D3EC01D275}"/>
            </c:ext>
          </c:extLst>
        </c:ser>
        <c:dLbls>
          <c:showLegendKey val="0"/>
          <c:showVal val="0"/>
          <c:showCatName val="0"/>
          <c:showSerName val="0"/>
          <c:showPercent val="0"/>
          <c:showBubbleSize val="0"/>
        </c:dLbls>
        <c:gapWidth val="50"/>
        <c:overlap val="100"/>
        <c:axId val="10"/>
        <c:axId val="100"/>
      </c:barChart>
      <c:catAx>
        <c:axId val="10"/>
        <c:scaling>
          <c:orientation val="minMax"/>
        </c:scaling>
        <c:delete val="0"/>
        <c:axPos val="b"/>
        <c:numFmt formatCode="General" sourceLinked="0"/>
        <c:majorTickMark val="none"/>
        <c:minorTickMark val="none"/>
        <c:tickLblPos val="nextTo"/>
        <c:spPr>
          <a:ln>
            <a:solidFill>
              <a:srgbClr val="BFC9CA"/>
            </a:solidFill>
            <a:prstDash val="solid"/>
          </a:ln>
        </c:spPr>
        <c:txPr>
          <a:bodyPr/>
          <a:lstStyle/>
          <a:p>
            <a:pPr>
              <a:defRPr sz="800" b="0">
                <a:solidFill>
                  <a:srgbClr val="5D6D7E"/>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a:solidFill>
                <a:srgbClr val="E5E8E8"/>
              </a:solidFill>
              <a:prstDash val="solid"/>
            </a:ln>
          </c:spPr>
        </c:majorGridlines>
        <c:numFmt formatCode="#,##0" sourceLinked="0"/>
        <c:majorTickMark val="none"/>
        <c:minorTickMark val="none"/>
        <c:tickLblPos val="nextTo"/>
        <c:spPr>
          <a:ln>
            <a:noFill/>
            <a:prstDash val="solid"/>
          </a:ln>
        </c:spPr>
        <c:txPr>
          <a:bodyPr/>
          <a:lstStyle/>
          <a:p>
            <a:pPr>
              <a:defRPr sz="800" b="0">
                <a:solidFill>
                  <a:srgbClr val="5D6D7E"/>
                </a:solidFill>
                <a:latin typeface="Calibri"/>
              </a:defRPr>
            </a:pPr>
            <a:endParaRPr lang="en-US"/>
          </a:p>
        </c:txPr>
        <c:crossAx val="10"/>
        <c:crosses val="autoZero"/>
        <c:crossBetween val="between"/>
      </c:valAx>
    </c:plotArea>
    <c:legend>
      <c:legendPos val="b"/>
      <c:layout>
        <c:manualLayout>
          <c:xMode val="edge"/>
          <c:yMode val="edge"/>
          <c:x val="6.6339169000933687E-2"/>
          <c:y val="9.7582304526748917E-2"/>
          <c:w val="0.56494070961718024"/>
          <c:h val="8.1882716049382714E-2"/>
        </c:manualLayout>
      </c:layout>
      <c:overlay val="1"/>
      <c:txPr>
        <a:bodyPr/>
        <a:lstStyle/>
        <a:p>
          <a:pPr>
            <a:defRPr sz="800" b="0">
              <a:solidFill>
                <a:srgbClr val="5D6D7E"/>
              </a:solidFill>
              <a:latin typeface="Calibri"/>
            </a:defRPr>
          </a:pPr>
          <a:endParaRPr lang="en-US"/>
        </a:p>
      </c:txPr>
    </c:legend>
    <c:plotVisOnly val="1"/>
    <c:dispBlanksAs val="gap"/>
    <c:showDLblsOverMax val="1"/>
  </c:chart>
  <c:spPr>
    <a:solidFill>
      <a:srgbClr val="FFFFFF"/>
    </a:solidFill>
    <a:ln>
      <a:solidFill>
        <a:srgbClr val="D5DBDB"/>
      </a:solid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50" b="1">
                <a:solidFill>
                  <a:srgbClr val="0B3D3A"/>
                </a:solidFill>
                <a:latin typeface="Calibri"/>
              </a:defRPr>
            </a:pPr>
            <a:r>
              <a:rPr lang="en-IN" sz="1050" b="1">
                <a:solidFill>
                  <a:srgbClr val="0B3D3A"/>
                </a:solidFill>
                <a:latin typeface="Calibri"/>
              </a:rPr>
              <a:t>Monthly Repair Tickets</a:t>
            </a:r>
          </a:p>
        </c:rich>
      </c:tx>
      <c:overlay val="0"/>
    </c:title>
    <c:autoTitleDeleted val="0"/>
    <c:plotArea>
      <c:layout/>
      <c:barChart>
        <c:barDir val="col"/>
        <c:grouping val="clustered"/>
        <c:varyColors val="1"/>
        <c:ser>
          <c:idx val="0"/>
          <c:order val="0"/>
          <c:tx>
            <c:v>Tickets</c:v>
          </c:tx>
          <c:spPr>
            <a:solidFill>
              <a:srgbClr val="0B3D3A"/>
            </a:solidFill>
            <a:ln>
              <a:solidFill>
                <a:srgbClr val="FFFFFF"/>
              </a:solidFill>
              <a:prstDash val="solid"/>
            </a:ln>
          </c:spPr>
          <c:invertIfNegative val="0"/>
          <c:dLbls>
            <c:spPr>
              <a:noFill/>
              <a:ln>
                <a:noFill/>
              </a:ln>
              <a:effectLst/>
            </c:spPr>
            <c:txPr>
              <a:bodyPr/>
              <a:lstStyle/>
              <a:p>
                <a:pPr>
                  <a:defRPr sz="700" b="0">
                    <a:solidFill>
                      <a:srgbClr val="1B2631"/>
                    </a:solidFill>
                    <a:latin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MIS_Calc!$B$316:$M$316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MIS_Calc!$B$321:$M$321</c:f>
              <c:numCache>
                <c:formatCode>0</c:formatCode>
                <c:ptCount val="12"/>
                <c:pt idx="0">
                  <c:v>87</c:v>
                </c:pt>
                <c:pt idx="1">
                  <c:v>111</c:v>
                </c:pt>
                <c:pt idx="2">
                  <c:v>154</c:v>
                </c:pt>
                <c:pt idx="3">
                  <c:v>150</c:v>
                </c:pt>
                <c:pt idx="4">
                  <c:v>118</c:v>
                </c:pt>
                <c:pt idx="5">
                  <c:v>166</c:v>
                </c:pt>
                <c:pt idx="6">
                  <c:v>223</c:v>
                </c:pt>
                <c:pt idx="7">
                  <c:v>130</c:v>
                </c:pt>
                <c:pt idx="8">
                  <c:v>96</c:v>
                </c:pt>
                <c:pt idx="9">
                  <c:v>0</c:v>
                </c:pt>
                <c:pt idx="10">
                  <c:v>0</c:v>
                </c:pt>
                <c:pt idx="11">
                  <c:v>0</c:v>
                </c:pt>
              </c:numCache>
            </c:numRef>
          </c:val>
          <c:extLst>
            <c:ext xmlns:c16="http://schemas.microsoft.com/office/drawing/2014/chart" uri="{C3380CC4-5D6E-409C-BE32-E72D297353CC}">
              <c16:uniqueId val="{00000000-20A0-4A0B-B4BD-9F1849FDD6CD}"/>
            </c:ext>
          </c:extLst>
        </c:ser>
        <c:dLbls>
          <c:dLblPos val="outEnd"/>
          <c:showLegendKey val="0"/>
          <c:showVal val="1"/>
          <c:showCatName val="0"/>
          <c:showSerName val="0"/>
          <c:showPercent val="0"/>
          <c:showBubbleSize val="1"/>
        </c:dLbls>
        <c:gapWidth val="50"/>
        <c:axId val="10"/>
        <c:axId val="100"/>
      </c:barChart>
      <c:catAx>
        <c:axId val="10"/>
        <c:scaling>
          <c:orientation val="minMax"/>
        </c:scaling>
        <c:delete val="0"/>
        <c:axPos val="b"/>
        <c:numFmt formatCode="General" sourceLinked="0"/>
        <c:majorTickMark val="none"/>
        <c:minorTickMark val="none"/>
        <c:tickLblPos val="nextTo"/>
        <c:spPr>
          <a:ln>
            <a:solidFill>
              <a:srgbClr val="BFC9CA"/>
            </a:solidFill>
            <a:prstDash val="solid"/>
          </a:ln>
        </c:spPr>
        <c:txPr>
          <a:bodyPr/>
          <a:lstStyle/>
          <a:p>
            <a:pPr>
              <a:defRPr sz="800" b="0">
                <a:solidFill>
                  <a:srgbClr val="5D6D7E"/>
                </a:solidFill>
                <a:latin typeface="Calibri"/>
              </a:defRPr>
            </a:pPr>
            <a:endParaRPr lang="en-US"/>
          </a:p>
        </c:txPr>
        <c:crossAx val="100"/>
        <c:crosses val="autoZero"/>
        <c:auto val="1"/>
        <c:lblAlgn val="ctr"/>
        <c:lblOffset val="100"/>
        <c:noMultiLvlLbl val="1"/>
      </c:catAx>
      <c:valAx>
        <c:axId val="100"/>
        <c:scaling>
          <c:orientation val="minMax"/>
        </c:scaling>
        <c:delete val="0"/>
        <c:axPos val="l"/>
        <c:majorGridlines>
          <c:spPr>
            <a:ln>
              <a:solidFill>
                <a:srgbClr val="E5E8E8"/>
              </a:solidFill>
              <a:prstDash val="solid"/>
            </a:ln>
          </c:spPr>
        </c:majorGridlines>
        <c:numFmt formatCode="0" sourceLinked="0"/>
        <c:majorTickMark val="none"/>
        <c:minorTickMark val="none"/>
        <c:tickLblPos val="nextTo"/>
        <c:spPr>
          <a:ln>
            <a:noFill/>
            <a:prstDash val="solid"/>
          </a:ln>
        </c:spPr>
        <c:txPr>
          <a:bodyPr/>
          <a:lstStyle/>
          <a:p>
            <a:pPr>
              <a:defRPr sz="800" b="0">
                <a:solidFill>
                  <a:srgbClr val="5D6D7E"/>
                </a:solidFill>
                <a:latin typeface="Calibri"/>
              </a:defRPr>
            </a:pPr>
            <a:endParaRPr lang="en-US"/>
          </a:p>
        </c:txPr>
        <c:crossAx val="10"/>
        <c:crosses val="autoZero"/>
        <c:crossBetween val="between"/>
      </c:valAx>
    </c:plotArea>
    <c:plotVisOnly val="1"/>
    <c:dispBlanksAs val="gap"/>
    <c:showDLblsOverMax val="1"/>
  </c:chart>
  <c:spPr>
    <a:solidFill>
      <a:srgbClr val="FFFFFF"/>
    </a:solidFill>
    <a:ln>
      <a:solidFill>
        <a:srgbClr val="D5DBDB"/>
      </a:solid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50" b="1">
                <a:solidFill>
                  <a:srgbClr val="0B3D3A"/>
                </a:solidFill>
                <a:latin typeface="Calibri"/>
              </a:defRPr>
            </a:pPr>
            <a:r>
              <a:rPr lang="en-IN" sz="1050" b="1">
                <a:solidFill>
                  <a:srgbClr val="0B3D3A"/>
                </a:solidFill>
                <a:latin typeface="Calibri"/>
              </a:rPr>
              <a:t>Repair Spend by Category (₹) — selected period</a:t>
            </a:r>
          </a:p>
        </c:rich>
      </c:tx>
      <c:overlay val="0"/>
    </c:title>
    <c:autoTitleDeleted val="0"/>
    <c:plotArea>
      <c:layout/>
      <c:barChart>
        <c:barDir val="bar"/>
        <c:grouping val="clustered"/>
        <c:varyColors val="1"/>
        <c:ser>
          <c:idx val="0"/>
          <c:order val="0"/>
          <c:tx>
            <c:v>Spend</c:v>
          </c:tx>
          <c:spPr>
            <a:solidFill>
              <a:srgbClr val="6C5B9E"/>
            </a:solidFill>
            <a:ln>
              <a:solidFill>
                <a:srgbClr val="FFFFFF"/>
              </a:solidFill>
              <a:prstDash val="solid"/>
            </a:ln>
          </c:spPr>
          <c:invertIfNegative val="0"/>
          <c:dLbls>
            <c:spPr>
              <a:noFill/>
              <a:ln>
                <a:noFill/>
              </a:ln>
              <a:effectLst/>
            </c:spPr>
            <c:txPr>
              <a:bodyPr/>
              <a:lstStyle/>
              <a:p>
                <a:pPr>
                  <a:defRPr sz="700" b="0">
                    <a:solidFill>
                      <a:srgbClr val="1B2631"/>
                    </a:solidFill>
                    <a:latin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MIS_Calc!$B$354:$B$360</c:f>
              <c:strCache>
                <c:ptCount val="7"/>
                <c:pt idx="0">
                  <c:v>Civil</c:v>
                </c:pt>
                <c:pt idx="1">
                  <c:v>Mechanical</c:v>
                </c:pt>
                <c:pt idx="2">
                  <c:v>Electrical</c:v>
                </c:pt>
                <c:pt idx="3">
                  <c:v>Plumbing</c:v>
                </c:pt>
                <c:pt idx="4">
                  <c:v>Carpentry</c:v>
                </c:pt>
                <c:pt idx="5">
                  <c:v>R &amp; M</c:v>
                </c:pt>
                <c:pt idx="6">
                  <c:v>Others &amp; IT</c:v>
                </c:pt>
              </c:strCache>
            </c:strRef>
          </c:cat>
          <c:val>
            <c:numRef>
              <c:f>MIS_Calc!$D$354:$D$360</c:f>
              <c:numCache>
                <c:formatCode>#,##0</c:formatCode>
                <c:ptCount val="7"/>
                <c:pt idx="0">
                  <c:v>38270</c:v>
                </c:pt>
                <c:pt idx="1">
                  <c:v>0</c:v>
                </c:pt>
                <c:pt idx="2">
                  <c:v>4500</c:v>
                </c:pt>
                <c:pt idx="3">
                  <c:v>10050</c:v>
                </c:pt>
                <c:pt idx="4">
                  <c:v>2124</c:v>
                </c:pt>
                <c:pt idx="5">
                  <c:v>6020</c:v>
                </c:pt>
                <c:pt idx="6">
                  <c:v>14764</c:v>
                </c:pt>
              </c:numCache>
            </c:numRef>
          </c:val>
          <c:extLst>
            <c:ext xmlns:c16="http://schemas.microsoft.com/office/drawing/2014/chart" uri="{C3380CC4-5D6E-409C-BE32-E72D297353CC}">
              <c16:uniqueId val="{00000000-E227-4112-B8A3-F9E0CA574969}"/>
            </c:ext>
          </c:extLst>
        </c:ser>
        <c:dLbls>
          <c:dLblPos val="outEnd"/>
          <c:showLegendKey val="0"/>
          <c:showVal val="1"/>
          <c:showCatName val="0"/>
          <c:showSerName val="0"/>
          <c:showPercent val="0"/>
          <c:showBubbleSize val="1"/>
        </c:dLbls>
        <c:gapWidth val="50"/>
        <c:axId val="10"/>
        <c:axId val="100"/>
      </c:barChart>
      <c:catAx>
        <c:axId val="10"/>
        <c:scaling>
          <c:orientation val="minMax"/>
        </c:scaling>
        <c:delete val="0"/>
        <c:axPos val="l"/>
        <c:numFmt formatCode="General" sourceLinked="0"/>
        <c:majorTickMark val="none"/>
        <c:minorTickMark val="none"/>
        <c:tickLblPos val="nextTo"/>
        <c:spPr>
          <a:ln>
            <a:solidFill>
              <a:srgbClr val="BFC9CA"/>
            </a:solidFill>
            <a:prstDash val="solid"/>
          </a:ln>
        </c:spPr>
        <c:txPr>
          <a:bodyPr/>
          <a:lstStyle/>
          <a:p>
            <a:pPr>
              <a:defRPr sz="800" b="0">
                <a:solidFill>
                  <a:srgbClr val="5D6D7E"/>
                </a:solidFill>
                <a:latin typeface="Calibri"/>
              </a:defRPr>
            </a:pPr>
            <a:endParaRPr lang="en-US"/>
          </a:p>
        </c:txPr>
        <c:crossAx val="100"/>
        <c:crosses val="autoZero"/>
        <c:auto val="1"/>
        <c:lblAlgn val="ctr"/>
        <c:lblOffset val="100"/>
        <c:noMultiLvlLbl val="1"/>
      </c:catAx>
      <c:valAx>
        <c:axId val="100"/>
        <c:scaling>
          <c:orientation val="minMax"/>
        </c:scaling>
        <c:delete val="0"/>
        <c:axPos val="b"/>
        <c:majorGridlines>
          <c:spPr>
            <a:ln>
              <a:solidFill>
                <a:srgbClr val="E5E8E8"/>
              </a:solidFill>
              <a:prstDash val="solid"/>
            </a:ln>
          </c:spPr>
        </c:majorGridlines>
        <c:numFmt formatCode="#,##0" sourceLinked="0"/>
        <c:majorTickMark val="none"/>
        <c:minorTickMark val="none"/>
        <c:tickLblPos val="nextTo"/>
        <c:spPr>
          <a:ln>
            <a:noFill/>
            <a:prstDash val="solid"/>
          </a:ln>
        </c:spPr>
        <c:txPr>
          <a:bodyPr/>
          <a:lstStyle/>
          <a:p>
            <a:pPr>
              <a:defRPr sz="800" b="0">
                <a:solidFill>
                  <a:srgbClr val="5D6D7E"/>
                </a:solidFill>
                <a:latin typeface="Calibri"/>
              </a:defRPr>
            </a:pPr>
            <a:endParaRPr lang="en-US"/>
          </a:p>
        </c:txPr>
        <c:crossAx val="10"/>
        <c:crosses val="autoZero"/>
        <c:crossBetween val="between"/>
      </c:valAx>
    </c:plotArea>
    <c:plotVisOnly val="1"/>
    <c:dispBlanksAs val="gap"/>
    <c:showDLblsOverMax val="1"/>
  </c:chart>
  <c:spPr>
    <a:solidFill>
      <a:srgbClr val="FFFFFF"/>
    </a:solidFill>
    <a:ln>
      <a:solidFill>
        <a:srgbClr val="D5DBDB"/>
      </a:solidFill>
      <a:prstDash val="soli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50" b="1">
                <a:solidFill>
                  <a:srgbClr val="0B3D3A"/>
                </a:solidFill>
                <a:latin typeface="Calibri"/>
              </a:defRPr>
            </a:pPr>
            <a:r>
              <a:rPr lang="en-IN" sz="1050" b="1">
                <a:solidFill>
                  <a:srgbClr val="0B3D3A"/>
                </a:solidFill>
                <a:latin typeface="Calibri"/>
              </a:rPr>
              <a:t>Repair Spend by School (₹) — selected period</a:t>
            </a:r>
          </a:p>
        </c:rich>
      </c:tx>
      <c:overlay val="0"/>
    </c:title>
    <c:autoTitleDeleted val="0"/>
    <c:plotArea>
      <c:layout/>
      <c:barChart>
        <c:barDir val="bar"/>
        <c:grouping val="clustered"/>
        <c:varyColors val="1"/>
        <c:ser>
          <c:idx val="0"/>
          <c:order val="0"/>
          <c:tx>
            <c:v>Spend</c:v>
          </c:tx>
          <c:spPr>
            <a:solidFill>
              <a:srgbClr val="C0562F"/>
            </a:solidFill>
            <a:ln>
              <a:solidFill>
                <a:srgbClr val="FFFFFF"/>
              </a:solidFill>
              <a:prstDash val="solid"/>
            </a:ln>
          </c:spPr>
          <c:invertIfNegative val="0"/>
          <c:dLbls>
            <c:spPr>
              <a:noFill/>
              <a:ln>
                <a:noFill/>
              </a:ln>
              <a:effectLst/>
            </c:spPr>
            <c:txPr>
              <a:bodyPr/>
              <a:lstStyle/>
              <a:p>
                <a:pPr>
                  <a:defRPr sz="700" b="0">
                    <a:solidFill>
                      <a:srgbClr val="1B2631"/>
                    </a:solidFill>
                    <a:latin typeface="Calibri"/>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MIS_Calc!$V$337:$V$345</c:f>
              <c:strCache>
                <c:ptCount val="9"/>
                <c:pt idx="0">
                  <c:v>DJHSM</c:v>
                </c:pt>
                <c:pt idx="1">
                  <c:v>AKSM</c:v>
                </c:pt>
                <c:pt idx="2">
                  <c:v>AKSC</c:v>
                </c:pt>
                <c:pt idx="3">
                  <c:v>AKHH</c:v>
                </c:pt>
                <c:pt idx="4">
                  <c:v>PJHSW</c:v>
                </c:pt>
                <c:pt idx="5">
                  <c:v>AKSS</c:v>
                </c:pt>
                <c:pt idx="6">
                  <c:v>DJHSH (PRI+HS)</c:v>
                </c:pt>
                <c:pt idx="7">
                  <c:v>LSHSA</c:v>
                </c:pt>
                <c:pt idx="8">
                  <c:v>DJG</c:v>
                </c:pt>
              </c:strCache>
            </c:strRef>
          </c:cat>
          <c:val>
            <c:numRef>
              <c:f>MIS_Calc!$W$337:$W$345</c:f>
              <c:numCache>
                <c:formatCode>#,##0</c:formatCode>
                <c:ptCount val="9"/>
                <c:pt idx="0">
                  <c:v>0</c:v>
                </c:pt>
                <c:pt idx="1">
                  <c:v>0</c:v>
                </c:pt>
                <c:pt idx="2">
                  <c:v>0</c:v>
                </c:pt>
                <c:pt idx="3">
                  <c:v>0</c:v>
                </c:pt>
                <c:pt idx="4">
                  <c:v>2730</c:v>
                </c:pt>
                <c:pt idx="5">
                  <c:v>6020</c:v>
                </c:pt>
                <c:pt idx="6">
                  <c:v>9588</c:v>
                </c:pt>
                <c:pt idx="7">
                  <c:v>20150</c:v>
                </c:pt>
                <c:pt idx="8">
                  <c:v>37240</c:v>
                </c:pt>
              </c:numCache>
            </c:numRef>
          </c:val>
          <c:extLst>
            <c:ext xmlns:c16="http://schemas.microsoft.com/office/drawing/2014/chart" uri="{C3380CC4-5D6E-409C-BE32-E72D297353CC}">
              <c16:uniqueId val="{00000000-EC5F-4017-99FD-82790922590E}"/>
            </c:ext>
          </c:extLst>
        </c:ser>
        <c:dLbls>
          <c:dLblPos val="outEnd"/>
          <c:showLegendKey val="0"/>
          <c:showVal val="1"/>
          <c:showCatName val="0"/>
          <c:showSerName val="0"/>
          <c:showPercent val="0"/>
          <c:showBubbleSize val="1"/>
        </c:dLbls>
        <c:gapWidth val="50"/>
        <c:axId val="10"/>
        <c:axId val="100"/>
      </c:barChart>
      <c:catAx>
        <c:axId val="10"/>
        <c:scaling>
          <c:orientation val="minMax"/>
        </c:scaling>
        <c:delete val="0"/>
        <c:axPos val="l"/>
        <c:numFmt formatCode="General" sourceLinked="0"/>
        <c:majorTickMark val="none"/>
        <c:minorTickMark val="none"/>
        <c:tickLblPos val="nextTo"/>
        <c:spPr>
          <a:ln>
            <a:solidFill>
              <a:srgbClr val="BFC9CA"/>
            </a:solidFill>
            <a:prstDash val="solid"/>
          </a:ln>
        </c:spPr>
        <c:txPr>
          <a:bodyPr/>
          <a:lstStyle/>
          <a:p>
            <a:pPr>
              <a:defRPr sz="800" b="0">
                <a:solidFill>
                  <a:srgbClr val="5D6D7E"/>
                </a:solidFill>
                <a:latin typeface="Calibri"/>
              </a:defRPr>
            </a:pPr>
            <a:endParaRPr lang="en-US"/>
          </a:p>
        </c:txPr>
        <c:crossAx val="100"/>
        <c:crosses val="autoZero"/>
        <c:auto val="1"/>
        <c:lblAlgn val="ctr"/>
        <c:lblOffset val="100"/>
        <c:noMultiLvlLbl val="1"/>
      </c:catAx>
      <c:valAx>
        <c:axId val="100"/>
        <c:scaling>
          <c:orientation val="minMax"/>
        </c:scaling>
        <c:delete val="0"/>
        <c:axPos val="b"/>
        <c:majorGridlines>
          <c:spPr>
            <a:ln>
              <a:solidFill>
                <a:srgbClr val="E5E8E8"/>
              </a:solidFill>
              <a:prstDash val="solid"/>
            </a:ln>
          </c:spPr>
        </c:majorGridlines>
        <c:numFmt formatCode="#,##0" sourceLinked="0"/>
        <c:majorTickMark val="none"/>
        <c:minorTickMark val="none"/>
        <c:tickLblPos val="nextTo"/>
        <c:spPr>
          <a:ln>
            <a:noFill/>
            <a:prstDash val="solid"/>
          </a:ln>
        </c:spPr>
        <c:txPr>
          <a:bodyPr/>
          <a:lstStyle/>
          <a:p>
            <a:pPr>
              <a:defRPr sz="800" b="0">
                <a:solidFill>
                  <a:srgbClr val="5D6D7E"/>
                </a:solidFill>
                <a:latin typeface="Calibri"/>
              </a:defRPr>
            </a:pPr>
            <a:endParaRPr lang="en-US"/>
          </a:p>
        </c:txPr>
        <c:crossAx val="10"/>
        <c:crosses val="autoZero"/>
        <c:crossBetween val="between"/>
      </c:valAx>
    </c:plotArea>
    <c:plotVisOnly val="1"/>
    <c:dispBlanksAs val="gap"/>
    <c:showDLblsOverMax val="1"/>
  </c:chart>
  <c:spPr>
    <a:solidFill>
      <a:srgbClr val="FFFFFF"/>
    </a:solidFill>
    <a:ln>
      <a:solidFill>
        <a:srgbClr val="D5DBDB"/>
      </a:solidFill>
      <a:prstDash val="soli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Monthly Energy / Water / Generator Trend</a:t>
            </a:r>
          </a:p>
        </c:rich>
      </c:tx>
      <c:overlay val="1"/>
    </c:title>
    <c:autoTitleDeleted val="0"/>
    <c:plotArea>
      <c:layout/>
      <c:lineChart>
        <c:grouping val="standard"/>
        <c:varyColors val="1"/>
        <c:ser>
          <c:idx val="0"/>
          <c:order val="0"/>
          <c:tx>
            <c:v>Electrical kWh</c:v>
          </c:tx>
          <c:spPr>
            <a:ln>
              <a:prstDash val="solid"/>
            </a:ln>
          </c:spPr>
          <c:marker>
            <c:symbol val="none"/>
          </c:marker>
          <c:cat>
            <c:strRef>
              <c:f>'KPI ENGINE'!$H$9:$H$20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ENGINE'!$I$9:$I$20</c:f>
              <c:numCache>
                <c:formatCode>#,##0</c:formatCode>
                <c:ptCount val="12"/>
                <c:pt idx="0">
                  <c:v>38530</c:v>
                </c:pt>
                <c:pt idx="1">
                  <c:v>42367</c:v>
                </c:pt>
                <c:pt idx="2">
                  <c:v>40774</c:v>
                </c:pt>
                <c:pt idx="3">
                  <c:v>47475</c:v>
                </c:pt>
                <c:pt idx="4">
                  <c:v>33039</c:v>
                </c:pt>
                <c:pt idx="5">
                  <c:v>58080</c:v>
                </c:pt>
                <c:pt idx="6">
                  <c:v>61338</c:v>
                </c:pt>
                <c:pt idx="7">
                  <c:v>58854</c:v>
                </c:pt>
                <c:pt idx="8">
                  <c:v>20775</c:v>
                </c:pt>
                <c:pt idx="9">
                  <c:v>0</c:v>
                </c:pt>
                <c:pt idx="10">
                  <c:v>0</c:v>
                </c:pt>
                <c:pt idx="11">
                  <c:v>0</c:v>
                </c:pt>
              </c:numCache>
            </c:numRef>
          </c:val>
          <c:smooth val="1"/>
          <c:extLst>
            <c:ext xmlns:c16="http://schemas.microsoft.com/office/drawing/2014/chart" uri="{C3380CC4-5D6E-409C-BE32-E72D297353CC}">
              <c16:uniqueId val="{00000000-F172-411C-B315-4BE23992BA61}"/>
            </c:ext>
          </c:extLst>
        </c:ser>
        <c:ser>
          <c:idx val="1"/>
          <c:order val="1"/>
          <c:tx>
            <c:v>Water L</c:v>
          </c:tx>
          <c:spPr>
            <a:ln>
              <a:prstDash val="solid"/>
            </a:ln>
          </c:spPr>
          <c:marker>
            <c:symbol val="none"/>
          </c:marker>
          <c:cat>
            <c:strRef>
              <c:f>'KPI ENGINE'!$H$9:$H$20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ENGINE'!$J$9:$J$20</c:f>
              <c:numCache>
                <c:formatCode>#,##0</c:formatCode>
                <c:ptCount val="12"/>
                <c:pt idx="0">
                  <c:v>3344443.9999999995</c:v>
                </c:pt>
                <c:pt idx="1">
                  <c:v>3095157.0000000005</c:v>
                </c:pt>
                <c:pt idx="2">
                  <c:v>2667796.9999999995</c:v>
                </c:pt>
                <c:pt idx="3">
                  <c:v>2136767</c:v>
                </c:pt>
                <c:pt idx="4">
                  <c:v>2081964</c:v>
                </c:pt>
                <c:pt idx="5">
                  <c:v>3192958</c:v>
                </c:pt>
                <c:pt idx="6">
                  <c:v>3834932</c:v>
                </c:pt>
                <c:pt idx="7">
                  <c:v>3336373</c:v>
                </c:pt>
                <c:pt idx="8">
                  <c:v>3046376</c:v>
                </c:pt>
                <c:pt idx="9">
                  <c:v>0</c:v>
                </c:pt>
                <c:pt idx="10">
                  <c:v>0</c:v>
                </c:pt>
                <c:pt idx="11">
                  <c:v>0</c:v>
                </c:pt>
              </c:numCache>
            </c:numRef>
          </c:val>
          <c:smooth val="1"/>
          <c:extLst>
            <c:ext xmlns:c16="http://schemas.microsoft.com/office/drawing/2014/chart" uri="{C3380CC4-5D6E-409C-BE32-E72D297353CC}">
              <c16:uniqueId val="{00000001-F172-411C-B315-4BE23992BA61}"/>
            </c:ext>
          </c:extLst>
        </c:ser>
        <c:ser>
          <c:idx val="2"/>
          <c:order val="2"/>
          <c:tx>
            <c:v>Generator Diesel L</c:v>
          </c:tx>
          <c:spPr>
            <a:ln>
              <a:prstDash val="solid"/>
            </a:ln>
          </c:spPr>
          <c:marker>
            <c:symbol val="none"/>
          </c:marker>
          <c:cat>
            <c:strRef>
              <c:f>'KPI ENGINE'!$H$9:$H$20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ENGINE'!$K$9:$K$20</c:f>
              <c:numCache>
                <c:formatCode>#,##0</c:formatCode>
                <c:ptCount val="12"/>
                <c:pt idx="0">
                  <c:v>171.89</c:v>
                </c:pt>
                <c:pt idx="1">
                  <c:v>175</c:v>
                </c:pt>
                <c:pt idx="2">
                  <c:v>281.89</c:v>
                </c:pt>
                <c:pt idx="3">
                  <c:v>160</c:v>
                </c:pt>
                <c:pt idx="4">
                  <c:v>140</c:v>
                </c:pt>
                <c:pt idx="5">
                  <c:v>200</c:v>
                </c:pt>
                <c:pt idx="6">
                  <c:v>443.38</c:v>
                </c:pt>
                <c:pt idx="7">
                  <c:v>339.08000000000004</c:v>
                </c:pt>
                <c:pt idx="8">
                  <c:v>60</c:v>
                </c:pt>
                <c:pt idx="9">
                  <c:v>0</c:v>
                </c:pt>
                <c:pt idx="10">
                  <c:v>0</c:v>
                </c:pt>
                <c:pt idx="11">
                  <c:v>0</c:v>
                </c:pt>
              </c:numCache>
            </c:numRef>
          </c:val>
          <c:smooth val="1"/>
          <c:extLst>
            <c:ext xmlns:c16="http://schemas.microsoft.com/office/drawing/2014/chart" uri="{C3380CC4-5D6E-409C-BE32-E72D297353CC}">
              <c16:uniqueId val="{00000002-F172-411C-B315-4BE23992BA61}"/>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0"/>
        <c:majorTickMark val="none"/>
        <c:minorTickMark val="none"/>
        <c:tickLblPos val="nextTo"/>
        <c:crossAx val="48650112"/>
        <c:crosses val="autoZero"/>
        <c:crossBetween val="between"/>
      </c:valAx>
    </c:plotArea>
    <c:legend>
      <c:legendPos val="b"/>
      <c:overlay val="0"/>
    </c:legend>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oneCellAnchor>
    <xdr:from>
      <xdr:col>1</xdr:col>
      <xdr:colOff>0</xdr:colOff>
      <xdr:row>14</xdr:row>
      <xdr:rowOff>0</xdr:rowOff>
    </xdr:from>
    <xdr:ext cx="4284000" cy="243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14</xdr:row>
      <xdr:rowOff>0</xdr:rowOff>
    </xdr:from>
    <xdr:ext cx="4284000" cy="243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17</xdr:col>
      <xdr:colOff>0</xdr:colOff>
      <xdr:row>14</xdr:row>
      <xdr:rowOff>0</xdr:rowOff>
    </xdr:from>
    <xdr:ext cx="4284000" cy="243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xdr:col>
      <xdr:colOff>0</xdr:colOff>
      <xdr:row>28</xdr:row>
      <xdr:rowOff>0</xdr:rowOff>
    </xdr:from>
    <xdr:ext cx="4284000" cy="2430000"/>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9</xdr:col>
      <xdr:colOff>0</xdr:colOff>
      <xdr:row>28</xdr:row>
      <xdr:rowOff>0</xdr:rowOff>
    </xdr:from>
    <xdr:ext cx="4284000" cy="2430000"/>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17</xdr:col>
      <xdr:colOff>0</xdr:colOff>
      <xdr:row>28</xdr:row>
      <xdr:rowOff>0</xdr:rowOff>
    </xdr:from>
    <xdr:ext cx="4284000" cy="2430000"/>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xdr:col>
      <xdr:colOff>0</xdr:colOff>
      <xdr:row>42</xdr:row>
      <xdr:rowOff>0</xdr:rowOff>
    </xdr:from>
    <xdr:ext cx="4284000" cy="2430000"/>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9</xdr:col>
      <xdr:colOff>0</xdr:colOff>
      <xdr:row>42</xdr:row>
      <xdr:rowOff>0</xdr:rowOff>
    </xdr:from>
    <xdr:ext cx="4284000" cy="2430000"/>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17</xdr:col>
      <xdr:colOff>0</xdr:colOff>
      <xdr:row>42</xdr:row>
      <xdr:rowOff>0</xdr:rowOff>
    </xdr:from>
    <xdr:ext cx="4284000" cy="2430000"/>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oneCellAnchor>
    <xdr:from>
      <xdr:col>1</xdr:col>
      <xdr:colOff>0</xdr:colOff>
      <xdr:row>56</xdr:row>
      <xdr:rowOff>0</xdr:rowOff>
    </xdr:from>
    <xdr:ext cx="4284000" cy="2430000"/>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oneCellAnchor>
  <xdr:oneCellAnchor>
    <xdr:from>
      <xdr:col>9</xdr:col>
      <xdr:colOff>0</xdr:colOff>
      <xdr:row>56</xdr:row>
      <xdr:rowOff>0</xdr:rowOff>
    </xdr:from>
    <xdr:ext cx="4284000" cy="2430000"/>
    <xdr:graphicFrame macro="">
      <xdr:nvGraphicFramePr>
        <xdr:cNvPr id="12" name="Chart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oneCellAnchor>
  <xdr:oneCellAnchor>
    <xdr:from>
      <xdr:col>17</xdr:col>
      <xdr:colOff>0</xdr:colOff>
      <xdr:row>56</xdr:row>
      <xdr:rowOff>0</xdr:rowOff>
    </xdr:from>
    <xdr:ext cx="4284000" cy="2430000"/>
    <xdr:graphicFrame macro="">
      <xdr:nvGraphicFramePr>
        <xdr:cNvPr id="13" name="Chart 12">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7</xdr:col>
      <xdr:colOff>0</xdr:colOff>
      <xdr:row>12</xdr:row>
      <xdr:rowOff>0</xdr:rowOff>
    </xdr:from>
    <xdr:to>
      <xdr:col>14</xdr:col>
      <xdr:colOff>0</xdr:colOff>
      <xdr:row>29</xdr:row>
      <xdr:rowOff>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449"/>
    <pageSetUpPr fitToPage="1"/>
  </sheetPr>
  <dimension ref="A1:Z100"/>
  <sheetViews>
    <sheetView showGridLines="0" zoomScale="97" workbookViewId="0">
      <selection activeCell="D5" sqref="D5:G5"/>
    </sheetView>
  </sheetViews>
  <sheetFormatPr defaultRowHeight="15" x14ac:dyDescent="0.25"/>
  <cols>
    <col min="1" max="1" width="17" customWidth="1"/>
    <col min="2" max="25" width="7.5703125" customWidth="1"/>
    <col min="26" max="26" width="2" customWidth="1"/>
  </cols>
  <sheetData>
    <row r="1" spans="1:26" ht="39.950000000000003" customHeight="1" x14ac:dyDescent="0.25">
      <c r="A1" s="515" t="s">
        <v>0</v>
      </c>
      <c r="B1" s="572" t="s">
        <v>1</v>
      </c>
      <c r="C1" s="547"/>
      <c r="D1" s="547"/>
      <c r="E1" s="547"/>
      <c r="F1" s="547"/>
      <c r="G1" s="547"/>
      <c r="H1" s="547"/>
      <c r="I1" s="547"/>
      <c r="J1" s="547"/>
      <c r="K1" s="547"/>
      <c r="L1" s="547"/>
      <c r="M1" s="547"/>
      <c r="N1" s="547"/>
      <c r="O1" s="547"/>
      <c r="P1" s="547"/>
      <c r="Q1" s="547"/>
      <c r="R1" s="547"/>
      <c r="S1" s="547"/>
      <c r="T1" s="547"/>
      <c r="U1" s="547"/>
      <c r="V1" s="547"/>
      <c r="W1" s="547"/>
      <c r="X1" s="547"/>
      <c r="Y1" s="547"/>
      <c r="Z1" s="516"/>
    </row>
    <row r="2" spans="1:26" ht="18" customHeight="1" x14ac:dyDescent="0.25">
      <c r="A2" s="517" t="s">
        <v>2</v>
      </c>
      <c r="B2" s="599" t="str">
        <f>"Calendar 2026  •  live MIS data Jan-26 to "&amp;MIS_Calc!$B$7&amp;"  •  Electricity · Solar · Water · Repairs · Generators · AMC · Water tests  •  10 schools  •  "&amp;TEXT(MIS_Calc!$N$92,"#,##0")&amp;" pupils (2026 average)"</f>
        <v>Calendar 2026  •  live MIS data Jan-26 to Sep-26  •  Electricity · Solar · Water · Repairs · Generators · AMC · Water tests  •  10 schools  •  6,788 pupils (2026 average)</v>
      </c>
      <c r="C2" s="547"/>
      <c r="D2" s="547"/>
      <c r="E2" s="547"/>
      <c r="F2" s="547"/>
      <c r="G2" s="547"/>
      <c r="H2" s="547"/>
      <c r="I2" s="547"/>
      <c r="J2" s="547"/>
      <c r="K2" s="547"/>
      <c r="L2" s="547"/>
      <c r="M2" s="547"/>
      <c r="N2" s="547"/>
      <c r="O2" s="547"/>
      <c r="P2" s="547"/>
      <c r="Q2" s="547"/>
      <c r="R2" s="547"/>
      <c r="S2" s="547"/>
      <c r="T2" s="547"/>
      <c r="U2" s="547"/>
      <c r="V2" s="547"/>
      <c r="W2" s="547"/>
      <c r="X2" s="547"/>
      <c r="Y2" s="547"/>
      <c r="Z2" s="516"/>
    </row>
    <row r="3" spans="1:26" ht="6" customHeight="1" x14ac:dyDescent="0.25">
      <c r="A3" s="518"/>
      <c r="B3" s="516"/>
      <c r="C3" s="516"/>
      <c r="D3" s="516"/>
      <c r="E3" s="516"/>
      <c r="F3" s="516"/>
      <c r="G3" s="516"/>
      <c r="H3" s="516"/>
      <c r="I3" s="516"/>
      <c r="J3" s="516"/>
      <c r="K3" s="516"/>
      <c r="L3" s="516"/>
      <c r="M3" s="516"/>
      <c r="N3" s="516"/>
      <c r="O3" s="516"/>
      <c r="P3" s="516"/>
      <c r="Q3" s="516"/>
      <c r="R3" s="516"/>
      <c r="S3" s="516"/>
      <c r="T3" s="516"/>
      <c r="U3" s="516"/>
      <c r="V3" s="516"/>
      <c r="W3" s="516"/>
      <c r="X3" s="516"/>
      <c r="Y3" s="516"/>
      <c r="Z3" s="516"/>
    </row>
    <row r="4" spans="1:26" ht="15.95" customHeight="1" x14ac:dyDescent="0.25">
      <c r="A4" s="518"/>
      <c r="B4" s="595" t="s">
        <v>3</v>
      </c>
      <c r="C4" s="547"/>
      <c r="D4" s="567"/>
      <c r="E4" s="547"/>
      <c r="F4" s="547"/>
      <c r="G4" s="547"/>
      <c r="H4" s="595" t="s">
        <v>4</v>
      </c>
      <c r="I4" s="547"/>
      <c r="J4" s="567"/>
      <c r="K4" s="547"/>
      <c r="L4" s="547"/>
      <c r="M4" s="547"/>
      <c r="N4" s="547"/>
      <c r="O4" s="547"/>
      <c r="P4" s="554" t="str">
        <f>"Showing: "&amp;MIS_Calc!$B$3&amp;"   •   School: "&amp;MIS_Calc!$B$4&amp;"   •   Latest data "&amp;MIS_Calc!$B$7&amp;"  (all 10 schools reported to "&amp;MIS_Calc!$B$9&amp;")"</f>
        <v>Showing: Sep-26   •   School: All Schools   •   Latest data Sep-26  (all 10 schools reported to Jul-26)</v>
      </c>
      <c r="Q4" s="547"/>
      <c r="R4" s="547"/>
      <c r="S4" s="547"/>
      <c r="T4" s="547"/>
      <c r="U4" s="547"/>
      <c r="V4" s="547"/>
      <c r="W4" s="547"/>
      <c r="X4" s="547"/>
      <c r="Y4" s="547"/>
      <c r="Z4" s="516"/>
    </row>
    <row r="5" spans="1:26" ht="26.1" customHeight="1" x14ac:dyDescent="0.25">
      <c r="A5" s="519" t="s">
        <v>5</v>
      </c>
      <c r="B5" s="583" t="s">
        <v>6</v>
      </c>
      <c r="C5" s="547"/>
      <c r="D5" s="563" t="s">
        <v>591</v>
      </c>
      <c r="E5" s="564"/>
      <c r="F5" s="564"/>
      <c r="G5" s="564"/>
      <c r="H5" s="583" t="s">
        <v>8</v>
      </c>
      <c r="I5" s="547"/>
      <c r="J5" s="563" t="s">
        <v>9</v>
      </c>
      <c r="K5" s="564"/>
      <c r="L5" s="564"/>
      <c r="M5" s="564"/>
      <c r="N5" s="564"/>
      <c r="O5" s="564"/>
      <c r="P5" s="574" t="s">
        <v>10</v>
      </c>
      <c r="Q5" s="547"/>
      <c r="R5" s="547"/>
      <c r="S5" s="547"/>
      <c r="T5" s="547"/>
      <c r="U5" s="547"/>
      <c r="V5" s="547"/>
      <c r="W5" s="547"/>
      <c r="X5" s="547"/>
      <c r="Y5" s="547"/>
      <c r="Z5" s="516"/>
    </row>
    <row r="6" spans="1:26" ht="8.1" customHeight="1" x14ac:dyDescent="0.25">
      <c r="A6" s="518"/>
      <c r="B6" s="516"/>
      <c r="C6" s="516"/>
      <c r="D6" s="516"/>
      <c r="E6" s="516"/>
      <c r="F6" s="516"/>
      <c r="G6" s="516"/>
      <c r="H6" s="516"/>
      <c r="I6" s="516"/>
      <c r="J6" s="516"/>
      <c r="K6" s="516"/>
      <c r="L6" s="516"/>
      <c r="M6" s="516"/>
      <c r="N6" s="516"/>
      <c r="O6" s="516"/>
      <c r="P6" s="516"/>
      <c r="Q6" s="516"/>
      <c r="R6" s="516"/>
      <c r="S6" s="516"/>
      <c r="T6" s="516"/>
      <c r="U6" s="516"/>
      <c r="V6" s="516"/>
      <c r="W6" s="516"/>
      <c r="X6" s="516"/>
      <c r="Y6" s="516"/>
      <c r="Z6" s="516"/>
    </row>
    <row r="7" spans="1:26" ht="17.100000000000001" customHeight="1" x14ac:dyDescent="0.25">
      <c r="A7" s="520" t="s">
        <v>11</v>
      </c>
      <c r="B7" s="585" t="s">
        <v>12</v>
      </c>
      <c r="C7" s="586"/>
      <c r="D7" s="586"/>
      <c r="E7" s="586"/>
      <c r="F7" s="590" t="s">
        <v>13</v>
      </c>
      <c r="G7" s="591"/>
      <c r="H7" s="591"/>
      <c r="I7" s="591"/>
      <c r="J7" s="581" t="s">
        <v>14</v>
      </c>
      <c r="K7" s="582"/>
      <c r="L7" s="582"/>
      <c r="M7" s="582"/>
      <c r="N7" s="587" t="s">
        <v>15</v>
      </c>
      <c r="O7" s="588"/>
      <c r="P7" s="588"/>
      <c r="Q7" s="588"/>
      <c r="R7" s="585" t="s">
        <v>16</v>
      </c>
      <c r="S7" s="586"/>
      <c r="T7" s="586"/>
      <c r="U7" s="586"/>
      <c r="V7" s="570" t="s">
        <v>17</v>
      </c>
      <c r="W7" s="571"/>
      <c r="X7" s="571"/>
      <c r="Y7" s="571"/>
      <c r="Z7" s="516"/>
    </row>
    <row r="8" spans="1:26" ht="32.1" customHeight="1" x14ac:dyDescent="0.25">
      <c r="A8" s="518"/>
      <c r="B8" s="603">
        <f>IF(MIS_Calc!$E$292="","NO DATA",MIS_Calc!$E$292)</f>
        <v>20775</v>
      </c>
      <c r="C8" s="561"/>
      <c r="D8" s="561"/>
      <c r="E8" s="561"/>
      <c r="F8" s="594">
        <f>IF(MIS_Calc!$E$293="","NO DATA",MIS_Calc!$E$293/100000)</f>
        <v>2.5623800000000001</v>
      </c>
      <c r="G8" s="561"/>
      <c r="H8" s="561"/>
      <c r="I8" s="561"/>
      <c r="J8" s="575">
        <f>IF(MIS_Calc!$E$294="","NO DATA",MIS_Calc!$E$294)</f>
        <v>7494</v>
      </c>
      <c r="K8" s="561"/>
      <c r="L8" s="561"/>
      <c r="M8" s="561"/>
      <c r="N8" s="593">
        <f>IF(MIS_Calc!$E$295="","NO DATA",MIS_Calc!$E$295/1000)</f>
        <v>3046.3760000000002</v>
      </c>
      <c r="O8" s="561"/>
      <c r="P8" s="561"/>
      <c r="Q8" s="561"/>
      <c r="R8" s="573">
        <f>IF(MIS_Calc!$E$304="","NO DATA",MIS_Calc!$E$304)</f>
        <v>15.931262420248927</v>
      </c>
      <c r="S8" s="561"/>
      <c r="T8" s="561"/>
      <c r="U8" s="561"/>
      <c r="V8" s="589">
        <f>IF(MIS_Calc!$E$306="","NO DATA",MIS_Calc!$E$306)</f>
        <v>6.461897356143079</v>
      </c>
      <c r="W8" s="561"/>
      <c r="X8" s="561"/>
      <c r="Y8" s="561"/>
      <c r="Z8" s="516"/>
    </row>
    <row r="9" spans="1:26" ht="15.95" customHeight="1" x14ac:dyDescent="0.25">
      <c r="A9" s="520" t="s">
        <v>18</v>
      </c>
      <c r="B9" s="598" t="str">
        <f>IF(MIS_Calc!$E$292="","no data for this selection",IF(MIS_Calc!$B$5=13,"Avg/month "&amp;TEXT(MIS_Calc!$H$292,"#,##0")&amp;"  •  "&amp;MIS_Calc!$K$292&amp;" months logged",IF(MIS_Calc!$I$292="","vs prev month –","vs prev month "&amp;TEXT(MIS_Calc!$I$292,"+0%;-0%;0%"))&amp;IF(MIS_Calc!$B$6=11,"  •  "&amp;MIS_Calc!$K$292&amp;" of 10 schools reported","")))</f>
        <v>vs prev month -65%  •  5 of 10 schools reported</v>
      </c>
      <c r="C9" s="558"/>
      <c r="D9" s="558"/>
      <c r="E9" s="558"/>
      <c r="F9" s="568" t="str">
        <f>IF(MIS_Calc!$E$293="","no data for this selection",IF(MIS_Calc!$E$305="","","₹"&amp;TEXT(MIS_Calc!$E$305,"0.00")&amp;"/kWh  •  ")&amp;IF(MIS_Calc!$B$5=13,"Avg/month ₹"&amp;TEXT(MIS_Calc!$H$293/100000,"0.0")&amp;" L",IF(MIS_Calc!$I$293="","vs prev month –","vs prev month "&amp;TEXT(MIS_Calc!$I$293,"+0%;-0%;0%"))))</f>
        <v>₹12.33/kWh  •  vs prev month -63%</v>
      </c>
      <c r="G9" s="558"/>
      <c r="H9" s="558"/>
      <c r="I9" s="558"/>
      <c r="J9" s="559" t="str">
        <f>IF(MIS_Calc!$E$294="","no data for this selection",IF(MIS_Calc!$B$5=13,"Avg/month "&amp;TEXT(MIS_Calc!$H$294,"#,##0"),IF(MIS_Calc!$I$294="","vs prev month –","vs prev month "&amp;TEXT(MIS_Calc!$I$294,"+0%;-0%;0%")))&amp;IF(MIS_Calc!$B$6=11,"  •  sites: AKSM, AKSC, AKHH",""))</f>
        <v>vs prev month -75%  •  sites: AKSM, AKSC, AKHH</v>
      </c>
      <c r="K9" s="558"/>
      <c r="L9" s="558"/>
      <c r="M9" s="558"/>
      <c r="N9" s="557" t="str">
        <f>IF(MIS_Calc!$E$295="","no data for this selection",IF(MIS_Calc!$B$5=13,"Avg/month "&amp;TEXT(MIS_Calc!$H$295/1000,"#,##0")&amp;"  •  "&amp;MIS_Calc!$K$295&amp;" months logged",IF(MIS_Calc!$I$295="","vs prev month –","vs prev month "&amp;TEXT(MIS_Calc!$I$295,"+0%;-0%;0%"))&amp;IF(MIS_Calc!$B$6=11,"  •  "&amp;MIS_Calc!$K$295&amp;" of 10 schools reported","")))</f>
        <v>vs prev month -9%  •  8 of 10 schools reported</v>
      </c>
      <c r="O9" s="558"/>
      <c r="P9" s="558"/>
      <c r="Q9" s="558"/>
      <c r="R9" s="598" t="str">
        <f>IF(MIS_Calc!$E$304="","no data for this selection","Pupils "&amp;TEXT(MIS_Calc!$E$296,"#,##0")&amp;"  •  2026 YTD "&amp;IF(MIS_Calc!$G$304="","–",TEXT(MIS_Calc!$G$304,"0.0"))&amp;" L")</f>
        <v>Pupils 6,374  •  2026 YTD 14.5 L</v>
      </c>
      <c r="S9" s="558"/>
      <c r="T9" s="558"/>
      <c r="U9" s="558"/>
      <c r="V9" s="580" t="str">
        <f>IF(MIS_Calc!$E$306="","no data for this selection","2026 YTD "&amp;IF(MIS_Calc!$G$306="","–",TEXT(MIS_Calc!$G$306,"0.0"))&amp;"  •  bill ₹"&amp;IFERROR(TEXT(MIS_Calc!$E$293/MIS_Calc!$E$298,"#,##0"),"–")&amp;" per pupil")</f>
        <v>2026 YTD 6.9  •  bill ₹80 per pupil</v>
      </c>
      <c r="W9" s="558"/>
      <c r="X9" s="558"/>
      <c r="Y9" s="558"/>
      <c r="Z9" s="516"/>
    </row>
    <row r="10" spans="1:26" ht="6" customHeight="1" x14ac:dyDescent="0.25">
      <c r="A10" s="518"/>
      <c r="B10" s="516"/>
      <c r="C10" s="516"/>
      <c r="D10" s="516"/>
      <c r="E10" s="516"/>
      <c r="F10" s="516"/>
      <c r="G10" s="516"/>
      <c r="H10" s="516"/>
      <c r="I10" s="516"/>
      <c r="J10" s="516"/>
      <c r="K10" s="516"/>
      <c r="L10" s="516"/>
      <c r="M10" s="516"/>
      <c r="N10" s="516"/>
      <c r="O10" s="516"/>
      <c r="P10" s="516"/>
      <c r="Q10" s="516"/>
      <c r="R10" s="516"/>
      <c r="S10" s="516"/>
      <c r="T10" s="516"/>
      <c r="U10" s="516"/>
      <c r="V10" s="516"/>
      <c r="W10" s="516"/>
      <c r="X10" s="516"/>
      <c r="Y10" s="516"/>
      <c r="Z10" s="516"/>
    </row>
    <row r="11" spans="1:26" ht="17.100000000000001" customHeight="1" x14ac:dyDescent="0.25">
      <c r="A11" s="520" t="s">
        <v>19</v>
      </c>
      <c r="B11" s="576" t="s">
        <v>20</v>
      </c>
      <c r="C11" s="577"/>
      <c r="D11" s="577"/>
      <c r="E11" s="577"/>
      <c r="F11" s="590" t="s">
        <v>21</v>
      </c>
      <c r="G11" s="591"/>
      <c r="H11" s="591"/>
      <c r="I11" s="591"/>
      <c r="J11" s="581" t="s">
        <v>22</v>
      </c>
      <c r="K11" s="582"/>
      <c r="L11" s="582"/>
      <c r="M11" s="582"/>
      <c r="N11" s="552" t="s">
        <v>23</v>
      </c>
      <c r="O11" s="553"/>
      <c r="P11" s="553"/>
      <c r="Q11" s="553"/>
      <c r="R11" s="587" t="s">
        <v>24</v>
      </c>
      <c r="S11" s="588"/>
      <c r="T11" s="588"/>
      <c r="U11" s="588"/>
      <c r="V11" s="570" t="s">
        <v>25</v>
      </c>
      <c r="W11" s="571"/>
      <c r="X11" s="571"/>
      <c r="Y11" s="571"/>
      <c r="Z11" s="516"/>
    </row>
    <row r="12" spans="1:26" ht="32.1" customHeight="1" x14ac:dyDescent="0.25">
      <c r="A12" s="518"/>
      <c r="B12" s="560">
        <f>IF(MIS_Calc!$E$299="","NO DATA",MIS_Calc!$E$299)</f>
        <v>96</v>
      </c>
      <c r="C12" s="561"/>
      <c r="D12" s="561"/>
      <c r="E12" s="561"/>
      <c r="F12" s="602">
        <f>IF(MIS_Calc!$E$300="","NO DATA",MIS_Calc!$E$300/1000)</f>
        <v>75.727999999999994</v>
      </c>
      <c r="G12" s="561"/>
      <c r="H12" s="561"/>
      <c r="I12" s="561"/>
      <c r="J12" s="575">
        <f>IF(MIS_Calc!$E$302="","NO DATA",MIS_Calc!$E$302)</f>
        <v>60</v>
      </c>
      <c r="K12" s="561"/>
      <c r="L12" s="561"/>
      <c r="M12" s="561"/>
      <c r="N12" s="562">
        <f>MIS_Calc!$C$367+MIS_Calc!$C$368+MIS_Calc!$C$369</f>
        <v>16</v>
      </c>
      <c r="O12" s="561"/>
      <c r="P12" s="561"/>
      <c r="Q12" s="561"/>
      <c r="R12" s="565">
        <f>MIS_Calc!$C$378</f>
        <v>94</v>
      </c>
      <c r="S12" s="561"/>
      <c r="T12" s="561"/>
      <c r="U12" s="561"/>
      <c r="V12" s="601">
        <f>IF(MIS_Calc!$E$307="","NO DATA",MIS_Calc!$E$307)</f>
        <v>0.65</v>
      </c>
      <c r="W12" s="561"/>
      <c r="X12" s="561"/>
      <c r="Y12" s="561"/>
      <c r="Z12" s="516"/>
    </row>
    <row r="13" spans="1:26" ht="15.95" customHeight="1" x14ac:dyDescent="0.25">
      <c r="A13" s="520" t="s">
        <v>26</v>
      </c>
      <c r="B13" s="566" t="str">
        <f>IF(MIS_Calc!$E$299="","no data for this selection",IF(MIS_Calc!$B$5=13,"Avg/month "&amp;TEXT(MIS_Calc!$H$299,"#,##0"),IF(MIS_Calc!$I$299="","vs prev month –","vs prev month "&amp;TEXT(MIS_Calc!$I$299,"+0%;-0%;0%")))&amp;IF(OR(MIS_Calc!$B$6=6,MIS_Calc!$B$6=7),"  •  DJHSH PRI + HS combined",""))</f>
        <v>vs prev month -26%</v>
      </c>
      <c r="C13" s="558"/>
      <c r="D13" s="558"/>
      <c r="E13" s="558"/>
      <c r="F13" s="568" t="str">
        <f>IF(MIS_Calc!$E$300="","no data for this selection",IF(MIS_Calc!$B$5=13,"Avg/month ₹"&amp;TEXT(MIS_Calc!$H$300/1000,"#,##0.0")&amp;"k",IF(MIS_Calc!$I$300="","vs prev month –","vs prev month "&amp;TEXT(MIS_Calc!$I$300,"+0%;-0%;0%")))&amp;"  •  2026 YTD ₹"&amp;TEXT(MIS_Calc!$G$300/100000,"0.0")&amp;" L")</f>
        <v>vs prev month -57%  •  2026 YTD ₹16.0 L</v>
      </c>
      <c r="G13" s="558"/>
      <c r="H13" s="558"/>
      <c r="I13" s="558"/>
      <c r="J13" s="559" t="str">
        <f>IF(MIS_Calc!$E$302="","no generator log for this selection","Units "&amp;IF(MIS_Calc!$E$301="","–",TEXT(MIS_Calc!$E$301,"#,##0"))&amp;" kWh  •  run "&amp;IF(MIS_Calc!$E$303="","–",TEXT(MIS_Calc!$E$303,"0.0"))&amp;" h"&amp;IF(MIS_Calc!$B$6=11,"  •  3 generators",""))</f>
        <v>Units 149 kWh  •  run 29.1 h  •  3 generators</v>
      </c>
      <c r="K13" s="558"/>
      <c r="L13" s="558"/>
      <c r="M13" s="558"/>
      <c r="N13" s="584" t="str">
        <f>"Expired "&amp;MIS_Calc!$C$370&amp;"  •  due ≤90 d "&amp;(MIS_Calc!$C$368+MIS_Calc!$C$369)&amp;"  •  incomplete "&amp;MIS_Calc!$C$371&amp;" of "&amp;MIS_Calc!$C$373</f>
        <v>Expired 12  •  due ≤90 d 4  •  incomplete 42 of 71</v>
      </c>
      <c r="O13" s="558"/>
      <c r="P13" s="558"/>
      <c r="Q13" s="558"/>
      <c r="R13" s="557" t="str">
        <f>"of "&amp;MIS_Calc!$C$380&amp;" results  •  drinking / RO points "&amp;MIS_Calc!$C$379</f>
        <v>of 532 results  •  drinking / RO points 4</v>
      </c>
      <c r="S13" s="558"/>
      <c r="T13" s="558"/>
      <c r="U13" s="558"/>
      <c r="V13" s="580" t="str">
        <f>IF(MIS_Calc!$B$5=13,"Jan-26 to "&amp;MIS_Calc!$B$7&amp;"  •  electricity + water","Electricity "&amp;MIS_Calc!$F$307&amp;"/10  •  water "&amp;MIS_Calc!$G$307&amp;"/10 schools")</f>
        <v>Electricity 5/10  •  water 8/10 schools</v>
      </c>
      <c r="W13" s="558"/>
      <c r="X13" s="558"/>
      <c r="Y13" s="558"/>
      <c r="Z13" s="516"/>
    </row>
    <row r="14" spans="1:26" ht="8.1" customHeight="1" x14ac:dyDescent="0.25">
      <c r="A14" s="518"/>
      <c r="B14" s="516"/>
      <c r="C14" s="516"/>
      <c r="D14" s="516"/>
      <c r="E14" s="516"/>
      <c r="F14" s="516"/>
      <c r="G14" s="516"/>
      <c r="H14" s="516"/>
      <c r="I14" s="516"/>
      <c r="J14" s="516"/>
      <c r="K14" s="516"/>
      <c r="L14" s="516"/>
      <c r="M14" s="516"/>
      <c r="N14" s="516"/>
      <c r="O14" s="516"/>
      <c r="P14" s="516"/>
      <c r="Q14" s="516"/>
      <c r="R14" s="516"/>
      <c r="S14" s="516"/>
      <c r="T14" s="516"/>
      <c r="U14" s="516"/>
      <c r="V14" s="516"/>
      <c r="W14" s="516"/>
      <c r="X14" s="516"/>
      <c r="Y14" s="516"/>
      <c r="Z14" s="516"/>
    </row>
    <row r="15" spans="1:26" ht="15" customHeight="1" x14ac:dyDescent="0.25">
      <c r="A15" s="520" t="s">
        <v>27</v>
      </c>
      <c r="B15" s="516"/>
      <c r="C15" s="516"/>
      <c r="D15" s="516"/>
      <c r="E15" s="516"/>
      <c r="F15" s="516"/>
      <c r="G15" s="516"/>
      <c r="H15" s="516"/>
      <c r="I15" s="516"/>
      <c r="J15" s="516"/>
      <c r="K15" s="516"/>
      <c r="L15" s="516"/>
      <c r="M15" s="516"/>
      <c r="N15" s="516"/>
      <c r="O15" s="516"/>
      <c r="P15" s="516"/>
      <c r="Q15" s="516"/>
      <c r="R15" s="516"/>
      <c r="S15" s="516"/>
      <c r="T15" s="516"/>
      <c r="U15" s="516"/>
      <c r="V15" s="516"/>
      <c r="W15" s="516"/>
      <c r="X15" s="516"/>
      <c r="Y15" s="516"/>
      <c r="Z15" s="516"/>
    </row>
    <row r="16" spans="1:26" ht="15" customHeight="1" x14ac:dyDescent="0.25">
      <c r="A16" s="518"/>
      <c r="B16" s="516"/>
      <c r="C16" s="516"/>
      <c r="D16" s="516"/>
      <c r="E16" s="516"/>
      <c r="F16" s="516"/>
      <c r="G16" s="516"/>
      <c r="H16" s="516"/>
      <c r="I16" s="516"/>
      <c r="J16" s="516"/>
      <c r="K16" s="516"/>
      <c r="L16" s="516"/>
      <c r="M16" s="516"/>
      <c r="N16" s="516"/>
      <c r="O16" s="516"/>
      <c r="P16" s="516"/>
      <c r="Q16" s="516"/>
      <c r="R16" s="516"/>
      <c r="S16" s="516"/>
      <c r="T16" s="516"/>
      <c r="U16" s="516"/>
      <c r="V16" s="516"/>
      <c r="W16" s="516"/>
      <c r="X16" s="516"/>
      <c r="Y16" s="516"/>
      <c r="Z16" s="516"/>
    </row>
    <row r="17" spans="1:26" ht="15" customHeight="1" x14ac:dyDescent="0.25">
      <c r="A17" s="520" t="s">
        <v>28</v>
      </c>
      <c r="B17" s="516"/>
      <c r="C17" s="516"/>
      <c r="D17" s="516"/>
      <c r="E17" s="516"/>
      <c r="F17" s="516"/>
      <c r="G17" s="516"/>
      <c r="H17" s="516"/>
      <c r="I17" s="516"/>
      <c r="J17" s="516"/>
      <c r="K17" s="516"/>
      <c r="L17" s="516"/>
      <c r="M17" s="516"/>
      <c r="N17" s="516"/>
      <c r="O17" s="516"/>
      <c r="P17" s="516"/>
      <c r="Q17" s="516"/>
      <c r="R17" s="516"/>
      <c r="S17" s="516"/>
      <c r="T17" s="516"/>
      <c r="U17" s="516"/>
      <c r="V17" s="516"/>
      <c r="W17" s="516"/>
      <c r="X17" s="516"/>
      <c r="Y17" s="516"/>
      <c r="Z17" s="516"/>
    </row>
    <row r="18" spans="1:26" ht="15" customHeight="1" x14ac:dyDescent="0.25">
      <c r="A18" s="518"/>
      <c r="B18" s="516"/>
      <c r="C18" s="516"/>
      <c r="D18" s="516"/>
      <c r="E18" s="516"/>
      <c r="F18" s="516"/>
      <c r="G18" s="516"/>
      <c r="H18" s="516"/>
      <c r="I18" s="516"/>
      <c r="J18" s="516"/>
      <c r="K18" s="516"/>
      <c r="L18" s="516"/>
      <c r="M18" s="516"/>
      <c r="N18" s="516"/>
      <c r="O18" s="516"/>
      <c r="P18" s="516"/>
      <c r="Q18" s="516"/>
      <c r="R18" s="516"/>
      <c r="S18" s="516"/>
      <c r="T18" s="516"/>
      <c r="U18" s="516"/>
      <c r="V18" s="516"/>
      <c r="W18" s="516"/>
      <c r="X18" s="516"/>
      <c r="Y18" s="516"/>
      <c r="Z18" s="516"/>
    </row>
    <row r="19" spans="1:26" ht="15" customHeight="1" x14ac:dyDescent="0.25">
      <c r="A19" s="520" t="s">
        <v>29</v>
      </c>
      <c r="B19" s="516"/>
      <c r="C19" s="516"/>
      <c r="D19" s="516"/>
      <c r="E19" s="516"/>
      <c r="F19" s="516"/>
      <c r="G19" s="516"/>
      <c r="H19" s="516"/>
      <c r="I19" s="516"/>
      <c r="J19" s="516"/>
      <c r="K19" s="516"/>
      <c r="L19" s="516"/>
      <c r="M19" s="516"/>
      <c r="N19" s="516"/>
      <c r="O19" s="516"/>
      <c r="P19" s="516"/>
      <c r="Q19" s="516"/>
      <c r="R19" s="516"/>
      <c r="S19" s="516"/>
      <c r="T19" s="516"/>
      <c r="U19" s="516"/>
      <c r="V19" s="516"/>
      <c r="W19" s="516"/>
      <c r="X19" s="516"/>
      <c r="Y19" s="516"/>
      <c r="Z19" s="516"/>
    </row>
    <row r="20" spans="1:26" ht="15" customHeight="1" x14ac:dyDescent="0.25">
      <c r="A20" s="518"/>
      <c r="B20" s="516"/>
      <c r="C20" s="516"/>
      <c r="D20" s="516"/>
      <c r="E20" s="516"/>
      <c r="F20" s="516"/>
      <c r="G20" s="516"/>
      <c r="H20" s="516"/>
      <c r="I20" s="516"/>
      <c r="J20" s="516"/>
      <c r="K20" s="516"/>
      <c r="L20" s="516"/>
      <c r="M20" s="516"/>
      <c r="N20" s="516"/>
      <c r="O20" s="516"/>
      <c r="P20" s="516"/>
      <c r="Q20" s="516"/>
      <c r="R20" s="516"/>
      <c r="S20" s="516"/>
      <c r="T20" s="516"/>
      <c r="U20" s="516"/>
      <c r="V20" s="516"/>
      <c r="W20" s="516"/>
      <c r="X20" s="516"/>
      <c r="Y20" s="516"/>
      <c r="Z20" s="516"/>
    </row>
    <row r="21" spans="1:26" ht="15" customHeight="1" x14ac:dyDescent="0.25">
      <c r="A21" s="520" t="s">
        <v>30</v>
      </c>
      <c r="B21" s="516"/>
      <c r="C21" s="516"/>
      <c r="D21" s="516"/>
      <c r="E21" s="516"/>
      <c r="F21" s="516"/>
      <c r="G21" s="516"/>
      <c r="H21" s="516"/>
      <c r="I21" s="516"/>
      <c r="J21" s="516"/>
      <c r="K21" s="516"/>
      <c r="L21" s="516"/>
      <c r="M21" s="516"/>
      <c r="N21" s="516"/>
      <c r="O21" s="516"/>
      <c r="P21" s="516"/>
      <c r="Q21" s="516"/>
      <c r="R21" s="516"/>
      <c r="S21" s="516"/>
      <c r="T21" s="516"/>
      <c r="U21" s="516"/>
      <c r="V21" s="516"/>
      <c r="W21" s="516"/>
      <c r="X21" s="516"/>
      <c r="Y21" s="516"/>
      <c r="Z21" s="516"/>
    </row>
    <row r="22" spans="1:26" ht="15" customHeight="1" x14ac:dyDescent="0.25">
      <c r="A22" s="518"/>
      <c r="B22" s="516"/>
      <c r="C22" s="516"/>
      <c r="D22" s="516"/>
      <c r="E22" s="516"/>
      <c r="F22" s="516"/>
      <c r="G22" s="516"/>
      <c r="H22" s="516"/>
      <c r="I22" s="516"/>
      <c r="J22" s="516"/>
      <c r="K22" s="516"/>
      <c r="L22" s="516"/>
      <c r="M22" s="516"/>
      <c r="N22" s="516"/>
      <c r="O22" s="516"/>
      <c r="P22" s="516"/>
      <c r="Q22" s="516"/>
      <c r="R22" s="516"/>
      <c r="S22" s="516"/>
      <c r="T22" s="516"/>
      <c r="U22" s="516"/>
      <c r="V22" s="516"/>
      <c r="W22" s="516"/>
      <c r="X22" s="516"/>
      <c r="Y22" s="516"/>
      <c r="Z22" s="516"/>
    </row>
    <row r="23" spans="1:26" ht="15" customHeight="1" x14ac:dyDescent="0.25">
      <c r="A23" s="520" t="s">
        <v>31</v>
      </c>
      <c r="B23" s="516"/>
      <c r="C23" s="516"/>
      <c r="D23" s="516"/>
      <c r="E23" s="516"/>
      <c r="F23" s="516"/>
      <c r="G23" s="516"/>
      <c r="H23" s="516"/>
      <c r="I23" s="516"/>
      <c r="J23" s="516"/>
      <c r="K23" s="516"/>
      <c r="L23" s="516"/>
      <c r="M23" s="516"/>
      <c r="N23" s="516"/>
      <c r="O23" s="516"/>
      <c r="P23" s="516"/>
      <c r="Q23" s="516"/>
      <c r="R23" s="516"/>
      <c r="S23" s="516"/>
      <c r="T23" s="516"/>
      <c r="U23" s="516"/>
      <c r="V23" s="516"/>
      <c r="W23" s="516"/>
      <c r="X23" s="516"/>
      <c r="Y23" s="516"/>
      <c r="Z23" s="516"/>
    </row>
    <row r="24" spans="1:26" ht="15" customHeight="1" x14ac:dyDescent="0.25">
      <c r="A24" s="518"/>
      <c r="B24" s="516"/>
      <c r="C24" s="516"/>
      <c r="D24" s="516"/>
      <c r="E24" s="516"/>
      <c r="F24" s="516"/>
      <c r="G24" s="516"/>
      <c r="H24" s="516"/>
      <c r="I24" s="516"/>
      <c r="J24" s="516"/>
      <c r="K24" s="516"/>
      <c r="L24" s="516"/>
      <c r="M24" s="516"/>
      <c r="N24" s="516"/>
      <c r="O24" s="516"/>
      <c r="P24" s="516"/>
      <c r="Q24" s="516"/>
      <c r="R24" s="516"/>
      <c r="S24" s="516"/>
      <c r="T24" s="516"/>
      <c r="U24" s="516"/>
      <c r="V24" s="516"/>
      <c r="W24" s="516"/>
      <c r="X24" s="516"/>
      <c r="Y24" s="516"/>
      <c r="Z24" s="516"/>
    </row>
    <row r="25" spans="1:26" ht="15" customHeight="1" x14ac:dyDescent="0.25">
      <c r="A25" s="520" t="s">
        <v>32</v>
      </c>
      <c r="B25" s="516"/>
      <c r="C25" s="516"/>
      <c r="D25" s="516"/>
      <c r="E25" s="516"/>
      <c r="F25" s="516"/>
      <c r="G25" s="516"/>
      <c r="H25" s="516"/>
      <c r="I25" s="516"/>
      <c r="J25" s="516"/>
      <c r="K25" s="516"/>
      <c r="L25" s="516"/>
      <c r="M25" s="516"/>
      <c r="N25" s="516"/>
      <c r="O25" s="516"/>
      <c r="P25" s="516"/>
      <c r="Q25" s="516"/>
      <c r="R25" s="516"/>
      <c r="S25" s="516"/>
      <c r="T25" s="516"/>
      <c r="U25" s="516"/>
      <c r="V25" s="516"/>
      <c r="W25" s="516"/>
      <c r="X25" s="516"/>
      <c r="Y25" s="516"/>
      <c r="Z25" s="516"/>
    </row>
    <row r="26" spans="1:26" ht="15" customHeight="1" x14ac:dyDescent="0.25">
      <c r="A26" s="518"/>
      <c r="B26" s="516"/>
      <c r="C26" s="516"/>
      <c r="D26" s="516"/>
      <c r="E26" s="516"/>
      <c r="F26" s="516"/>
      <c r="G26" s="516"/>
      <c r="H26" s="516"/>
      <c r="I26" s="516"/>
      <c r="J26" s="516"/>
      <c r="K26" s="516"/>
      <c r="L26" s="516"/>
      <c r="M26" s="516"/>
      <c r="N26" s="516"/>
      <c r="O26" s="516"/>
      <c r="P26" s="516"/>
      <c r="Q26" s="516"/>
      <c r="R26" s="516"/>
      <c r="S26" s="516"/>
      <c r="T26" s="516"/>
      <c r="U26" s="516"/>
      <c r="V26" s="516"/>
      <c r="W26" s="516"/>
      <c r="X26" s="516"/>
      <c r="Y26" s="516"/>
      <c r="Z26" s="516"/>
    </row>
    <row r="27" spans="1:26" ht="15" customHeight="1" x14ac:dyDescent="0.25">
      <c r="A27" s="520" t="s">
        <v>33</v>
      </c>
      <c r="B27" s="516"/>
      <c r="C27" s="516"/>
      <c r="D27" s="516"/>
      <c r="E27" s="516"/>
      <c r="F27" s="516"/>
      <c r="G27" s="516"/>
      <c r="H27" s="516"/>
      <c r="I27" s="516"/>
      <c r="J27" s="516"/>
      <c r="K27" s="516"/>
      <c r="L27" s="516"/>
      <c r="M27" s="516"/>
      <c r="N27" s="516"/>
      <c r="O27" s="516"/>
      <c r="P27" s="516"/>
      <c r="Q27" s="516"/>
      <c r="R27" s="516"/>
      <c r="S27" s="516"/>
      <c r="T27" s="516"/>
      <c r="U27" s="516"/>
      <c r="V27" s="516"/>
      <c r="W27" s="516"/>
      <c r="X27" s="516"/>
      <c r="Y27" s="516"/>
      <c r="Z27" s="516"/>
    </row>
    <row r="28" spans="1:26" ht="15" customHeight="1" x14ac:dyDescent="0.25">
      <c r="A28" s="518"/>
      <c r="B28" s="516"/>
      <c r="C28" s="516"/>
      <c r="D28" s="516"/>
      <c r="E28" s="516"/>
      <c r="F28" s="516"/>
      <c r="G28" s="516"/>
      <c r="H28" s="516"/>
      <c r="I28" s="516"/>
      <c r="J28" s="516"/>
      <c r="K28" s="516"/>
      <c r="L28" s="516"/>
      <c r="M28" s="516"/>
      <c r="N28" s="516"/>
      <c r="O28" s="516"/>
      <c r="P28" s="516"/>
      <c r="Q28" s="516"/>
      <c r="R28" s="516"/>
      <c r="S28" s="516"/>
      <c r="T28" s="516"/>
      <c r="U28" s="516"/>
      <c r="V28" s="516"/>
      <c r="W28" s="516"/>
      <c r="X28" s="516"/>
      <c r="Y28" s="516"/>
      <c r="Z28" s="516"/>
    </row>
    <row r="29" spans="1:26" ht="15" customHeight="1" x14ac:dyDescent="0.25">
      <c r="A29" s="520" t="s">
        <v>34</v>
      </c>
      <c r="B29" s="516"/>
      <c r="C29" s="516"/>
      <c r="D29" s="516"/>
      <c r="E29" s="516"/>
      <c r="F29" s="516"/>
      <c r="G29" s="516"/>
      <c r="H29" s="516"/>
      <c r="I29" s="516"/>
      <c r="J29" s="516"/>
      <c r="K29" s="516"/>
      <c r="L29" s="516"/>
      <c r="M29" s="516"/>
      <c r="N29" s="516"/>
      <c r="O29" s="516"/>
      <c r="P29" s="516"/>
      <c r="Q29" s="516"/>
      <c r="R29" s="516"/>
      <c r="S29" s="516"/>
      <c r="T29" s="516"/>
      <c r="U29" s="516"/>
      <c r="V29" s="516"/>
      <c r="W29" s="516"/>
      <c r="X29" s="516"/>
      <c r="Y29" s="516"/>
      <c r="Z29" s="516"/>
    </row>
    <row r="30" spans="1:26" ht="15" customHeight="1" x14ac:dyDescent="0.25">
      <c r="A30" s="518"/>
      <c r="B30" s="516"/>
      <c r="C30" s="516"/>
      <c r="D30" s="516"/>
      <c r="E30" s="516"/>
      <c r="F30" s="516"/>
      <c r="G30" s="516"/>
      <c r="H30" s="516"/>
      <c r="I30" s="516"/>
      <c r="J30" s="516"/>
      <c r="K30" s="516"/>
      <c r="L30" s="516"/>
      <c r="M30" s="516"/>
      <c r="N30" s="516"/>
      <c r="O30" s="516"/>
      <c r="P30" s="516"/>
      <c r="Q30" s="516"/>
      <c r="R30" s="516"/>
      <c r="S30" s="516"/>
      <c r="T30" s="516"/>
      <c r="U30" s="516"/>
      <c r="V30" s="516"/>
      <c r="W30" s="516"/>
      <c r="X30" s="516"/>
      <c r="Y30" s="516"/>
      <c r="Z30" s="516"/>
    </row>
    <row r="31" spans="1:26" ht="15" customHeight="1" x14ac:dyDescent="0.25">
      <c r="A31" s="518"/>
      <c r="B31" s="516"/>
      <c r="C31" s="516"/>
      <c r="D31" s="516"/>
      <c r="E31" s="516"/>
      <c r="F31" s="516"/>
      <c r="G31" s="516"/>
      <c r="H31" s="516"/>
      <c r="I31" s="516"/>
      <c r="J31" s="516"/>
      <c r="K31" s="516"/>
      <c r="L31" s="516"/>
      <c r="M31" s="516"/>
      <c r="N31" s="516"/>
      <c r="O31" s="516"/>
      <c r="P31" s="516"/>
      <c r="Q31" s="516"/>
      <c r="R31" s="516"/>
      <c r="S31" s="516"/>
      <c r="T31" s="516"/>
      <c r="U31" s="516"/>
      <c r="V31" s="516"/>
      <c r="W31" s="516"/>
      <c r="X31" s="516"/>
      <c r="Y31" s="516"/>
      <c r="Z31" s="516"/>
    </row>
    <row r="32" spans="1:26" ht="15" customHeight="1" x14ac:dyDescent="0.25">
      <c r="A32" s="518"/>
      <c r="B32" s="516"/>
      <c r="C32" s="516"/>
      <c r="D32" s="516"/>
      <c r="E32" s="516"/>
      <c r="F32" s="516"/>
      <c r="G32" s="516"/>
      <c r="H32" s="516"/>
      <c r="I32" s="516"/>
      <c r="J32" s="516"/>
      <c r="K32" s="516"/>
      <c r="L32" s="516"/>
      <c r="M32" s="516"/>
      <c r="N32" s="516"/>
      <c r="O32" s="516"/>
      <c r="P32" s="516"/>
      <c r="Q32" s="516"/>
      <c r="R32" s="516"/>
      <c r="S32" s="516"/>
      <c r="T32" s="516"/>
      <c r="U32" s="516"/>
      <c r="V32" s="516"/>
      <c r="W32" s="516"/>
      <c r="X32" s="516"/>
      <c r="Y32" s="516"/>
      <c r="Z32" s="516"/>
    </row>
    <row r="33" spans="1:26" ht="15" customHeight="1" x14ac:dyDescent="0.25">
      <c r="A33" s="518"/>
      <c r="B33" s="516"/>
      <c r="C33" s="516"/>
      <c r="D33" s="516"/>
      <c r="E33" s="516"/>
      <c r="F33" s="516"/>
      <c r="G33" s="516"/>
      <c r="H33" s="516"/>
      <c r="I33" s="516"/>
      <c r="J33" s="516"/>
      <c r="K33" s="516"/>
      <c r="L33" s="516"/>
      <c r="M33" s="516"/>
      <c r="N33" s="516"/>
      <c r="O33" s="516"/>
      <c r="P33" s="516"/>
      <c r="Q33" s="516"/>
      <c r="R33" s="516"/>
      <c r="S33" s="516"/>
      <c r="T33" s="516"/>
      <c r="U33" s="516"/>
      <c r="V33" s="516"/>
      <c r="W33" s="516"/>
      <c r="X33" s="516"/>
      <c r="Y33" s="516"/>
      <c r="Z33" s="516"/>
    </row>
    <row r="34" spans="1:26" ht="15" customHeight="1" x14ac:dyDescent="0.25">
      <c r="A34" s="518"/>
      <c r="B34" s="516"/>
      <c r="C34" s="516"/>
      <c r="D34" s="516"/>
      <c r="E34" s="516"/>
      <c r="F34" s="516"/>
      <c r="G34" s="516"/>
      <c r="H34" s="516"/>
      <c r="I34" s="516"/>
      <c r="J34" s="516"/>
      <c r="K34" s="516"/>
      <c r="L34" s="516"/>
      <c r="M34" s="516"/>
      <c r="N34" s="516"/>
      <c r="O34" s="516"/>
      <c r="P34" s="516"/>
      <c r="Q34" s="516"/>
      <c r="R34" s="516"/>
      <c r="S34" s="516"/>
      <c r="T34" s="516"/>
      <c r="U34" s="516"/>
      <c r="V34" s="516"/>
      <c r="W34" s="516"/>
      <c r="X34" s="516"/>
      <c r="Y34" s="516"/>
      <c r="Z34" s="516"/>
    </row>
    <row r="35" spans="1:26" ht="15" customHeight="1" x14ac:dyDescent="0.25">
      <c r="A35" s="518"/>
      <c r="B35" s="516"/>
      <c r="C35" s="516"/>
      <c r="D35" s="516"/>
      <c r="E35" s="516"/>
      <c r="F35" s="516"/>
      <c r="G35" s="516"/>
      <c r="H35" s="516"/>
      <c r="I35" s="516"/>
      <c r="J35" s="516"/>
      <c r="K35" s="516"/>
      <c r="L35" s="516"/>
      <c r="M35" s="516"/>
      <c r="N35" s="516"/>
      <c r="O35" s="516"/>
      <c r="P35" s="516"/>
      <c r="Q35" s="516"/>
      <c r="R35" s="516"/>
      <c r="S35" s="516"/>
      <c r="T35" s="516"/>
      <c r="U35" s="516"/>
      <c r="V35" s="516"/>
      <c r="W35" s="516"/>
      <c r="X35" s="516"/>
      <c r="Y35" s="516"/>
      <c r="Z35" s="516"/>
    </row>
    <row r="36" spans="1:26" ht="15" customHeight="1" x14ac:dyDescent="0.25">
      <c r="A36" s="518"/>
      <c r="B36" s="516"/>
      <c r="C36" s="516"/>
      <c r="D36" s="516"/>
      <c r="E36" s="516"/>
      <c r="F36" s="516"/>
      <c r="G36" s="516"/>
      <c r="H36" s="516"/>
      <c r="I36" s="516"/>
      <c r="J36" s="516"/>
      <c r="K36" s="516"/>
      <c r="L36" s="516"/>
      <c r="M36" s="516"/>
      <c r="N36" s="516"/>
      <c r="O36" s="516"/>
      <c r="P36" s="516"/>
      <c r="Q36" s="516"/>
      <c r="R36" s="516"/>
      <c r="S36" s="516"/>
      <c r="T36" s="516"/>
      <c r="U36" s="516"/>
      <c r="V36" s="516"/>
      <c r="W36" s="516"/>
      <c r="X36" s="516"/>
      <c r="Y36" s="516"/>
      <c r="Z36" s="516"/>
    </row>
    <row r="37" spans="1:26" ht="15" customHeight="1" x14ac:dyDescent="0.25">
      <c r="A37" s="518"/>
      <c r="B37" s="516"/>
      <c r="C37" s="516"/>
      <c r="D37" s="516"/>
      <c r="E37" s="516"/>
      <c r="F37" s="516"/>
      <c r="G37" s="516"/>
      <c r="H37" s="516"/>
      <c r="I37" s="516"/>
      <c r="J37" s="516"/>
      <c r="K37" s="516"/>
      <c r="L37" s="516"/>
      <c r="M37" s="516"/>
      <c r="N37" s="516"/>
      <c r="O37" s="516"/>
      <c r="P37" s="516"/>
      <c r="Q37" s="516"/>
      <c r="R37" s="516"/>
      <c r="S37" s="516"/>
      <c r="T37" s="516"/>
      <c r="U37" s="516"/>
      <c r="V37" s="516"/>
      <c r="W37" s="516"/>
      <c r="X37" s="516"/>
      <c r="Y37" s="516"/>
      <c r="Z37" s="516"/>
    </row>
    <row r="38" spans="1:26" ht="15" customHeight="1" x14ac:dyDescent="0.25">
      <c r="A38" s="518"/>
      <c r="B38" s="516"/>
      <c r="C38" s="516"/>
      <c r="D38" s="516"/>
      <c r="E38" s="516"/>
      <c r="F38" s="516"/>
      <c r="G38" s="516"/>
      <c r="H38" s="516"/>
      <c r="I38" s="516"/>
      <c r="J38" s="516"/>
      <c r="K38" s="516"/>
      <c r="L38" s="516"/>
      <c r="M38" s="516"/>
      <c r="N38" s="516"/>
      <c r="O38" s="516"/>
      <c r="P38" s="516"/>
      <c r="Q38" s="516"/>
      <c r="R38" s="516"/>
      <c r="S38" s="516"/>
      <c r="T38" s="516"/>
      <c r="U38" s="516"/>
      <c r="V38" s="516"/>
      <c r="W38" s="516"/>
      <c r="X38" s="516"/>
      <c r="Y38" s="516"/>
      <c r="Z38" s="516"/>
    </row>
    <row r="39" spans="1:26" ht="15" customHeight="1" x14ac:dyDescent="0.25">
      <c r="A39" s="518"/>
      <c r="B39" s="516"/>
      <c r="C39" s="516"/>
      <c r="D39" s="516"/>
      <c r="E39" s="516"/>
      <c r="F39" s="516"/>
      <c r="G39" s="516"/>
      <c r="H39" s="516"/>
      <c r="I39" s="516"/>
      <c r="J39" s="516"/>
      <c r="K39" s="516"/>
      <c r="L39" s="516"/>
      <c r="M39" s="516"/>
      <c r="N39" s="516"/>
      <c r="O39" s="516"/>
      <c r="P39" s="516"/>
      <c r="Q39" s="516"/>
      <c r="R39" s="516"/>
      <c r="S39" s="516"/>
      <c r="T39" s="516"/>
      <c r="U39" s="516"/>
      <c r="V39" s="516"/>
      <c r="W39" s="516"/>
      <c r="X39" s="516"/>
      <c r="Y39" s="516"/>
      <c r="Z39" s="516"/>
    </row>
    <row r="40" spans="1:26" ht="15" customHeight="1" x14ac:dyDescent="0.25">
      <c r="A40" s="518"/>
      <c r="B40" s="516"/>
      <c r="C40" s="516"/>
      <c r="D40" s="516"/>
      <c r="E40" s="516"/>
      <c r="F40" s="516"/>
      <c r="G40" s="516"/>
      <c r="H40" s="516"/>
      <c r="I40" s="516"/>
      <c r="J40" s="516"/>
      <c r="K40" s="516"/>
      <c r="L40" s="516"/>
      <c r="M40" s="516"/>
      <c r="N40" s="516"/>
      <c r="O40" s="516"/>
      <c r="P40" s="516"/>
      <c r="Q40" s="516"/>
      <c r="R40" s="516"/>
      <c r="S40" s="516"/>
      <c r="T40" s="516"/>
      <c r="U40" s="516"/>
      <c r="V40" s="516"/>
      <c r="W40" s="516"/>
      <c r="X40" s="516"/>
      <c r="Y40" s="516"/>
      <c r="Z40" s="516"/>
    </row>
    <row r="41" spans="1:26" ht="15" customHeight="1" x14ac:dyDescent="0.25">
      <c r="A41" s="518"/>
      <c r="B41" s="516"/>
      <c r="C41" s="516"/>
      <c r="D41" s="516"/>
      <c r="E41" s="516"/>
      <c r="F41" s="516"/>
      <c r="G41" s="516"/>
      <c r="H41" s="516"/>
      <c r="I41" s="516"/>
      <c r="J41" s="516"/>
      <c r="K41" s="516"/>
      <c r="L41" s="516"/>
      <c r="M41" s="516"/>
      <c r="N41" s="516"/>
      <c r="O41" s="516"/>
      <c r="P41" s="516"/>
      <c r="Q41" s="516"/>
      <c r="R41" s="516"/>
      <c r="S41" s="516"/>
      <c r="T41" s="516"/>
      <c r="U41" s="516"/>
      <c r="V41" s="516"/>
      <c r="W41" s="516"/>
      <c r="X41" s="516"/>
      <c r="Y41" s="516"/>
      <c r="Z41" s="516"/>
    </row>
    <row r="42" spans="1:26" ht="15" customHeight="1" x14ac:dyDescent="0.25">
      <c r="A42" s="518"/>
      <c r="B42" s="516"/>
      <c r="C42" s="516"/>
      <c r="D42" s="516"/>
      <c r="E42" s="516"/>
      <c r="F42" s="516"/>
      <c r="G42" s="516"/>
      <c r="H42" s="516"/>
      <c r="I42" s="516"/>
      <c r="J42" s="516"/>
      <c r="K42" s="516"/>
      <c r="L42" s="516"/>
      <c r="M42" s="516"/>
      <c r="N42" s="516"/>
      <c r="O42" s="516"/>
      <c r="P42" s="516"/>
      <c r="Q42" s="516"/>
      <c r="R42" s="516"/>
      <c r="S42" s="516"/>
      <c r="T42" s="516"/>
      <c r="U42" s="516"/>
      <c r="V42" s="516"/>
      <c r="W42" s="516"/>
      <c r="X42" s="516"/>
      <c r="Y42" s="516"/>
      <c r="Z42" s="516"/>
    </row>
    <row r="43" spans="1:26" ht="15" customHeight="1" x14ac:dyDescent="0.25">
      <c r="A43" s="518"/>
      <c r="B43" s="516"/>
      <c r="C43" s="516"/>
      <c r="D43" s="516"/>
      <c r="E43" s="516"/>
      <c r="F43" s="516"/>
      <c r="G43" s="516"/>
      <c r="H43" s="516"/>
      <c r="I43" s="516"/>
      <c r="J43" s="516"/>
      <c r="K43" s="516"/>
      <c r="L43" s="516"/>
      <c r="M43" s="516"/>
      <c r="N43" s="516"/>
      <c r="O43" s="516"/>
      <c r="P43" s="516"/>
      <c r="Q43" s="516"/>
      <c r="R43" s="516"/>
      <c r="S43" s="516"/>
      <c r="T43" s="516"/>
      <c r="U43" s="516"/>
      <c r="V43" s="516"/>
      <c r="W43" s="516"/>
      <c r="X43" s="516"/>
      <c r="Y43" s="516"/>
      <c r="Z43" s="516"/>
    </row>
    <row r="44" spans="1:26" ht="15" customHeight="1" x14ac:dyDescent="0.25">
      <c r="A44" s="518"/>
      <c r="B44" s="516"/>
      <c r="C44" s="516"/>
      <c r="D44" s="516"/>
      <c r="E44" s="516"/>
      <c r="F44" s="516"/>
      <c r="G44" s="516"/>
      <c r="H44" s="516"/>
      <c r="I44" s="516"/>
      <c r="J44" s="516"/>
      <c r="K44" s="516"/>
      <c r="L44" s="516"/>
      <c r="M44" s="516"/>
      <c r="N44" s="516"/>
      <c r="O44" s="516"/>
      <c r="P44" s="516"/>
      <c r="Q44" s="516"/>
      <c r="R44" s="516"/>
      <c r="S44" s="516"/>
      <c r="T44" s="516"/>
      <c r="U44" s="516"/>
      <c r="V44" s="516"/>
      <c r="W44" s="516"/>
      <c r="X44" s="516"/>
      <c r="Y44" s="516"/>
      <c r="Z44" s="516"/>
    </row>
    <row r="45" spans="1:26" ht="15" customHeight="1" x14ac:dyDescent="0.25">
      <c r="A45" s="518"/>
      <c r="B45" s="516"/>
      <c r="C45" s="516"/>
      <c r="D45" s="516"/>
      <c r="E45" s="516"/>
      <c r="F45" s="516"/>
      <c r="G45" s="516"/>
      <c r="H45" s="516"/>
      <c r="I45" s="516"/>
      <c r="J45" s="516"/>
      <c r="K45" s="516"/>
      <c r="L45" s="516"/>
      <c r="M45" s="516"/>
      <c r="N45" s="516"/>
      <c r="O45" s="516"/>
      <c r="P45" s="516"/>
      <c r="Q45" s="516"/>
      <c r="R45" s="516"/>
      <c r="S45" s="516"/>
      <c r="T45" s="516"/>
      <c r="U45" s="516"/>
      <c r="V45" s="516"/>
      <c r="W45" s="516"/>
      <c r="X45" s="516"/>
      <c r="Y45" s="516"/>
      <c r="Z45" s="516"/>
    </row>
    <row r="46" spans="1:26" ht="15" customHeight="1" x14ac:dyDescent="0.25">
      <c r="A46" s="518"/>
      <c r="B46" s="516"/>
      <c r="C46" s="516"/>
      <c r="D46" s="516"/>
      <c r="E46" s="516"/>
      <c r="F46" s="516"/>
      <c r="G46" s="516"/>
      <c r="H46" s="516"/>
      <c r="I46" s="516"/>
      <c r="J46" s="516"/>
      <c r="K46" s="516"/>
      <c r="L46" s="516"/>
      <c r="M46" s="516"/>
      <c r="N46" s="516"/>
      <c r="O46" s="516"/>
      <c r="P46" s="516"/>
      <c r="Q46" s="516"/>
      <c r="R46" s="516"/>
      <c r="S46" s="516"/>
      <c r="T46" s="516"/>
      <c r="U46" s="516"/>
      <c r="V46" s="516"/>
      <c r="W46" s="516"/>
      <c r="X46" s="516"/>
      <c r="Y46" s="516"/>
      <c r="Z46" s="516"/>
    </row>
    <row r="47" spans="1:26" ht="15" customHeight="1" x14ac:dyDescent="0.25">
      <c r="A47" s="518"/>
      <c r="B47" s="516"/>
      <c r="C47" s="516"/>
      <c r="D47" s="516"/>
      <c r="E47" s="516"/>
      <c r="F47" s="516"/>
      <c r="G47" s="516"/>
      <c r="H47" s="516"/>
      <c r="I47" s="516"/>
      <c r="J47" s="516"/>
      <c r="K47" s="516"/>
      <c r="L47" s="516"/>
      <c r="M47" s="516"/>
      <c r="N47" s="516"/>
      <c r="O47" s="516"/>
      <c r="P47" s="516"/>
      <c r="Q47" s="516"/>
      <c r="R47" s="516"/>
      <c r="S47" s="516"/>
      <c r="T47" s="516"/>
      <c r="U47" s="516"/>
      <c r="V47" s="516"/>
      <c r="W47" s="516"/>
      <c r="X47" s="516"/>
      <c r="Y47" s="516"/>
      <c r="Z47" s="516"/>
    </row>
    <row r="48" spans="1:26" ht="15" customHeight="1" x14ac:dyDescent="0.25">
      <c r="A48" s="518"/>
      <c r="B48" s="516"/>
      <c r="C48" s="516"/>
      <c r="D48" s="516"/>
      <c r="E48" s="516"/>
      <c r="F48" s="516"/>
      <c r="G48" s="516"/>
      <c r="H48" s="516"/>
      <c r="I48" s="516"/>
      <c r="J48" s="516"/>
      <c r="K48" s="516"/>
      <c r="L48" s="516"/>
      <c r="M48" s="516"/>
      <c r="N48" s="516"/>
      <c r="O48" s="516"/>
      <c r="P48" s="516"/>
      <c r="Q48" s="516"/>
      <c r="R48" s="516"/>
      <c r="S48" s="516"/>
      <c r="T48" s="516"/>
      <c r="U48" s="516"/>
      <c r="V48" s="516"/>
      <c r="W48" s="516"/>
      <c r="X48" s="516"/>
      <c r="Y48" s="516"/>
      <c r="Z48" s="516"/>
    </row>
    <row r="49" spans="1:26" ht="15" customHeight="1" x14ac:dyDescent="0.25">
      <c r="A49" s="518"/>
      <c r="B49" s="516"/>
      <c r="C49" s="516"/>
      <c r="D49" s="516"/>
      <c r="E49" s="516"/>
      <c r="F49" s="516"/>
      <c r="G49" s="516"/>
      <c r="H49" s="516"/>
      <c r="I49" s="516"/>
      <c r="J49" s="516"/>
      <c r="K49" s="516"/>
      <c r="L49" s="516"/>
      <c r="M49" s="516"/>
      <c r="N49" s="516"/>
      <c r="O49" s="516"/>
      <c r="P49" s="516"/>
      <c r="Q49" s="516"/>
      <c r="R49" s="516"/>
      <c r="S49" s="516"/>
      <c r="T49" s="516"/>
      <c r="U49" s="516"/>
      <c r="V49" s="516"/>
      <c r="W49" s="516"/>
      <c r="X49" s="516"/>
      <c r="Y49" s="516"/>
      <c r="Z49" s="516"/>
    </row>
    <row r="50" spans="1:26" ht="15" customHeight="1" x14ac:dyDescent="0.25">
      <c r="A50" s="518"/>
      <c r="B50" s="516"/>
      <c r="C50" s="516"/>
      <c r="D50" s="516"/>
      <c r="E50" s="516"/>
      <c r="F50" s="516"/>
      <c r="G50" s="516"/>
      <c r="H50" s="516"/>
      <c r="I50" s="516"/>
      <c r="J50" s="516"/>
      <c r="K50" s="516"/>
      <c r="L50" s="516"/>
      <c r="M50" s="516"/>
      <c r="N50" s="516"/>
      <c r="O50" s="516"/>
      <c r="P50" s="516"/>
      <c r="Q50" s="516"/>
      <c r="R50" s="516"/>
      <c r="S50" s="516"/>
      <c r="T50" s="516"/>
      <c r="U50" s="516"/>
      <c r="V50" s="516"/>
      <c r="W50" s="516"/>
      <c r="X50" s="516"/>
      <c r="Y50" s="516"/>
      <c r="Z50" s="516"/>
    </row>
    <row r="51" spans="1:26" ht="15" customHeight="1" x14ac:dyDescent="0.25">
      <c r="A51" s="518"/>
      <c r="B51" s="516"/>
      <c r="C51" s="516"/>
      <c r="D51" s="516"/>
      <c r="E51" s="516"/>
      <c r="F51" s="516"/>
      <c r="G51" s="516"/>
      <c r="H51" s="516"/>
      <c r="I51" s="516"/>
      <c r="J51" s="516"/>
      <c r="K51" s="516"/>
      <c r="L51" s="516"/>
      <c r="M51" s="516"/>
      <c r="N51" s="516"/>
      <c r="O51" s="516"/>
      <c r="P51" s="516"/>
      <c r="Q51" s="516"/>
      <c r="R51" s="516"/>
      <c r="S51" s="516"/>
      <c r="T51" s="516"/>
      <c r="U51" s="516"/>
      <c r="V51" s="516"/>
      <c r="W51" s="516"/>
      <c r="X51" s="516"/>
      <c r="Y51" s="516"/>
      <c r="Z51" s="516"/>
    </row>
    <row r="52" spans="1:26" ht="15" customHeight="1" x14ac:dyDescent="0.25">
      <c r="A52" s="518"/>
      <c r="B52" s="516"/>
      <c r="C52" s="516"/>
      <c r="D52" s="516"/>
      <c r="E52" s="516"/>
      <c r="F52" s="516"/>
      <c r="G52" s="516"/>
      <c r="H52" s="516"/>
      <c r="I52" s="516"/>
      <c r="J52" s="516"/>
      <c r="K52" s="516"/>
      <c r="L52" s="516"/>
      <c r="M52" s="516"/>
      <c r="N52" s="516"/>
      <c r="O52" s="516"/>
      <c r="P52" s="516"/>
      <c r="Q52" s="516"/>
      <c r="R52" s="516"/>
      <c r="S52" s="516"/>
      <c r="T52" s="516"/>
      <c r="U52" s="516"/>
      <c r="V52" s="516"/>
      <c r="W52" s="516"/>
      <c r="X52" s="516"/>
      <c r="Y52" s="516"/>
      <c r="Z52" s="516"/>
    </row>
    <row r="53" spans="1:26" ht="15" customHeight="1" x14ac:dyDescent="0.25">
      <c r="A53" s="518"/>
      <c r="B53" s="516"/>
      <c r="C53" s="516"/>
      <c r="D53" s="516"/>
      <c r="E53" s="516"/>
      <c r="F53" s="516"/>
      <c r="G53" s="516"/>
      <c r="H53" s="516"/>
      <c r="I53" s="516"/>
      <c r="J53" s="516"/>
      <c r="K53" s="516"/>
      <c r="L53" s="516"/>
      <c r="M53" s="516"/>
      <c r="N53" s="516"/>
      <c r="O53" s="516"/>
      <c r="P53" s="516"/>
      <c r="Q53" s="516"/>
      <c r="R53" s="516"/>
      <c r="S53" s="516"/>
      <c r="T53" s="516"/>
      <c r="U53" s="516"/>
      <c r="V53" s="516"/>
      <c r="W53" s="516"/>
      <c r="X53" s="516"/>
      <c r="Y53" s="516"/>
      <c r="Z53" s="516"/>
    </row>
    <row r="54" spans="1:26" ht="15" customHeight="1" x14ac:dyDescent="0.25">
      <c r="A54" s="518"/>
      <c r="B54" s="516"/>
      <c r="C54" s="516"/>
      <c r="D54" s="516"/>
      <c r="E54" s="516"/>
      <c r="F54" s="516"/>
      <c r="G54" s="516"/>
      <c r="H54" s="516"/>
      <c r="I54" s="516"/>
      <c r="J54" s="516"/>
      <c r="K54" s="516"/>
      <c r="L54" s="516"/>
      <c r="M54" s="516"/>
      <c r="N54" s="516"/>
      <c r="O54" s="516"/>
      <c r="P54" s="516"/>
      <c r="Q54" s="516"/>
      <c r="R54" s="516"/>
      <c r="S54" s="516"/>
      <c r="T54" s="516"/>
      <c r="U54" s="516"/>
      <c r="V54" s="516"/>
      <c r="W54" s="516"/>
      <c r="X54" s="516"/>
      <c r="Y54" s="516"/>
      <c r="Z54" s="516"/>
    </row>
    <row r="55" spans="1:26" ht="15" customHeight="1" x14ac:dyDescent="0.25">
      <c r="A55" s="518"/>
      <c r="B55" s="516"/>
      <c r="C55" s="516"/>
      <c r="D55" s="516"/>
      <c r="E55" s="516"/>
      <c r="F55" s="516"/>
      <c r="G55" s="516"/>
      <c r="H55" s="516"/>
      <c r="I55" s="516"/>
      <c r="J55" s="516"/>
      <c r="K55" s="516"/>
      <c r="L55" s="516"/>
      <c r="M55" s="516"/>
      <c r="N55" s="516"/>
      <c r="O55" s="516"/>
      <c r="P55" s="516"/>
      <c r="Q55" s="516"/>
      <c r="R55" s="516"/>
      <c r="S55" s="516"/>
      <c r="T55" s="516"/>
      <c r="U55" s="516"/>
      <c r="V55" s="516"/>
      <c r="W55" s="516"/>
      <c r="X55" s="516"/>
      <c r="Y55" s="516"/>
      <c r="Z55" s="516"/>
    </row>
    <row r="56" spans="1:26" ht="15" customHeight="1" x14ac:dyDescent="0.25">
      <c r="A56" s="518"/>
      <c r="B56" s="516"/>
      <c r="C56" s="516"/>
      <c r="D56" s="516"/>
      <c r="E56" s="516"/>
      <c r="F56" s="516"/>
      <c r="G56" s="516"/>
      <c r="H56" s="516"/>
      <c r="I56" s="516"/>
      <c r="J56" s="516"/>
      <c r="K56" s="516"/>
      <c r="L56" s="516"/>
      <c r="M56" s="516"/>
      <c r="N56" s="516"/>
      <c r="O56" s="516"/>
      <c r="P56" s="516"/>
      <c r="Q56" s="516"/>
      <c r="R56" s="516"/>
      <c r="S56" s="516"/>
      <c r="T56" s="516"/>
      <c r="U56" s="516"/>
      <c r="V56" s="516"/>
      <c r="W56" s="516"/>
      <c r="X56" s="516"/>
      <c r="Y56" s="516"/>
      <c r="Z56" s="516"/>
    </row>
    <row r="57" spans="1:26" ht="15" customHeight="1" x14ac:dyDescent="0.25">
      <c r="A57" s="518"/>
      <c r="B57" s="516"/>
      <c r="C57" s="516"/>
      <c r="D57" s="516"/>
      <c r="E57" s="516"/>
      <c r="F57" s="516"/>
      <c r="G57" s="516"/>
      <c r="H57" s="516"/>
      <c r="I57" s="516"/>
      <c r="J57" s="516"/>
      <c r="K57" s="516"/>
      <c r="L57" s="516"/>
      <c r="M57" s="516"/>
      <c r="N57" s="516"/>
      <c r="O57" s="516"/>
      <c r="P57" s="516"/>
      <c r="Q57" s="516"/>
      <c r="R57" s="516"/>
      <c r="S57" s="516"/>
      <c r="T57" s="516"/>
      <c r="U57" s="516"/>
      <c r="V57" s="516"/>
      <c r="W57" s="516"/>
      <c r="X57" s="516"/>
      <c r="Y57" s="516"/>
      <c r="Z57" s="516"/>
    </row>
    <row r="58" spans="1:26" ht="15" customHeight="1" x14ac:dyDescent="0.25">
      <c r="A58" s="518"/>
      <c r="B58" s="516"/>
      <c r="C58" s="516"/>
      <c r="D58" s="516"/>
      <c r="E58" s="516"/>
      <c r="F58" s="516"/>
      <c r="G58" s="516"/>
      <c r="H58" s="516"/>
      <c r="I58" s="516"/>
      <c r="J58" s="516"/>
      <c r="K58" s="516"/>
      <c r="L58" s="516"/>
      <c r="M58" s="516"/>
      <c r="N58" s="516"/>
      <c r="O58" s="516"/>
      <c r="P58" s="516"/>
      <c r="Q58" s="516"/>
      <c r="R58" s="516"/>
      <c r="S58" s="516"/>
      <c r="T58" s="516"/>
      <c r="U58" s="516"/>
      <c r="V58" s="516"/>
      <c r="W58" s="516"/>
      <c r="X58" s="516"/>
      <c r="Y58" s="516"/>
      <c r="Z58" s="516"/>
    </row>
    <row r="59" spans="1:26" ht="15" customHeight="1" x14ac:dyDescent="0.25">
      <c r="A59" s="518"/>
      <c r="B59" s="516"/>
      <c r="C59" s="516"/>
      <c r="D59" s="516"/>
      <c r="E59" s="516"/>
      <c r="F59" s="516"/>
      <c r="G59" s="516"/>
      <c r="H59" s="516"/>
      <c r="I59" s="516"/>
      <c r="J59" s="516"/>
      <c r="K59" s="516"/>
      <c r="L59" s="516"/>
      <c r="M59" s="516"/>
      <c r="N59" s="516"/>
      <c r="O59" s="516"/>
      <c r="P59" s="516"/>
      <c r="Q59" s="516"/>
      <c r="R59" s="516"/>
      <c r="S59" s="516"/>
      <c r="T59" s="516"/>
      <c r="U59" s="516"/>
      <c r="V59" s="516"/>
      <c r="W59" s="516"/>
      <c r="X59" s="516"/>
      <c r="Y59" s="516"/>
      <c r="Z59" s="516"/>
    </row>
    <row r="60" spans="1:26" ht="15" customHeight="1" x14ac:dyDescent="0.25">
      <c r="A60" s="518"/>
      <c r="B60" s="516"/>
      <c r="C60" s="516"/>
      <c r="D60" s="516"/>
      <c r="E60" s="516"/>
      <c r="F60" s="516"/>
      <c r="G60" s="516"/>
      <c r="H60" s="516"/>
      <c r="I60" s="516"/>
      <c r="J60" s="516"/>
      <c r="K60" s="516"/>
      <c r="L60" s="516"/>
      <c r="M60" s="516"/>
      <c r="N60" s="516"/>
      <c r="O60" s="516"/>
      <c r="P60" s="516"/>
      <c r="Q60" s="516"/>
      <c r="R60" s="516"/>
      <c r="S60" s="516"/>
      <c r="T60" s="516"/>
      <c r="U60" s="516"/>
      <c r="V60" s="516"/>
      <c r="W60" s="516"/>
      <c r="X60" s="516"/>
      <c r="Y60" s="516"/>
      <c r="Z60" s="516"/>
    </row>
    <row r="61" spans="1:26" ht="15" customHeight="1" x14ac:dyDescent="0.25">
      <c r="A61" s="518"/>
      <c r="B61" s="516"/>
      <c r="C61" s="516"/>
      <c r="D61" s="516"/>
      <c r="E61" s="516"/>
      <c r="F61" s="516"/>
      <c r="G61" s="516"/>
      <c r="H61" s="516"/>
      <c r="I61" s="516"/>
      <c r="J61" s="516"/>
      <c r="K61" s="516"/>
      <c r="L61" s="516"/>
      <c r="M61" s="516"/>
      <c r="N61" s="516"/>
      <c r="O61" s="516"/>
      <c r="P61" s="516"/>
      <c r="Q61" s="516"/>
      <c r="R61" s="516"/>
      <c r="S61" s="516"/>
      <c r="T61" s="516"/>
      <c r="U61" s="516"/>
      <c r="V61" s="516"/>
      <c r="W61" s="516"/>
      <c r="X61" s="516"/>
      <c r="Y61" s="516"/>
      <c r="Z61" s="516"/>
    </row>
    <row r="62" spans="1:26" ht="15" customHeight="1" x14ac:dyDescent="0.25">
      <c r="A62" s="518"/>
      <c r="B62" s="516"/>
      <c r="C62" s="516"/>
      <c r="D62" s="516"/>
      <c r="E62" s="516"/>
      <c r="F62" s="516"/>
      <c r="G62" s="516"/>
      <c r="H62" s="516"/>
      <c r="I62" s="516"/>
      <c r="J62" s="516"/>
      <c r="K62" s="516"/>
      <c r="L62" s="516"/>
      <c r="M62" s="516"/>
      <c r="N62" s="516"/>
      <c r="O62" s="516"/>
      <c r="P62" s="516"/>
      <c r="Q62" s="516"/>
      <c r="R62" s="516"/>
      <c r="S62" s="516"/>
      <c r="T62" s="516"/>
      <c r="U62" s="516"/>
      <c r="V62" s="516"/>
      <c r="W62" s="516"/>
      <c r="X62" s="516"/>
      <c r="Y62" s="516"/>
      <c r="Z62" s="516"/>
    </row>
    <row r="63" spans="1:26" ht="15" customHeight="1" x14ac:dyDescent="0.25">
      <c r="A63" s="518"/>
      <c r="B63" s="516"/>
      <c r="C63" s="516"/>
      <c r="D63" s="516"/>
      <c r="E63" s="516"/>
      <c r="F63" s="516"/>
      <c r="G63" s="516"/>
      <c r="H63" s="516"/>
      <c r="I63" s="516"/>
      <c r="J63" s="516"/>
      <c r="K63" s="516"/>
      <c r="L63" s="516"/>
      <c r="M63" s="516"/>
      <c r="N63" s="516"/>
      <c r="O63" s="516"/>
      <c r="P63" s="516"/>
      <c r="Q63" s="516"/>
      <c r="R63" s="516"/>
      <c r="S63" s="516"/>
      <c r="T63" s="516"/>
      <c r="U63" s="516"/>
      <c r="V63" s="516"/>
      <c r="W63" s="516"/>
      <c r="X63" s="516"/>
      <c r="Y63" s="516"/>
      <c r="Z63" s="516"/>
    </row>
    <row r="64" spans="1:26" ht="15" customHeight="1" x14ac:dyDescent="0.25">
      <c r="A64" s="518"/>
      <c r="B64" s="516"/>
      <c r="C64" s="516"/>
      <c r="D64" s="516"/>
      <c r="E64" s="516"/>
      <c r="F64" s="516"/>
      <c r="G64" s="516"/>
      <c r="H64" s="516"/>
      <c r="I64" s="516"/>
      <c r="J64" s="516"/>
      <c r="K64" s="516"/>
      <c r="L64" s="516"/>
      <c r="M64" s="516"/>
      <c r="N64" s="516"/>
      <c r="O64" s="516"/>
      <c r="P64" s="516"/>
      <c r="Q64" s="516"/>
      <c r="R64" s="516"/>
      <c r="S64" s="516"/>
      <c r="T64" s="516"/>
      <c r="U64" s="516"/>
      <c r="V64" s="516"/>
      <c r="W64" s="516"/>
      <c r="X64" s="516"/>
      <c r="Y64" s="516"/>
      <c r="Z64" s="516"/>
    </row>
    <row r="65" spans="1:26" ht="15" customHeight="1" x14ac:dyDescent="0.25">
      <c r="A65" s="518"/>
      <c r="B65" s="516"/>
      <c r="C65" s="516"/>
      <c r="D65" s="516"/>
      <c r="E65" s="516"/>
      <c r="F65" s="516"/>
      <c r="G65" s="516"/>
      <c r="H65" s="516"/>
      <c r="I65" s="516"/>
      <c r="J65" s="516"/>
      <c r="K65" s="516"/>
      <c r="L65" s="516"/>
      <c r="M65" s="516"/>
      <c r="N65" s="516"/>
      <c r="O65" s="516"/>
      <c r="P65" s="516"/>
      <c r="Q65" s="516"/>
      <c r="R65" s="516"/>
      <c r="S65" s="516"/>
      <c r="T65" s="516"/>
      <c r="U65" s="516"/>
      <c r="V65" s="516"/>
      <c r="W65" s="516"/>
      <c r="X65" s="516"/>
      <c r="Y65" s="516"/>
      <c r="Z65" s="516"/>
    </row>
    <row r="66" spans="1:26" ht="15" customHeight="1" x14ac:dyDescent="0.25">
      <c r="A66" s="518"/>
      <c r="B66" s="516"/>
      <c r="C66" s="516"/>
      <c r="D66" s="516"/>
      <c r="E66" s="516"/>
      <c r="F66" s="516"/>
      <c r="G66" s="516"/>
      <c r="H66" s="516"/>
      <c r="I66" s="516"/>
      <c r="J66" s="516"/>
      <c r="K66" s="516"/>
      <c r="L66" s="516"/>
      <c r="M66" s="516"/>
      <c r="N66" s="516"/>
      <c r="O66" s="516"/>
      <c r="P66" s="516"/>
      <c r="Q66" s="516"/>
      <c r="R66" s="516"/>
      <c r="S66" s="516"/>
      <c r="T66" s="516"/>
      <c r="U66" s="516"/>
      <c r="V66" s="516"/>
      <c r="W66" s="516"/>
      <c r="X66" s="516"/>
      <c r="Y66" s="516"/>
      <c r="Z66" s="516"/>
    </row>
    <row r="67" spans="1:26" ht="15" customHeight="1" x14ac:dyDescent="0.25">
      <c r="A67" s="518"/>
      <c r="B67" s="516"/>
      <c r="C67" s="516"/>
      <c r="D67" s="516"/>
      <c r="E67" s="516"/>
      <c r="F67" s="516"/>
      <c r="G67" s="516"/>
      <c r="H67" s="516"/>
      <c r="I67" s="516"/>
      <c r="J67" s="516"/>
      <c r="K67" s="516"/>
      <c r="L67" s="516"/>
      <c r="M67" s="516"/>
      <c r="N67" s="516"/>
      <c r="O67" s="516"/>
      <c r="P67" s="516"/>
      <c r="Q67" s="516"/>
      <c r="R67" s="516"/>
      <c r="S67" s="516"/>
      <c r="T67" s="516"/>
      <c r="U67" s="516"/>
      <c r="V67" s="516"/>
      <c r="W67" s="516"/>
      <c r="X67" s="516"/>
      <c r="Y67" s="516"/>
      <c r="Z67" s="516"/>
    </row>
    <row r="68" spans="1:26" ht="15" customHeight="1" x14ac:dyDescent="0.25">
      <c r="A68" s="518"/>
      <c r="B68" s="516"/>
      <c r="C68" s="516"/>
      <c r="D68" s="516"/>
      <c r="E68" s="516"/>
      <c r="F68" s="516"/>
      <c r="G68" s="516"/>
      <c r="H68" s="516"/>
      <c r="I68" s="516"/>
      <c r="J68" s="516"/>
      <c r="K68" s="516"/>
      <c r="L68" s="516"/>
      <c r="M68" s="516"/>
      <c r="N68" s="516"/>
      <c r="O68" s="516"/>
      <c r="P68" s="516"/>
      <c r="Q68" s="516"/>
      <c r="R68" s="516"/>
      <c r="S68" s="516"/>
      <c r="T68" s="516"/>
      <c r="U68" s="516"/>
      <c r="V68" s="516"/>
      <c r="W68" s="516"/>
      <c r="X68" s="516"/>
      <c r="Y68" s="516"/>
      <c r="Z68" s="516"/>
    </row>
    <row r="69" spans="1:26" ht="15" customHeight="1" x14ac:dyDescent="0.25">
      <c r="A69" s="518"/>
      <c r="B69" s="516"/>
      <c r="C69" s="516"/>
      <c r="D69" s="516"/>
      <c r="E69" s="516"/>
      <c r="F69" s="516"/>
      <c r="G69" s="516"/>
      <c r="H69" s="516"/>
      <c r="I69" s="516"/>
      <c r="J69" s="516"/>
      <c r="K69" s="516"/>
      <c r="L69" s="516"/>
      <c r="M69" s="516"/>
      <c r="N69" s="516"/>
      <c r="O69" s="516"/>
      <c r="P69" s="516"/>
      <c r="Q69" s="516"/>
      <c r="R69" s="516"/>
      <c r="S69" s="516"/>
      <c r="T69" s="516"/>
      <c r="U69" s="516"/>
      <c r="V69" s="516"/>
      <c r="W69" s="516"/>
      <c r="X69" s="516"/>
      <c r="Y69" s="516"/>
      <c r="Z69" s="516"/>
    </row>
    <row r="70" spans="1:26" ht="15" customHeight="1" x14ac:dyDescent="0.25">
      <c r="A70" s="518"/>
      <c r="B70" s="516"/>
      <c r="C70" s="516"/>
      <c r="D70" s="516"/>
      <c r="E70" s="516"/>
      <c r="F70" s="516"/>
      <c r="G70" s="516"/>
      <c r="H70" s="516"/>
      <c r="I70" s="516"/>
      <c r="J70" s="516"/>
      <c r="K70" s="516"/>
      <c r="L70" s="516"/>
      <c r="M70" s="516"/>
      <c r="N70" s="516"/>
      <c r="O70" s="516"/>
      <c r="P70" s="516"/>
      <c r="Q70" s="516"/>
      <c r="R70" s="516"/>
      <c r="S70" s="516"/>
      <c r="T70" s="516"/>
      <c r="U70" s="516"/>
      <c r="V70" s="516"/>
      <c r="W70" s="516"/>
      <c r="X70" s="516"/>
      <c r="Y70" s="516"/>
      <c r="Z70" s="516"/>
    </row>
    <row r="71" spans="1:26" ht="15" customHeight="1" x14ac:dyDescent="0.25">
      <c r="A71" s="518"/>
      <c r="B71" s="516"/>
      <c r="C71" s="516"/>
      <c r="D71" s="516"/>
      <c r="E71" s="516"/>
      <c r="F71" s="516"/>
      <c r="G71" s="516"/>
      <c r="H71" s="516"/>
      <c r="I71" s="516"/>
      <c r="J71" s="516"/>
      <c r="K71" s="516"/>
      <c r="L71" s="516"/>
      <c r="M71" s="516"/>
      <c r="N71" s="516"/>
      <c r="O71" s="516"/>
      <c r="P71" s="516"/>
      <c r="Q71" s="516"/>
      <c r="R71" s="516"/>
      <c r="S71" s="516"/>
      <c r="T71" s="516"/>
      <c r="U71" s="516"/>
      <c r="V71" s="516"/>
      <c r="W71" s="516"/>
      <c r="X71" s="516"/>
      <c r="Y71" s="516"/>
      <c r="Z71" s="516"/>
    </row>
    <row r="72" spans="1:26" ht="21.95" customHeight="1" x14ac:dyDescent="0.25">
      <c r="A72" s="518"/>
      <c r="B72" s="604" t="s">
        <v>35</v>
      </c>
      <c r="C72" s="605"/>
      <c r="D72" s="605"/>
      <c r="E72" s="605"/>
      <c r="F72" s="605"/>
      <c r="G72" s="605"/>
      <c r="H72" s="605"/>
      <c r="I72" s="605"/>
      <c r="J72" s="605"/>
      <c r="K72" s="605"/>
      <c r="L72" s="605"/>
      <c r="M72" s="605"/>
      <c r="N72" s="605"/>
      <c r="O72" s="605"/>
      <c r="P72" s="605"/>
      <c r="Q72" s="605"/>
      <c r="R72" s="605"/>
      <c r="S72" s="605"/>
      <c r="T72" s="605"/>
      <c r="U72" s="605"/>
      <c r="V72" s="605"/>
      <c r="W72" s="605"/>
      <c r="X72" s="605"/>
      <c r="Y72" s="605"/>
      <c r="Z72" s="516"/>
    </row>
    <row r="73" spans="1:26" ht="27.95" customHeight="1" x14ac:dyDescent="0.25">
      <c r="A73" s="518"/>
      <c r="B73" s="543" t="s">
        <v>36</v>
      </c>
      <c r="C73" s="543"/>
      <c r="D73" s="543"/>
      <c r="E73" s="543"/>
      <c r="F73" s="543" t="s">
        <v>37</v>
      </c>
      <c r="G73" s="543"/>
      <c r="H73" s="543" t="s">
        <v>38</v>
      </c>
      <c r="I73" s="543"/>
      <c r="J73" s="543" t="s">
        <v>39</v>
      </c>
      <c r="K73" s="543"/>
      <c r="L73" s="543" t="s">
        <v>40</v>
      </c>
      <c r="M73" s="543"/>
      <c r="N73" s="543" t="s">
        <v>41</v>
      </c>
      <c r="O73" s="543"/>
      <c r="P73" s="543" t="s">
        <v>42</v>
      </c>
      <c r="Q73" s="543"/>
      <c r="R73" s="543" t="s">
        <v>43</v>
      </c>
      <c r="S73" s="543"/>
      <c r="T73" s="543" t="s">
        <v>44</v>
      </c>
      <c r="U73" s="543"/>
      <c r="V73" s="543" t="s">
        <v>45</v>
      </c>
      <c r="W73" s="543"/>
      <c r="X73" s="543" t="s">
        <v>46</v>
      </c>
      <c r="Y73" s="543"/>
      <c r="Z73" s="516"/>
    </row>
    <row r="74" spans="1:26" ht="17.100000000000001" customHeight="1" x14ac:dyDescent="0.25">
      <c r="A74" s="518"/>
      <c r="B74" s="544" t="str">
        <f>MIS_Calc!$A$387</f>
        <v>DJHSM</v>
      </c>
      <c r="C74" s="544"/>
      <c r="D74" s="544"/>
      <c r="E74" s="544"/>
      <c r="F74" s="539" t="str">
        <f>IF(MIS_Calc!$B$387="","–",MIS_Calc!$B$387)</f>
        <v>–</v>
      </c>
      <c r="G74" s="538"/>
      <c r="H74" s="539" t="str">
        <f>IF(MIS_Calc!$C$387="","–",MIS_Calc!$C$387)</f>
        <v>–</v>
      </c>
      <c r="I74" s="538"/>
      <c r="J74" s="540" t="str">
        <f>IF(MIS_Calc!$D$387="","–",MIS_Calc!$D$387)</f>
        <v>–</v>
      </c>
      <c r="K74" s="538"/>
      <c r="L74" s="541" t="str">
        <f>IF(MIS_Calc!$E$387="","–",MIS_Calc!$E$387)</f>
        <v>–</v>
      </c>
      <c r="M74" s="538"/>
      <c r="N74" s="539">
        <f>IF(MIS_Calc!$F$387="","–",MIS_Calc!$F$387)</f>
        <v>42.29999999999972</v>
      </c>
      <c r="O74" s="538"/>
      <c r="P74" s="541">
        <f>IF(MIS_Calc!$G$387="","–",MIS_Calc!$G$387)</f>
        <v>1.1681855840927844</v>
      </c>
      <c r="Q74" s="538"/>
      <c r="R74" s="539">
        <f>IF(MIS_Calc!$H$387="","–",MIS_Calc!$H$387)</f>
        <v>1207</v>
      </c>
      <c r="S74" s="538"/>
      <c r="T74" s="537" t="str">
        <f>IF(MIS_Calc!$I$387="","–",MIS_Calc!$I$387)</f>
        <v>–</v>
      </c>
      <c r="U74" s="538"/>
      <c r="V74" s="539" t="str">
        <f>IF(MIS_Calc!$J$387="","–",MIS_Calc!$J$387)</f>
        <v>–</v>
      </c>
      <c r="W74" s="538"/>
      <c r="X74" s="537">
        <f>IF(MIS_Calc!$K$387="","–",MIS_Calc!$K$387)</f>
        <v>1</v>
      </c>
      <c r="Y74" s="538"/>
      <c r="Z74" s="516"/>
    </row>
    <row r="75" spans="1:26" ht="17.100000000000001" customHeight="1" x14ac:dyDescent="0.25">
      <c r="A75" s="518"/>
      <c r="B75" s="544" t="str">
        <f>MIS_Calc!$A$388</f>
        <v>DJG</v>
      </c>
      <c r="C75" s="544"/>
      <c r="D75" s="544"/>
      <c r="E75" s="544"/>
      <c r="F75" s="539">
        <f>IF(MIS_Calc!$B$388="","–",MIS_Calc!$B$388)</f>
        <v>3820</v>
      </c>
      <c r="G75" s="538"/>
      <c r="H75" s="539">
        <f>IF(MIS_Calc!$C$388="","–",MIS_Calc!$C$388)</f>
        <v>43607</v>
      </c>
      <c r="I75" s="538"/>
      <c r="J75" s="540">
        <f>IF(MIS_Calc!$D$388="","–",MIS_Calc!$D$388)</f>
        <v>11.415445026178011</v>
      </c>
      <c r="K75" s="538"/>
      <c r="L75" s="541">
        <f>IF(MIS_Calc!$E$388="","–",MIS_Calc!$E$388)</f>
        <v>3.7450980392156863</v>
      </c>
      <c r="M75" s="538"/>
      <c r="N75" s="539">
        <f>IF(MIS_Calc!$F$388="","–",MIS_Calc!$F$388)</f>
        <v>13.436</v>
      </c>
      <c r="O75" s="538"/>
      <c r="P75" s="541">
        <f>IF(MIS_Calc!$G$388="","–",MIS_Calc!$G$388)</f>
        <v>0.43908496732026142</v>
      </c>
      <c r="Q75" s="538"/>
      <c r="R75" s="539">
        <f>IF(MIS_Calc!$H$388="","–",MIS_Calc!$H$388)</f>
        <v>1020</v>
      </c>
      <c r="S75" s="538"/>
      <c r="T75" s="537">
        <f>IF(MIS_Calc!$I$388="","–",MIS_Calc!$I$388)</f>
        <v>3</v>
      </c>
      <c r="U75" s="538"/>
      <c r="V75" s="539">
        <f>IF(MIS_Calc!$J$388="","–",MIS_Calc!$J$388)</f>
        <v>37240</v>
      </c>
      <c r="W75" s="538"/>
      <c r="X75" s="537">
        <f>IF(MIS_Calc!$K$388="","–",MIS_Calc!$K$388)</f>
        <v>0</v>
      </c>
      <c r="Y75" s="538"/>
      <c r="Z75" s="516"/>
    </row>
    <row r="76" spans="1:26" ht="17.100000000000001" customHeight="1" x14ac:dyDescent="0.25">
      <c r="A76" s="518"/>
      <c r="B76" s="544" t="str">
        <f>MIS_Calc!$A$389</f>
        <v>AKSM</v>
      </c>
      <c r="C76" s="544"/>
      <c r="D76" s="544"/>
      <c r="E76" s="544"/>
      <c r="F76" s="539" t="str">
        <f>IF(MIS_Calc!$B$389="","–",MIS_Calc!$B$389)</f>
        <v>–</v>
      </c>
      <c r="G76" s="538"/>
      <c r="H76" s="539" t="str">
        <f>IF(MIS_Calc!$C$389="","–",MIS_Calc!$C$389)</f>
        <v>–</v>
      </c>
      <c r="I76" s="538"/>
      <c r="J76" s="540" t="str">
        <f>IF(MIS_Calc!$D$389="","–",MIS_Calc!$D$389)</f>
        <v>–</v>
      </c>
      <c r="K76" s="538"/>
      <c r="L76" s="541" t="str">
        <f>IF(MIS_Calc!$E$389="","–",MIS_Calc!$E$389)</f>
        <v>–</v>
      </c>
      <c r="M76" s="538"/>
      <c r="N76" s="539" t="str">
        <f>IF(MIS_Calc!$F$389="","–",MIS_Calc!$F$389)</f>
        <v>–</v>
      </c>
      <c r="O76" s="538"/>
      <c r="P76" s="541" t="str">
        <f>IF(MIS_Calc!$G$389="","–",MIS_Calc!$G$389)</f>
        <v>–</v>
      </c>
      <c r="Q76" s="538"/>
      <c r="R76" s="539" t="str">
        <f>IF(MIS_Calc!$H$389="","–",MIS_Calc!$H$389)</f>
        <v>–</v>
      </c>
      <c r="S76" s="538"/>
      <c r="T76" s="537" t="str">
        <f>IF(MIS_Calc!$I$389="","–",MIS_Calc!$I$389)</f>
        <v>–</v>
      </c>
      <c r="U76" s="538"/>
      <c r="V76" s="539" t="str">
        <f>IF(MIS_Calc!$J$389="","–",MIS_Calc!$J$389)</f>
        <v>–</v>
      </c>
      <c r="W76" s="538"/>
      <c r="X76" s="537">
        <f>IF(MIS_Calc!$K$389="","–",MIS_Calc!$K$389)</f>
        <v>2</v>
      </c>
      <c r="Y76" s="538"/>
      <c r="Z76" s="516"/>
    </row>
    <row r="77" spans="1:26" ht="17.100000000000001" customHeight="1" x14ac:dyDescent="0.25">
      <c r="A77" s="518"/>
      <c r="B77" s="544" t="str">
        <f>MIS_Calc!$A$390</f>
        <v>AKSS</v>
      </c>
      <c r="C77" s="544"/>
      <c r="D77" s="544"/>
      <c r="E77" s="544"/>
      <c r="F77" s="539" t="str">
        <f>IF(MIS_Calc!$B$390="","–",MIS_Calc!$B$390)</f>
        <v>–</v>
      </c>
      <c r="G77" s="538"/>
      <c r="H77" s="539" t="str">
        <f>IF(MIS_Calc!$C$390="","–",MIS_Calc!$C$390)</f>
        <v>–</v>
      </c>
      <c r="I77" s="538"/>
      <c r="J77" s="540" t="str">
        <f>IF(MIS_Calc!$D$390="","–",MIS_Calc!$D$390)</f>
        <v>–</v>
      </c>
      <c r="K77" s="538"/>
      <c r="L77" s="541" t="str">
        <f>IF(MIS_Calc!$E$390="","–",MIS_Calc!$E$390)</f>
        <v>–</v>
      </c>
      <c r="M77" s="538"/>
      <c r="N77" s="539">
        <f>IF(MIS_Calc!$F$390="","–",MIS_Calc!$F$390)</f>
        <v>27.9</v>
      </c>
      <c r="O77" s="538"/>
      <c r="P77" s="541">
        <f>IF(MIS_Calc!$G$390="","–",MIS_Calc!$G$390)</f>
        <v>1.7547169811320755</v>
      </c>
      <c r="Q77" s="538"/>
      <c r="R77" s="539">
        <f>IF(MIS_Calc!$H$390="","–",MIS_Calc!$H$390)</f>
        <v>530</v>
      </c>
      <c r="S77" s="538"/>
      <c r="T77" s="537">
        <f>IF(MIS_Calc!$I$390="","–",MIS_Calc!$I$390)</f>
        <v>3</v>
      </c>
      <c r="U77" s="538"/>
      <c r="V77" s="539">
        <f>IF(MIS_Calc!$J$390="","–",MIS_Calc!$J$390)</f>
        <v>6020</v>
      </c>
      <c r="W77" s="538"/>
      <c r="X77" s="537">
        <f>IF(MIS_Calc!$K$390="","–",MIS_Calc!$K$390)</f>
        <v>0</v>
      </c>
      <c r="Y77" s="538"/>
      <c r="Z77" s="516"/>
    </row>
    <row r="78" spans="1:26" ht="17.100000000000001" customHeight="1" x14ac:dyDescent="0.25">
      <c r="A78" s="518"/>
      <c r="B78" s="544" t="str">
        <f>MIS_Calc!$A$391</f>
        <v>AKSC</v>
      </c>
      <c r="C78" s="544"/>
      <c r="D78" s="544"/>
      <c r="E78" s="544"/>
      <c r="F78" s="539" t="str">
        <f>IF(MIS_Calc!$B$391="","–",MIS_Calc!$B$391)</f>
        <v>–</v>
      </c>
      <c r="G78" s="538"/>
      <c r="H78" s="539" t="str">
        <f>IF(MIS_Calc!$C$391="","–",MIS_Calc!$C$391)</f>
        <v>–</v>
      </c>
      <c r="I78" s="538"/>
      <c r="J78" s="540" t="str">
        <f>IF(MIS_Calc!$D$391="","–",MIS_Calc!$D$391)</f>
        <v>–</v>
      </c>
      <c r="K78" s="538"/>
      <c r="L78" s="541" t="str">
        <f>IF(MIS_Calc!$E$391="","–",MIS_Calc!$E$391)</f>
        <v>–</v>
      </c>
      <c r="M78" s="538"/>
      <c r="N78" s="539" t="str">
        <f>IF(MIS_Calc!$F$391="","–",MIS_Calc!$F$391)</f>
        <v>–</v>
      </c>
      <c r="O78" s="538"/>
      <c r="P78" s="541" t="str">
        <f>IF(MIS_Calc!$G$391="","–",MIS_Calc!$G$391)</f>
        <v>–</v>
      </c>
      <c r="Q78" s="538"/>
      <c r="R78" s="539" t="str">
        <f>IF(MIS_Calc!$H$391="","–",MIS_Calc!$H$391)</f>
        <v>–</v>
      </c>
      <c r="S78" s="538"/>
      <c r="T78" s="537" t="str">
        <f>IF(MIS_Calc!$I$391="","–",MIS_Calc!$I$391)</f>
        <v>–</v>
      </c>
      <c r="U78" s="538"/>
      <c r="V78" s="539" t="str">
        <f>IF(MIS_Calc!$J$391="","–",MIS_Calc!$J$391)</f>
        <v>–</v>
      </c>
      <c r="W78" s="538"/>
      <c r="X78" s="537">
        <f>IF(MIS_Calc!$K$391="","–",MIS_Calc!$K$391)</f>
        <v>0</v>
      </c>
      <c r="Y78" s="538"/>
      <c r="Z78" s="516"/>
    </row>
    <row r="79" spans="1:26" ht="17.100000000000001" customHeight="1" x14ac:dyDescent="0.25">
      <c r="A79" s="518"/>
      <c r="B79" s="544" t="str">
        <f>MIS_Calc!$A$392</f>
        <v>DJHSH (PRI)</v>
      </c>
      <c r="C79" s="544"/>
      <c r="D79" s="544"/>
      <c r="E79" s="544"/>
      <c r="F79" s="539">
        <f>IF(MIS_Calc!$B$392="","–",MIS_Calc!$B$392)</f>
        <v>1187</v>
      </c>
      <c r="G79" s="538"/>
      <c r="H79" s="539">
        <f>IF(MIS_Calc!$C$392="","–",MIS_Calc!$C$392)</f>
        <v>13538</v>
      </c>
      <c r="I79" s="538"/>
      <c r="J79" s="540">
        <f>IF(MIS_Calc!$D$392="","–",MIS_Calc!$D$392)</f>
        <v>11.405223251895535</v>
      </c>
      <c r="K79" s="538"/>
      <c r="L79" s="541">
        <f>IF(MIS_Calc!$E$392="","–",MIS_Calc!$E$392)</f>
        <v>4.1215277777777777</v>
      </c>
      <c r="M79" s="538"/>
      <c r="N79" s="539">
        <f>IF(MIS_Calc!$F$392="","–",MIS_Calc!$F$392)</f>
        <v>78.11</v>
      </c>
      <c r="O79" s="538"/>
      <c r="P79" s="541">
        <f>IF(MIS_Calc!$G$392="","–",MIS_Calc!$G$392)</f>
        <v>9.0405092592592595</v>
      </c>
      <c r="Q79" s="538"/>
      <c r="R79" s="539">
        <f>IF(MIS_Calc!$H$392="","–",MIS_Calc!$H$392)</f>
        <v>288</v>
      </c>
      <c r="S79" s="538"/>
      <c r="T79" s="537">
        <f>IF(MIS_Calc!$I$392="","–",MIS_Calc!$I$392)</f>
        <v>4</v>
      </c>
      <c r="U79" s="538"/>
      <c r="V79" s="539">
        <f>IF(MIS_Calc!$J$392="","–",MIS_Calc!$J$392)</f>
        <v>9588</v>
      </c>
      <c r="W79" s="538"/>
      <c r="X79" s="537">
        <f>IF(MIS_Calc!$K$392="","–",MIS_Calc!$K$392)</f>
        <v>2</v>
      </c>
      <c r="Y79" s="538"/>
      <c r="Z79" s="516"/>
    </row>
    <row r="80" spans="1:26" ht="17.100000000000001" customHeight="1" x14ac:dyDescent="0.25">
      <c r="A80" s="518"/>
      <c r="B80" s="544" t="str">
        <f>MIS_Calc!$A$393</f>
        <v>DJHSH (HS)</v>
      </c>
      <c r="C80" s="544"/>
      <c r="D80" s="544"/>
      <c r="E80" s="544"/>
      <c r="F80" s="539">
        <f>IF(MIS_Calc!$B$393="","–",MIS_Calc!$B$393)</f>
        <v>3427</v>
      </c>
      <c r="G80" s="538"/>
      <c r="H80" s="539">
        <f>IF(MIS_Calc!$C$393="","–",MIS_Calc!$C$393)</f>
        <v>38841</v>
      </c>
      <c r="I80" s="538"/>
      <c r="J80" s="540">
        <f>IF(MIS_Calc!$D$393="","–",MIS_Calc!$D$393)</f>
        <v>11.333819667347534</v>
      </c>
      <c r="K80" s="538"/>
      <c r="L80" s="541">
        <f>IF(MIS_Calc!$E$393="","–",MIS_Calc!$E$393)</f>
        <v>5.7116666666666669</v>
      </c>
      <c r="M80" s="538"/>
      <c r="N80" s="539">
        <f>IF(MIS_Calc!$F$393="","–",MIS_Calc!$F$393)</f>
        <v>141.30000000000001</v>
      </c>
      <c r="O80" s="538"/>
      <c r="P80" s="541">
        <f>IF(MIS_Calc!$G$393="","–",MIS_Calc!$G$393)</f>
        <v>7.85</v>
      </c>
      <c r="Q80" s="538"/>
      <c r="R80" s="539">
        <f>IF(MIS_Calc!$H$393="","–",MIS_Calc!$H$393)</f>
        <v>600</v>
      </c>
      <c r="S80" s="538"/>
      <c r="T80" s="537" t="str">
        <f>IF(MIS_Calc!$I$393="","–",MIS_Calc!$I$393)</f>
        <v>with PRI</v>
      </c>
      <c r="U80" s="538"/>
      <c r="V80" s="539" t="str">
        <f>IF(MIS_Calc!$J$393="","–",MIS_Calc!$J$393)</f>
        <v>with PRI</v>
      </c>
      <c r="W80" s="538"/>
      <c r="X80" s="537">
        <f>IF(MIS_Calc!$K$393="","–",MIS_Calc!$K$393)</f>
        <v>2</v>
      </c>
      <c r="Y80" s="538"/>
      <c r="Z80" s="516"/>
    </row>
    <row r="81" spans="1:26" ht="17.100000000000001" customHeight="1" x14ac:dyDescent="0.25">
      <c r="A81" s="518"/>
      <c r="B81" s="544" t="str">
        <f>MIS_Calc!$A$394</f>
        <v>PJHSW</v>
      </c>
      <c r="C81" s="544"/>
      <c r="D81" s="544"/>
      <c r="E81" s="544"/>
      <c r="F81" s="539" t="str">
        <f>IF(MIS_Calc!$B$394="","–",MIS_Calc!$B$394)</f>
        <v>–</v>
      </c>
      <c r="G81" s="538"/>
      <c r="H81" s="539" t="str">
        <f>IF(MIS_Calc!$C$394="","–",MIS_Calc!$C$394)</f>
        <v>–</v>
      </c>
      <c r="I81" s="538"/>
      <c r="J81" s="540" t="str">
        <f>IF(MIS_Calc!$D$394="","–",MIS_Calc!$D$394)</f>
        <v>–</v>
      </c>
      <c r="K81" s="538"/>
      <c r="L81" s="541" t="str">
        <f>IF(MIS_Calc!$E$394="","–",MIS_Calc!$E$394)</f>
        <v>–</v>
      </c>
      <c r="M81" s="538"/>
      <c r="N81" s="539">
        <f>IF(MIS_Calc!$F$394="","–",MIS_Calc!$F$394)</f>
        <v>699</v>
      </c>
      <c r="O81" s="538"/>
      <c r="P81" s="541">
        <f>IF(MIS_Calc!$G$394="","–",MIS_Calc!$G$394)</f>
        <v>16.385372714486639</v>
      </c>
      <c r="Q81" s="538"/>
      <c r="R81" s="539">
        <f>IF(MIS_Calc!$H$394="","–",MIS_Calc!$H$394)</f>
        <v>1422</v>
      </c>
      <c r="S81" s="538"/>
      <c r="T81" s="537">
        <f>IF(MIS_Calc!$I$394="","–",MIS_Calc!$I$394)</f>
        <v>1</v>
      </c>
      <c r="U81" s="538"/>
      <c r="V81" s="539">
        <f>IF(MIS_Calc!$J$394="","–",MIS_Calc!$J$394)</f>
        <v>2730</v>
      </c>
      <c r="W81" s="538"/>
      <c r="X81" s="537">
        <f>IF(MIS_Calc!$K$394="","–",MIS_Calc!$K$394)</f>
        <v>2</v>
      </c>
      <c r="Y81" s="538"/>
      <c r="Z81" s="516"/>
    </row>
    <row r="82" spans="1:26" ht="17.100000000000001" customHeight="1" x14ac:dyDescent="0.25">
      <c r="A82" s="518"/>
      <c r="B82" s="544" t="str">
        <f>MIS_Calc!$A$395</f>
        <v>LSHSA</v>
      </c>
      <c r="C82" s="544"/>
      <c r="D82" s="544"/>
      <c r="E82" s="544"/>
      <c r="F82" s="539">
        <f>IF(MIS_Calc!$B$395="","–",MIS_Calc!$B$395)</f>
        <v>3089</v>
      </c>
      <c r="G82" s="538"/>
      <c r="H82" s="539">
        <f>IF(MIS_Calc!$C$395="","–",MIS_Calc!$C$395)</f>
        <v>37962</v>
      </c>
      <c r="I82" s="538"/>
      <c r="J82" s="540">
        <f>IF(MIS_Calc!$D$395="","–",MIS_Calc!$D$395)</f>
        <v>12.289414049854322</v>
      </c>
      <c r="K82" s="538"/>
      <c r="L82" s="541">
        <f>IF(MIS_Calc!$E$395="","–",MIS_Calc!$E$395)</f>
        <v>2.6767764298093586</v>
      </c>
      <c r="M82" s="538"/>
      <c r="N82" s="539">
        <f>IF(MIS_Calc!$F$395="","–",MIS_Calc!$F$395)</f>
        <v>456.33</v>
      </c>
      <c r="O82" s="538"/>
      <c r="P82" s="541">
        <f>IF(MIS_Calc!$G$395="","–",MIS_Calc!$G$395)</f>
        <v>13.18110918544194</v>
      </c>
      <c r="Q82" s="538"/>
      <c r="R82" s="539">
        <f>IF(MIS_Calc!$H$395="","–",MIS_Calc!$H$395)</f>
        <v>1154</v>
      </c>
      <c r="S82" s="538"/>
      <c r="T82" s="537">
        <f>IF(MIS_Calc!$I$395="","–",MIS_Calc!$I$395)</f>
        <v>9</v>
      </c>
      <c r="U82" s="538"/>
      <c r="V82" s="539">
        <f>IF(MIS_Calc!$J$395="","–",MIS_Calc!$J$395)</f>
        <v>20150</v>
      </c>
      <c r="W82" s="538"/>
      <c r="X82" s="537">
        <f>IF(MIS_Calc!$K$395="","–",MIS_Calc!$K$395)</f>
        <v>2</v>
      </c>
      <c r="Y82" s="538"/>
      <c r="Z82" s="516"/>
    </row>
    <row r="83" spans="1:26" ht="17.100000000000001" customHeight="1" x14ac:dyDescent="0.25">
      <c r="A83" s="518"/>
      <c r="B83" s="544" t="str">
        <f>MIS_Calc!$A$396</f>
        <v>AKHH</v>
      </c>
      <c r="C83" s="544"/>
      <c r="D83" s="544"/>
      <c r="E83" s="544"/>
      <c r="F83" s="539">
        <f>IF(MIS_Calc!$B$396="","–",MIS_Calc!$B$396)</f>
        <v>9252</v>
      </c>
      <c r="G83" s="538"/>
      <c r="H83" s="539">
        <f>IF(MIS_Calc!$C$396="","–",MIS_Calc!$C$396)</f>
        <v>122290</v>
      </c>
      <c r="I83" s="538"/>
      <c r="J83" s="540">
        <f>IF(MIS_Calc!$D$396="","–",MIS_Calc!$D$396)</f>
        <v>13.217682663207954</v>
      </c>
      <c r="K83" s="538"/>
      <c r="L83" s="541">
        <f>IF(MIS_Calc!$E$396="","–",MIS_Calc!$E$396)</f>
        <v>60.470588235294116</v>
      </c>
      <c r="M83" s="538"/>
      <c r="N83" s="539">
        <f>IF(MIS_Calc!$F$396="","–",MIS_Calc!$F$396)</f>
        <v>1588</v>
      </c>
      <c r="O83" s="538"/>
      <c r="P83" s="541">
        <f>IF(MIS_Calc!$G$396="","–",MIS_Calc!$G$396)</f>
        <v>345.96949891067538</v>
      </c>
      <c r="Q83" s="538"/>
      <c r="R83" s="539">
        <f>IF(MIS_Calc!$H$396="","–",MIS_Calc!$H$396)</f>
        <v>153</v>
      </c>
      <c r="S83" s="538"/>
      <c r="T83" s="537">
        <f>IF(MIS_Calc!$I$396="","–",MIS_Calc!$I$396)</f>
        <v>76</v>
      </c>
      <c r="U83" s="538"/>
      <c r="V83" s="539" t="str">
        <f>IF(MIS_Calc!$J$396="","–",MIS_Calc!$J$396)</f>
        <v>–</v>
      </c>
      <c r="W83" s="538"/>
      <c r="X83" s="537">
        <f>IF(MIS_Calc!$K$396="","–",MIS_Calc!$K$396)</f>
        <v>1</v>
      </c>
      <c r="Y83" s="538"/>
      <c r="Z83" s="516"/>
    </row>
    <row r="84" spans="1:26" ht="18" customHeight="1" x14ac:dyDescent="0.25">
      <c r="A84" s="518"/>
      <c r="B84" s="553" t="s">
        <v>47</v>
      </c>
      <c r="C84" s="553"/>
      <c r="D84" s="553"/>
      <c r="E84" s="553"/>
      <c r="F84" s="548">
        <f>IF(MIS_Calc!$B$397="","–",MIS_Calc!$B$397)</f>
        <v>20775</v>
      </c>
      <c r="G84" s="549"/>
      <c r="H84" s="548">
        <f>IF(MIS_Calc!$C$397="","–",MIS_Calc!$C$397)</f>
        <v>256238</v>
      </c>
      <c r="I84" s="549"/>
      <c r="J84" s="600">
        <f>IF(MIS_Calc!$D$397="","–",MIS_Calc!$D$397)</f>
        <v>12.333959085439229</v>
      </c>
      <c r="K84" s="549"/>
      <c r="L84" s="550">
        <f>IF(MIS_Calc!$E$397="","–",MIS_Calc!$E$397)</f>
        <v>6.461897356143079</v>
      </c>
      <c r="M84" s="549"/>
      <c r="N84" s="548">
        <f>IF(MIS_Calc!$F$397="","–",MIS_Calc!$F$397)</f>
        <v>3046.3760000000002</v>
      </c>
      <c r="O84" s="549"/>
      <c r="P84" s="550">
        <f>IF(MIS_Calc!$G$397="","–",MIS_Calc!$G$397)</f>
        <v>15.931262420248927</v>
      </c>
      <c r="Q84" s="549"/>
      <c r="R84" s="548">
        <f>IF(MIS_Calc!$H$397="","–",MIS_Calc!$H$397)</f>
        <v>6374</v>
      </c>
      <c r="S84" s="549"/>
      <c r="T84" s="592">
        <f>IF(MIS_Calc!$I$397="","–",MIS_Calc!$I$397)</f>
        <v>96</v>
      </c>
      <c r="U84" s="549"/>
      <c r="V84" s="548">
        <f>IF(MIS_Calc!$J$397="","–",MIS_Calc!$J$397)</f>
        <v>75728</v>
      </c>
      <c r="W84" s="549"/>
      <c r="X84" s="592">
        <f>IF(MIS_Calc!$K$397="","–",MIS_Calc!$K$397)</f>
        <v>12</v>
      </c>
      <c r="Y84" s="549"/>
      <c r="Z84" s="516"/>
    </row>
    <row r="85" spans="1:26" ht="15" customHeight="1" x14ac:dyDescent="0.25">
      <c r="A85" s="518"/>
      <c r="B85" s="516"/>
      <c r="C85" s="516"/>
      <c r="D85" s="516"/>
      <c r="E85" s="516"/>
      <c r="F85" s="516"/>
      <c r="G85" s="516"/>
      <c r="H85" s="516"/>
      <c r="I85" s="516"/>
      <c r="J85" s="516"/>
      <c r="K85" s="516"/>
      <c r="L85" s="516"/>
      <c r="M85" s="516"/>
      <c r="N85" s="516"/>
      <c r="O85" s="516"/>
      <c r="P85" s="516"/>
      <c r="Q85" s="516"/>
      <c r="R85" s="516"/>
      <c r="S85" s="516"/>
      <c r="T85" s="516"/>
      <c r="U85" s="516"/>
      <c r="V85" s="516"/>
      <c r="W85" s="516"/>
      <c r="X85" s="516"/>
      <c r="Y85" s="516"/>
      <c r="Z85" s="516"/>
    </row>
    <row r="86" spans="1:26" ht="21.95" customHeight="1" x14ac:dyDescent="0.25">
      <c r="A86" s="518"/>
      <c r="B86" s="596" t="s">
        <v>48</v>
      </c>
      <c r="C86" s="597"/>
      <c r="D86" s="597"/>
      <c r="E86" s="597"/>
      <c r="F86" s="597"/>
      <c r="G86" s="597"/>
      <c r="H86" s="597"/>
      <c r="I86" s="597"/>
      <c r="J86" s="597"/>
      <c r="K86" s="597"/>
      <c r="L86" s="597"/>
      <c r="M86" s="597"/>
      <c r="N86" s="578" t="s">
        <v>49</v>
      </c>
      <c r="O86" s="579"/>
      <c r="P86" s="579"/>
      <c r="Q86" s="579"/>
      <c r="R86" s="579"/>
      <c r="S86" s="579"/>
      <c r="T86" s="579"/>
      <c r="U86" s="579"/>
      <c r="V86" s="579"/>
      <c r="W86" s="579"/>
      <c r="X86" s="579"/>
      <c r="Y86" s="579"/>
      <c r="Z86" s="516"/>
    </row>
    <row r="87" spans="1:26" ht="30" customHeight="1" x14ac:dyDescent="0.25">
      <c r="A87" s="518"/>
      <c r="B87" s="551" t="s">
        <v>50</v>
      </c>
      <c r="C87" s="551"/>
      <c r="D87" s="551"/>
      <c r="E87" s="551"/>
      <c r="F87" s="551"/>
      <c r="G87" s="551"/>
      <c r="H87" s="551"/>
      <c r="I87" s="551"/>
      <c r="J87" s="569">
        <f>MIS_Calc!$J$292</f>
        <v>-0.56370852999700738</v>
      </c>
      <c r="K87" s="556"/>
      <c r="L87" s="542" t="str">
        <f>IF(MIS_Calc!$J$292="","–",IF(MIS_Calc!$J$292&gt;MIS_Calc!$B$14,"▲ Watch","✔ OK"))</f>
        <v>✔ OK</v>
      </c>
      <c r="M87" s="542"/>
      <c r="N87" s="545" t="s">
        <v>51</v>
      </c>
      <c r="O87" s="545"/>
      <c r="P87" s="545"/>
      <c r="Q87" s="545"/>
      <c r="R87" s="545"/>
      <c r="S87" s="545"/>
      <c r="T87" s="545"/>
      <c r="U87" s="545"/>
      <c r="V87" s="545"/>
      <c r="W87" s="545"/>
      <c r="X87" s="545"/>
      <c r="Y87" s="545"/>
      <c r="Z87" s="516"/>
    </row>
    <row r="88" spans="1:26" ht="30" customHeight="1" x14ac:dyDescent="0.25">
      <c r="A88" s="518"/>
      <c r="B88" s="551" t="s">
        <v>52</v>
      </c>
      <c r="C88" s="551"/>
      <c r="D88" s="551"/>
      <c r="E88" s="551"/>
      <c r="F88" s="551"/>
      <c r="G88" s="551"/>
      <c r="H88" s="551"/>
      <c r="I88" s="551"/>
      <c r="J88" s="569">
        <f>MIS_Calc!$J$295</f>
        <v>-1.3954325044676086E-3</v>
      </c>
      <c r="K88" s="556"/>
      <c r="L88" s="542" t="str">
        <f>IF(MIS_Calc!$J$295="","–",IF(MIS_Calc!$J$295&gt;MIS_Calc!$B$14,"▲ Watch","✔ OK"))</f>
        <v>✔ OK</v>
      </c>
      <c r="M88" s="542"/>
      <c r="N88" s="545" t="s">
        <v>53</v>
      </c>
      <c r="O88" s="545"/>
      <c r="P88" s="545"/>
      <c r="Q88" s="545"/>
      <c r="R88" s="545"/>
      <c r="S88" s="545"/>
      <c r="T88" s="545"/>
      <c r="U88" s="545"/>
      <c r="V88" s="545"/>
      <c r="W88" s="545"/>
      <c r="X88" s="545"/>
      <c r="Y88" s="545"/>
      <c r="Z88" s="516"/>
    </row>
    <row r="89" spans="1:26" ht="30" customHeight="1" x14ac:dyDescent="0.25">
      <c r="A89" s="518"/>
      <c r="B89" s="551" t="s">
        <v>54</v>
      </c>
      <c r="C89" s="551"/>
      <c r="D89" s="551"/>
      <c r="E89" s="551"/>
      <c r="F89" s="551"/>
      <c r="G89" s="551"/>
      <c r="H89" s="551"/>
      <c r="I89" s="551"/>
      <c r="J89" s="569">
        <f>MIS_Calc!$J$305</f>
        <v>2.7170926209336033E-2</v>
      </c>
      <c r="K89" s="556"/>
      <c r="L89" s="542" t="str">
        <f>IF(MIS_Calc!$J$305="","–",IF(MIS_Calc!$J$305&gt;MIS_Calc!$B$14,"▲ Watch","✔ OK"))</f>
        <v>✔ OK</v>
      </c>
      <c r="M89" s="542"/>
      <c r="N89" s="545" t="s">
        <v>55</v>
      </c>
      <c r="O89" s="545"/>
      <c r="P89" s="545"/>
      <c r="Q89" s="545"/>
      <c r="R89" s="545"/>
      <c r="S89" s="545"/>
      <c r="T89" s="545"/>
      <c r="U89" s="545"/>
      <c r="V89" s="545"/>
      <c r="W89" s="545"/>
      <c r="X89" s="545"/>
      <c r="Y89" s="545"/>
      <c r="Z89" s="516"/>
    </row>
    <row r="90" spans="1:26" ht="30" customHeight="1" x14ac:dyDescent="0.25">
      <c r="A90" s="518"/>
      <c r="B90" s="551" t="s">
        <v>56</v>
      </c>
      <c r="C90" s="551"/>
      <c r="D90" s="551"/>
      <c r="E90" s="551"/>
      <c r="F90" s="551"/>
      <c r="G90" s="551"/>
      <c r="H90" s="551"/>
      <c r="I90" s="551"/>
      <c r="J90" s="569">
        <f>MIS_Calc!$J$300</f>
        <v>-0.59635294361513425</v>
      </c>
      <c r="K90" s="556"/>
      <c r="L90" s="542" t="str">
        <f>IF(MIS_Calc!$J$300="","–",IF(MIS_Calc!$J$300&gt;MIS_Calc!$B$14,"▲ Watch","✔ OK"))</f>
        <v>✔ OK</v>
      </c>
      <c r="M90" s="542"/>
      <c r="N90" s="545" t="s">
        <v>57</v>
      </c>
      <c r="O90" s="545"/>
      <c r="P90" s="545"/>
      <c r="Q90" s="545"/>
      <c r="R90" s="545"/>
      <c r="S90" s="545"/>
      <c r="T90" s="545"/>
      <c r="U90" s="545"/>
      <c r="V90" s="545"/>
      <c r="W90" s="545"/>
      <c r="X90" s="545"/>
      <c r="Y90" s="545"/>
      <c r="Z90" s="516"/>
    </row>
    <row r="91" spans="1:26" ht="30" customHeight="1" x14ac:dyDescent="0.25">
      <c r="A91" s="518"/>
      <c r="B91" s="551" t="s">
        <v>58</v>
      </c>
      <c r="C91" s="551"/>
      <c r="D91" s="551"/>
      <c r="E91" s="551"/>
      <c r="F91" s="551"/>
      <c r="G91" s="551"/>
      <c r="H91" s="551"/>
      <c r="I91" s="551"/>
      <c r="J91" s="555">
        <f>MIS_Calc!$E$308</f>
        <v>5</v>
      </c>
      <c r="K91" s="556"/>
      <c r="L91" s="542" t="str">
        <f>IF(MIS_Calc!$E$308="","–",IF(MIS_Calc!$E$308&gt;0,"▲ Act","✔ OK"))</f>
        <v>▲ Act</v>
      </c>
      <c r="M91" s="542"/>
      <c r="N91" s="545" t="s">
        <v>59</v>
      </c>
      <c r="O91" s="545"/>
      <c r="P91" s="545"/>
      <c r="Q91" s="545"/>
      <c r="R91" s="545"/>
      <c r="S91" s="545"/>
      <c r="T91" s="545"/>
      <c r="U91" s="545"/>
      <c r="V91" s="545"/>
      <c r="W91" s="545"/>
      <c r="X91" s="545"/>
      <c r="Y91" s="545"/>
      <c r="Z91" s="516"/>
    </row>
    <row r="92" spans="1:26" ht="30" customHeight="1" x14ac:dyDescent="0.25">
      <c r="A92" s="518"/>
      <c r="B92" s="551" t="s">
        <v>60</v>
      </c>
      <c r="C92" s="551"/>
      <c r="D92" s="551"/>
      <c r="E92" s="551"/>
      <c r="F92" s="551"/>
      <c r="G92" s="551"/>
      <c r="H92" s="551"/>
      <c r="I92" s="551"/>
      <c r="J92" s="555">
        <f>MIS_Calc!$F$308</f>
        <v>2</v>
      </c>
      <c r="K92" s="556"/>
      <c r="L92" s="542" t="str">
        <f>IF(MIS_Calc!$F$308="","–",IF(MIS_Calc!$F$308&gt;0,"▲ Act","✔ OK"))</f>
        <v>▲ Act</v>
      </c>
      <c r="M92" s="542"/>
      <c r="N92" s="545" t="s">
        <v>61</v>
      </c>
      <c r="O92" s="545"/>
      <c r="P92" s="545"/>
      <c r="Q92" s="545"/>
      <c r="R92" s="545"/>
      <c r="S92" s="545"/>
      <c r="T92" s="545"/>
      <c r="U92" s="545"/>
      <c r="V92" s="545"/>
      <c r="W92" s="545"/>
      <c r="X92" s="545"/>
      <c r="Y92" s="545"/>
      <c r="Z92" s="516"/>
    </row>
    <row r="93" spans="1:26" ht="30" customHeight="1" x14ac:dyDescent="0.25">
      <c r="A93" s="518"/>
      <c r="B93" s="551" t="s">
        <v>62</v>
      </c>
      <c r="C93" s="551"/>
      <c r="D93" s="551"/>
      <c r="E93" s="551"/>
      <c r="F93" s="551"/>
      <c r="G93" s="551"/>
      <c r="H93" s="551"/>
      <c r="I93" s="551"/>
      <c r="J93" s="555">
        <f>MIS_Calc!$C$370</f>
        <v>12</v>
      </c>
      <c r="K93" s="556"/>
      <c r="L93" s="542" t="str">
        <f>IF(MIS_Calc!$C$370="","–",IF(MIS_Calc!$C$370&gt;0,"▲ Act","✔ OK"))</f>
        <v>▲ Act</v>
      </c>
      <c r="M93" s="542"/>
      <c r="N93" s="545" t="s">
        <v>63</v>
      </c>
      <c r="O93" s="545"/>
      <c r="P93" s="545"/>
      <c r="Q93" s="545"/>
      <c r="R93" s="545"/>
      <c r="S93" s="545"/>
      <c r="T93" s="545"/>
      <c r="U93" s="545"/>
      <c r="V93" s="545"/>
      <c r="W93" s="545"/>
      <c r="X93" s="545"/>
      <c r="Y93" s="545"/>
      <c r="Z93" s="516"/>
    </row>
    <row r="94" spans="1:26" ht="30" customHeight="1" x14ac:dyDescent="0.25">
      <c r="A94" s="518"/>
      <c r="B94" s="551" t="s">
        <v>64</v>
      </c>
      <c r="C94" s="551"/>
      <c r="D94" s="551"/>
      <c r="E94" s="551"/>
      <c r="F94" s="551"/>
      <c r="G94" s="551"/>
      <c r="H94" s="551"/>
      <c r="I94" s="551"/>
      <c r="J94" s="555">
        <f>MIS_Calc!$C$368</f>
        <v>1</v>
      </c>
      <c r="K94" s="556"/>
      <c r="L94" s="542" t="str">
        <f>IF(MIS_Calc!$C$368="","–",IF(MIS_Calc!$C$368&gt;0,"▲ Act","✔ OK"))</f>
        <v>▲ Act</v>
      </c>
      <c r="M94" s="542"/>
      <c r="N94" s="545" t="s">
        <v>65</v>
      </c>
      <c r="O94" s="545"/>
      <c r="P94" s="545"/>
      <c r="Q94" s="545"/>
      <c r="R94" s="545"/>
      <c r="S94" s="545"/>
      <c r="T94" s="545"/>
      <c r="U94" s="545"/>
      <c r="V94" s="545"/>
      <c r="W94" s="545"/>
      <c r="X94" s="545"/>
      <c r="Y94" s="545"/>
      <c r="Z94" s="516"/>
    </row>
    <row r="95" spans="1:26" ht="30" customHeight="1" x14ac:dyDescent="0.25">
      <c r="A95" s="518"/>
      <c r="B95" s="551" t="s">
        <v>66</v>
      </c>
      <c r="C95" s="551"/>
      <c r="D95" s="551"/>
      <c r="E95" s="551"/>
      <c r="F95" s="551"/>
      <c r="G95" s="551"/>
      <c r="H95" s="551"/>
      <c r="I95" s="551"/>
      <c r="J95" s="555">
        <f>MIS_Calc!$C$371+MIS_Calc!$C$372</f>
        <v>43</v>
      </c>
      <c r="K95" s="556"/>
      <c r="L95" s="542" t="str">
        <f>IF((MIS_Calc!$C$371+MIS_Calc!$C$372)="","–",IF((MIS_Calc!$C$371+MIS_Calc!$C$372)&gt;0,"▲ Act","✔ OK"))</f>
        <v>▲ Act</v>
      </c>
      <c r="M95" s="542"/>
      <c r="N95" s="545" t="s">
        <v>67</v>
      </c>
      <c r="O95" s="545"/>
      <c r="P95" s="545"/>
      <c r="Q95" s="545"/>
      <c r="R95" s="545"/>
      <c r="S95" s="545"/>
      <c r="T95" s="545"/>
      <c r="U95" s="545"/>
      <c r="V95" s="545"/>
      <c r="W95" s="545"/>
      <c r="X95" s="545"/>
      <c r="Y95" s="545"/>
      <c r="Z95" s="516"/>
    </row>
    <row r="96" spans="1:26" ht="30" customHeight="1" x14ac:dyDescent="0.25">
      <c r="A96" s="518"/>
      <c r="B96" s="551" t="s">
        <v>68</v>
      </c>
      <c r="C96" s="551"/>
      <c r="D96" s="551"/>
      <c r="E96" s="551"/>
      <c r="F96" s="551"/>
      <c r="G96" s="551"/>
      <c r="H96" s="551"/>
      <c r="I96" s="551"/>
      <c r="J96" s="555">
        <f>MIS_Calc!$C$379</f>
        <v>4</v>
      </c>
      <c r="K96" s="556"/>
      <c r="L96" s="542" t="str">
        <f>IF(MIS_Calc!$C$379="","–",IF(MIS_Calc!$C$379&gt;0,"▲ Act","✔ OK"))</f>
        <v>▲ Act</v>
      </c>
      <c r="M96" s="542"/>
      <c r="N96" s="545" t="s">
        <v>69</v>
      </c>
      <c r="O96" s="545"/>
      <c r="P96" s="545"/>
      <c r="Q96" s="545"/>
      <c r="R96" s="545"/>
      <c r="S96" s="545"/>
      <c r="T96" s="545"/>
      <c r="U96" s="545"/>
      <c r="V96" s="545"/>
      <c r="W96" s="545"/>
      <c r="X96" s="545"/>
      <c r="Y96" s="545"/>
      <c r="Z96" s="516"/>
    </row>
    <row r="97" spans="1:26" ht="15" customHeight="1" x14ac:dyDescent="0.25">
      <c r="A97" s="518"/>
      <c r="B97" s="516"/>
      <c r="C97" s="516"/>
      <c r="D97" s="516"/>
      <c r="E97" s="516"/>
      <c r="F97" s="516"/>
      <c r="G97" s="516"/>
      <c r="H97" s="516"/>
      <c r="I97" s="516"/>
      <c r="J97" s="516"/>
      <c r="K97" s="516"/>
      <c r="L97" s="516"/>
      <c r="M97" s="516"/>
      <c r="N97" s="516"/>
      <c r="O97" s="516"/>
      <c r="P97" s="516"/>
      <c r="Q97" s="516"/>
      <c r="R97" s="516"/>
      <c r="S97" s="516"/>
      <c r="T97" s="516"/>
      <c r="U97" s="516"/>
      <c r="V97" s="516"/>
      <c r="W97" s="516"/>
      <c r="X97" s="516"/>
      <c r="Y97" s="516"/>
      <c r="Z97" s="516"/>
    </row>
    <row r="98" spans="1:26" ht="30" customHeight="1" x14ac:dyDescent="0.25">
      <c r="A98" s="518"/>
      <c r="B98" s="546" t="s">
        <v>70</v>
      </c>
      <c r="C98" s="547"/>
      <c r="D98" s="547"/>
      <c r="E98" s="547"/>
      <c r="F98" s="547"/>
      <c r="G98" s="547"/>
      <c r="H98" s="547"/>
      <c r="I98" s="547"/>
      <c r="J98" s="547"/>
      <c r="K98" s="547"/>
      <c r="L98" s="547"/>
      <c r="M98" s="547"/>
      <c r="N98" s="547"/>
      <c r="O98" s="547"/>
      <c r="P98" s="547"/>
      <c r="Q98" s="547"/>
      <c r="R98" s="547"/>
      <c r="S98" s="547"/>
      <c r="T98" s="547"/>
      <c r="U98" s="547"/>
      <c r="V98" s="547"/>
      <c r="W98" s="547"/>
      <c r="X98" s="547"/>
      <c r="Y98" s="547"/>
      <c r="Z98" s="516"/>
    </row>
    <row r="99" spans="1:26" ht="15" customHeight="1" x14ac:dyDescent="0.25">
      <c r="A99" s="518"/>
      <c r="B99" s="516"/>
      <c r="C99" s="516"/>
      <c r="D99" s="516"/>
      <c r="E99" s="516"/>
      <c r="F99" s="516"/>
      <c r="G99" s="516"/>
      <c r="H99" s="516"/>
      <c r="I99" s="516"/>
      <c r="J99" s="516"/>
      <c r="K99" s="516"/>
      <c r="L99" s="516"/>
      <c r="M99" s="516"/>
      <c r="N99" s="516"/>
      <c r="O99" s="516"/>
      <c r="P99" s="516"/>
      <c r="Q99" s="516"/>
      <c r="R99" s="516"/>
      <c r="S99" s="516"/>
      <c r="T99" s="516"/>
      <c r="U99" s="516"/>
      <c r="V99" s="516"/>
      <c r="W99" s="516"/>
      <c r="X99" s="516"/>
      <c r="Y99" s="516"/>
      <c r="Z99" s="516"/>
    </row>
    <row r="100" spans="1:26" ht="15" customHeight="1" x14ac:dyDescent="0.25">
      <c r="A100" s="518"/>
      <c r="B100" s="516"/>
      <c r="C100" s="516"/>
      <c r="D100" s="516"/>
      <c r="E100" s="516"/>
      <c r="F100" s="516"/>
      <c r="G100" s="516"/>
      <c r="H100" s="516"/>
      <c r="I100" s="516"/>
      <c r="J100" s="516"/>
      <c r="K100" s="516"/>
      <c r="L100" s="516"/>
      <c r="M100" s="516"/>
      <c r="N100" s="516"/>
      <c r="O100" s="516"/>
      <c r="P100" s="516"/>
      <c r="Q100" s="516"/>
      <c r="R100" s="516"/>
      <c r="S100" s="516"/>
      <c r="T100" s="516"/>
      <c r="U100" s="516"/>
      <c r="V100" s="516"/>
      <c r="W100" s="516"/>
      <c r="X100" s="516"/>
      <c r="Y100" s="516"/>
      <c r="Z100" s="516"/>
    </row>
  </sheetData>
  <mergeCells count="224">
    <mergeCell ref="B92:I92"/>
    <mergeCell ref="L96:M96"/>
    <mergeCell ref="B8:E8"/>
    <mergeCell ref="L90:M90"/>
    <mergeCell ref="B73:E73"/>
    <mergeCell ref="X81:Y81"/>
    <mergeCell ref="F82:G82"/>
    <mergeCell ref="H76:I76"/>
    <mergeCell ref="B72:Y72"/>
    <mergeCell ref="B82:E82"/>
    <mergeCell ref="J76:K76"/>
    <mergeCell ref="N74:O74"/>
    <mergeCell ref="B94:I94"/>
    <mergeCell ref="P74:Q74"/>
    <mergeCell ref="N83:O83"/>
    <mergeCell ref="P83:Q83"/>
    <mergeCell ref="B2:Y2"/>
    <mergeCell ref="N9:Q9"/>
    <mergeCell ref="B90:I90"/>
    <mergeCell ref="H4:I4"/>
    <mergeCell ref="N92:Y92"/>
    <mergeCell ref="D5:G5"/>
    <mergeCell ref="R79:S79"/>
    <mergeCell ref="J84:K84"/>
    <mergeCell ref="J78:K78"/>
    <mergeCell ref="L78:M78"/>
    <mergeCell ref="J87:K87"/>
    <mergeCell ref="R9:U9"/>
    <mergeCell ref="V81:W81"/>
    <mergeCell ref="L87:M87"/>
    <mergeCell ref="V78:W78"/>
    <mergeCell ref="N81:O81"/>
    <mergeCell ref="B75:E75"/>
    <mergeCell ref="X78:Y78"/>
    <mergeCell ref="P81:Q81"/>
    <mergeCell ref="V12:Y12"/>
    <mergeCell ref="F11:I11"/>
    <mergeCell ref="J80:K80"/>
    <mergeCell ref="R11:U11"/>
    <mergeCell ref="N87:Y87"/>
    <mergeCell ref="B5:C5"/>
    <mergeCell ref="R77:S77"/>
    <mergeCell ref="B95:I95"/>
    <mergeCell ref="B89:I89"/>
    <mergeCell ref="X84:Y84"/>
    <mergeCell ref="V80:W80"/>
    <mergeCell ref="B4:C4"/>
    <mergeCell ref="L77:M77"/>
    <mergeCell ref="J92:K92"/>
    <mergeCell ref="B86:M86"/>
    <mergeCell ref="B9:E9"/>
    <mergeCell ref="L95:M95"/>
    <mergeCell ref="X77:Y77"/>
    <mergeCell ref="F78:G78"/>
    <mergeCell ref="B83:E83"/>
    <mergeCell ref="H78:I78"/>
    <mergeCell ref="J79:K79"/>
    <mergeCell ref="T79:U79"/>
    <mergeCell ref="T73:U73"/>
    <mergeCell ref="J13:M13"/>
    <mergeCell ref="L73:M73"/>
    <mergeCell ref="N73:O73"/>
    <mergeCell ref="F12:I12"/>
    <mergeCell ref="N89:Y89"/>
    <mergeCell ref="F7:I7"/>
    <mergeCell ref="R76:S76"/>
    <mergeCell ref="P82:Q82"/>
    <mergeCell ref="N90:Y90"/>
    <mergeCell ref="T76:U76"/>
    <mergeCell ref="L76:M76"/>
    <mergeCell ref="R7:U7"/>
    <mergeCell ref="H84:I84"/>
    <mergeCell ref="P75:Q75"/>
    <mergeCell ref="R75:S75"/>
    <mergeCell ref="T84:U84"/>
    <mergeCell ref="F77:G77"/>
    <mergeCell ref="H77:I77"/>
    <mergeCell ref="N8:Q8"/>
    <mergeCell ref="F8:I8"/>
    <mergeCell ref="X79:Y79"/>
    <mergeCell ref="J90:K90"/>
    <mergeCell ref="J7:M7"/>
    <mergeCell ref="N7:Q7"/>
    <mergeCell ref="L74:M74"/>
    <mergeCell ref="R83:S83"/>
    <mergeCell ref="T83:U83"/>
    <mergeCell ref="L88:M88"/>
    <mergeCell ref="N82:O82"/>
    <mergeCell ref="V13:Y13"/>
    <mergeCell ref="V8:Y8"/>
    <mergeCell ref="X73:Y73"/>
    <mergeCell ref="V9:Y9"/>
    <mergeCell ref="N94:Y94"/>
    <mergeCell ref="R81:S81"/>
    <mergeCell ref="J11:M11"/>
    <mergeCell ref="L80:M80"/>
    <mergeCell ref="H5:I5"/>
    <mergeCell ref="N80:O80"/>
    <mergeCell ref="V11:Y11"/>
    <mergeCell ref="B84:E84"/>
    <mergeCell ref="F73:G73"/>
    <mergeCell ref="N13:Q13"/>
    <mergeCell ref="F9:I9"/>
    <mergeCell ref="J81:K81"/>
    <mergeCell ref="B91:I91"/>
    <mergeCell ref="J12:M12"/>
    <mergeCell ref="B80:E80"/>
    <mergeCell ref="B93:I93"/>
    <mergeCell ref="V79:W79"/>
    <mergeCell ref="B79:E79"/>
    <mergeCell ref="H73:I73"/>
    <mergeCell ref="J89:K89"/>
    <mergeCell ref="B7:E7"/>
    <mergeCell ref="N88:Y88"/>
    <mergeCell ref="L89:M89"/>
    <mergeCell ref="B1:Y1"/>
    <mergeCell ref="F74:G74"/>
    <mergeCell ref="H74:I74"/>
    <mergeCell ref="F83:G83"/>
    <mergeCell ref="X82:Y82"/>
    <mergeCell ref="H83:I83"/>
    <mergeCell ref="J77:K77"/>
    <mergeCell ref="R8:U8"/>
    <mergeCell ref="P5:Y5"/>
    <mergeCell ref="J8:M8"/>
    <mergeCell ref="V77:W77"/>
    <mergeCell ref="F76:G76"/>
    <mergeCell ref="J83:K83"/>
    <mergeCell ref="L83:M83"/>
    <mergeCell ref="V74:W74"/>
    <mergeCell ref="X74:Y74"/>
    <mergeCell ref="P77:Q77"/>
    <mergeCell ref="F75:G75"/>
    <mergeCell ref="V83:W83"/>
    <mergeCell ref="X83:Y83"/>
    <mergeCell ref="X76:Y76"/>
    <mergeCell ref="B11:E11"/>
    <mergeCell ref="H75:I75"/>
    <mergeCell ref="B77:E77"/>
    <mergeCell ref="D4:G4"/>
    <mergeCell ref="P73:Q73"/>
    <mergeCell ref="N96:Y96"/>
    <mergeCell ref="F13:I13"/>
    <mergeCell ref="R73:S73"/>
    <mergeCell ref="J73:K73"/>
    <mergeCell ref="R82:S82"/>
    <mergeCell ref="T82:U82"/>
    <mergeCell ref="V76:W76"/>
    <mergeCell ref="J88:K88"/>
    <mergeCell ref="V7:Y7"/>
    <mergeCell ref="J93:K93"/>
    <mergeCell ref="J4:O4"/>
    <mergeCell ref="L93:M93"/>
    <mergeCell ref="L92:M92"/>
    <mergeCell ref="B87:I87"/>
    <mergeCell ref="J94:K94"/>
    <mergeCell ref="L94:M94"/>
    <mergeCell ref="J75:K75"/>
    <mergeCell ref="H80:I80"/>
    <mergeCell ref="L84:M84"/>
    <mergeCell ref="T75:U75"/>
    <mergeCell ref="N84:O84"/>
    <mergeCell ref="V75:W75"/>
    <mergeCell ref="N11:Q11"/>
    <mergeCell ref="P80:Q80"/>
    <mergeCell ref="P4:Y4"/>
    <mergeCell ref="R80:S80"/>
    <mergeCell ref="V84:W84"/>
    <mergeCell ref="T80:U80"/>
    <mergeCell ref="F79:G79"/>
    <mergeCell ref="H79:I79"/>
    <mergeCell ref="B88:I88"/>
    <mergeCell ref="R13:U13"/>
    <mergeCell ref="J9:M9"/>
    <mergeCell ref="B12:E12"/>
    <mergeCell ref="F81:G81"/>
    <mergeCell ref="X80:Y80"/>
    <mergeCell ref="H81:I81"/>
    <mergeCell ref="N12:Q12"/>
    <mergeCell ref="L79:M79"/>
    <mergeCell ref="J5:O5"/>
    <mergeCell ref="T81:U81"/>
    <mergeCell ref="L81:M81"/>
    <mergeCell ref="R12:U12"/>
    <mergeCell ref="B13:E13"/>
    <mergeCell ref="B78:E78"/>
    <mergeCell ref="N79:O79"/>
    <mergeCell ref="N93:Y93"/>
    <mergeCell ref="B98:Y98"/>
    <mergeCell ref="L75:M75"/>
    <mergeCell ref="F84:G84"/>
    <mergeCell ref="N75:O75"/>
    <mergeCell ref="P84:Q84"/>
    <mergeCell ref="B76:E76"/>
    <mergeCell ref="R84:S84"/>
    <mergeCell ref="B96:I96"/>
    <mergeCell ref="R78:S78"/>
    <mergeCell ref="T78:U78"/>
    <mergeCell ref="N77:O77"/>
    <mergeCell ref="F80:G80"/>
    <mergeCell ref="J95:K95"/>
    <mergeCell ref="N95:Y95"/>
    <mergeCell ref="P79:Q79"/>
    <mergeCell ref="N78:O78"/>
    <mergeCell ref="N86:Y86"/>
    <mergeCell ref="X75:Y75"/>
    <mergeCell ref="P78:Q78"/>
    <mergeCell ref="B81:E81"/>
    <mergeCell ref="J91:K91"/>
    <mergeCell ref="N91:Y91"/>
    <mergeCell ref="J96:K96"/>
    <mergeCell ref="T77:U77"/>
    <mergeCell ref="H82:I82"/>
    <mergeCell ref="J82:K82"/>
    <mergeCell ref="L82:M82"/>
    <mergeCell ref="L91:M91"/>
    <mergeCell ref="V73:W73"/>
    <mergeCell ref="N76:O76"/>
    <mergeCell ref="B74:E74"/>
    <mergeCell ref="P76:Q76"/>
    <mergeCell ref="V82:W82"/>
    <mergeCell ref="R74:S74"/>
    <mergeCell ref="J74:K74"/>
    <mergeCell ref="T74:U74"/>
  </mergeCells>
  <conditionalFormatting sqref="B74:Y83">
    <cfRule type="expression" dxfId="42" priority="1">
      <formula>$B74=$J$5</formula>
    </cfRule>
  </conditionalFormatting>
  <conditionalFormatting sqref="F74:F83">
    <cfRule type="dataBar" priority="2">
      <dataBar>
        <cfvo type="min"/>
        <cfvo type="max"/>
        <color rgb="FF2E86C1"/>
      </dataBar>
    </cfRule>
  </conditionalFormatting>
  <conditionalFormatting sqref="L87:L96">
    <cfRule type="expression" dxfId="41" priority="4">
      <formula>LEFT(L87,1)="▲"</formula>
    </cfRule>
    <cfRule type="expression" dxfId="40" priority="5">
      <formula>LEFT(L87,1)="✔"</formula>
    </cfRule>
  </conditionalFormatting>
  <conditionalFormatting sqref="N74:N83">
    <cfRule type="dataBar" priority="3">
      <dataBar>
        <cfvo type="min"/>
        <cfvo type="max"/>
        <color rgb="FF13A89E"/>
      </dataBar>
    </cfRule>
  </conditionalFormatting>
  <hyperlinks>
    <hyperlink ref="A5" location="'FM_Dashboard'!A1" display="▶ FM Dashboard" xr:uid="{00000000-0004-0000-0000-000000000000}"/>
    <hyperlink ref="A7" location="'Electrical Consmp.'!A1" display="   Electricity" xr:uid="{00000000-0004-0000-0000-000001000000}"/>
    <hyperlink ref="A9" location="'Water Consmp.'!A1" display="   Water" xr:uid="{00000000-0004-0000-0000-000002000000}"/>
    <hyperlink ref="A11" location="'REPAIRS'!A1" display="   Repairs" xr:uid="{00000000-0004-0000-0000-000003000000}"/>
    <hyperlink ref="A13" location="'GENERATOR CONSMP.'!A1" display="   Generators" xr:uid="{00000000-0004-0000-0000-000004000000}"/>
    <hyperlink ref="A15" location="'WATER TESTS'!A1" display="   Water Tests" xr:uid="{00000000-0004-0000-0000-000005000000}"/>
    <hyperlink ref="A17" location="'AMC-LOG'!A1" display="   AMC Log" xr:uid="{00000000-0004-0000-0000-000006000000}"/>
    <hyperlink ref="A19" location="'check list'!A1" display="   Check List" xr:uid="{00000000-0004-0000-0000-000007000000}"/>
    <hyperlink ref="A21" location="'CONFIG'!A1" display="   Config" xr:uid="{00000000-0004-0000-0000-000008000000}"/>
    <hyperlink ref="A23" location="'AUDIT CONTROL'!A1" display="   Audit Control" xr:uid="{00000000-0004-0000-0000-000009000000}"/>
    <hyperlink ref="A25" location="'KPI ENGINE'!A1" display="   KPI Engine" xr:uid="{00000000-0004-0000-0000-00000A000000}"/>
    <hyperlink ref="A27" location="'DASHBOARD'!A1" display="   Summary" xr:uid="{00000000-0004-0000-0000-00000B000000}"/>
    <hyperlink ref="A29" location="'MIS_Calc'!A1" display="   Calc engine" xr:uid="{00000000-0004-0000-0000-00000C000000}"/>
  </hyperlinks>
  <printOptions horizontalCentered="1"/>
  <pageMargins left="0.75" right="0.75" top="1" bottom="1" header="0.5" footer="0.5"/>
  <pageSetup fitToHeight="0" orientation="landscape"/>
  <drawing r:id="rId1"/>
  <extLst>
    <ext xmlns:x14="http://schemas.microsoft.com/office/spreadsheetml/2009/9/main" uri="{CCE6A557-97BC-4b89-ADB6-D9C93CAAB3DF}">
      <x14:dataValidations xmlns:xm="http://schemas.microsoft.com/office/excel/2006/main" count="2">
        <x14:dataValidation type="list" xr:uid="{00000000-0002-0000-0000-000000000000}">
          <x14:formula1>
            <xm:f>MIS_Calc!$E$3:$E$15</xm:f>
          </x14:formula1>
          <xm:sqref>D5</xm:sqref>
        </x14:dataValidation>
        <x14:dataValidation type="list" xr:uid="{00000000-0002-0000-0000-000001000000}">
          <x14:formula1>
            <xm:f>MIS_Calc!$G$3:$G$13</xm:f>
          </x14:formula1>
          <xm:sqref>J5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9"/>
  <sheetViews>
    <sheetView workbookViewId="0">
      <selection sqref="A1:N1"/>
    </sheetView>
  </sheetViews>
  <sheetFormatPr defaultRowHeight="15" x14ac:dyDescent="0.25"/>
  <cols>
    <col min="1" max="2" width="20" customWidth="1"/>
    <col min="3" max="3" width="17" customWidth="1"/>
    <col min="4" max="4" width="14.7109375" customWidth="1"/>
    <col min="5" max="5" width="12.7109375" customWidth="1"/>
    <col min="6" max="6" width="12.85546875" customWidth="1"/>
    <col min="7" max="7" width="13.85546875" customWidth="1"/>
    <col min="8" max="11" width="13.28515625" customWidth="1"/>
    <col min="12" max="13" width="13" customWidth="1"/>
    <col min="14" max="14" width="16.7109375" customWidth="1"/>
    <col min="15" max="15" width="14.28515625" customWidth="1"/>
  </cols>
  <sheetData>
    <row r="1" spans="1:16" ht="21" customHeight="1" x14ac:dyDescent="0.25">
      <c r="A1" s="622" t="s">
        <v>71</v>
      </c>
      <c r="B1" s="623"/>
      <c r="C1" s="623"/>
      <c r="D1" s="623"/>
      <c r="E1" s="623"/>
      <c r="F1" s="623"/>
      <c r="G1" s="623"/>
      <c r="H1" s="623"/>
      <c r="I1" s="623"/>
      <c r="J1" s="623"/>
      <c r="K1" s="623"/>
      <c r="L1" s="623"/>
      <c r="M1" s="623"/>
      <c r="N1" s="623"/>
      <c r="O1" s="253"/>
    </row>
    <row r="2" spans="1:16" ht="18.75" customHeight="1" x14ac:dyDescent="0.25">
      <c r="A2" s="635"/>
      <c r="B2" s="623"/>
      <c r="C2" s="623"/>
      <c r="D2" s="623"/>
      <c r="E2" s="623"/>
      <c r="F2" s="623"/>
      <c r="G2" s="623"/>
      <c r="H2" s="623"/>
      <c r="I2" s="623"/>
      <c r="J2" s="623"/>
      <c r="K2" s="623"/>
      <c r="L2" s="623"/>
      <c r="M2" s="623"/>
      <c r="N2" s="636"/>
      <c r="O2" s="253"/>
    </row>
    <row r="3" spans="1:16" ht="26.25" customHeight="1" x14ac:dyDescent="0.25">
      <c r="A3" s="632" t="s">
        <v>72</v>
      </c>
      <c r="B3" s="633"/>
      <c r="C3" s="313" t="s">
        <v>73</v>
      </c>
      <c r="D3" s="313" t="s">
        <v>74</v>
      </c>
      <c r="E3" s="313" t="s">
        <v>75</v>
      </c>
      <c r="F3" s="313" t="s">
        <v>76</v>
      </c>
      <c r="G3" s="313" t="s">
        <v>77</v>
      </c>
      <c r="H3" s="313" t="s">
        <v>78</v>
      </c>
      <c r="I3" s="313" t="s">
        <v>79</v>
      </c>
      <c r="J3" s="313" t="s">
        <v>80</v>
      </c>
      <c r="K3" s="313" t="s">
        <v>81</v>
      </c>
      <c r="L3" s="313" t="s">
        <v>82</v>
      </c>
      <c r="M3" s="313" t="s">
        <v>83</v>
      </c>
      <c r="N3" s="313" t="s">
        <v>84</v>
      </c>
      <c r="O3" s="253"/>
    </row>
    <row r="4" spans="1:16" x14ac:dyDescent="0.25">
      <c r="A4" s="641" t="s">
        <v>85</v>
      </c>
      <c r="B4" s="314" t="s">
        <v>86</v>
      </c>
      <c r="C4" s="222">
        <v>11200</v>
      </c>
      <c r="D4" s="183">
        <v>12400</v>
      </c>
      <c r="E4" s="225">
        <v>12000</v>
      </c>
      <c r="F4" s="223">
        <v>14600</v>
      </c>
      <c r="G4" s="183">
        <v>9000</v>
      </c>
      <c r="H4" s="224">
        <v>16800</v>
      </c>
      <c r="I4" s="222">
        <v>15000</v>
      </c>
      <c r="J4" s="183">
        <v>14800</v>
      </c>
      <c r="K4" s="184"/>
      <c r="L4" s="183"/>
      <c r="M4" s="183"/>
      <c r="N4" s="185"/>
      <c r="O4" s="315">
        <f>C4+D4+E4+F4+G4+H4+I4+J4+K4+L4+M4+N4</f>
        <v>105800</v>
      </c>
    </row>
    <row r="5" spans="1:16" ht="17.45" customHeight="1" x14ac:dyDescent="0.25">
      <c r="A5" s="612"/>
      <c r="B5" s="317" t="s">
        <v>87</v>
      </c>
      <c r="C5" s="318">
        <v>138780</v>
      </c>
      <c r="D5" s="319">
        <v>169170</v>
      </c>
      <c r="E5" s="320">
        <v>187880</v>
      </c>
      <c r="F5" s="321">
        <v>215190</v>
      </c>
      <c r="G5" s="319">
        <v>160300</v>
      </c>
      <c r="H5" s="322">
        <v>248550</v>
      </c>
      <c r="I5" s="323">
        <v>231650</v>
      </c>
      <c r="J5" s="324">
        <v>242730</v>
      </c>
      <c r="K5" s="324"/>
      <c r="L5" s="325"/>
      <c r="M5" s="325"/>
      <c r="N5" s="326"/>
      <c r="O5" s="327">
        <f>C5+D5+E5+F5+G5+H5+I5+J5+K5+L5+M5+N5</f>
        <v>1594250</v>
      </c>
      <c r="P5" s="129"/>
    </row>
    <row r="6" spans="1:16" ht="17.45" customHeight="1" x14ac:dyDescent="0.25">
      <c r="A6" s="612"/>
      <c r="B6" s="328" t="s">
        <v>88</v>
      </c>
      <c r="C6" s="329">
        <v>200</v>
      </c>
      <c r="D6" s="330">
        <v>200</v>
      </c>
      <c r="E6" s="331">
        <v>200</v>
      </c>
      <c r="F6" s="332">
        <v>200</v>
      </c>
      <c r="G6" s="330">
        <v>200</v>
      </c>
      <c r="H6" s="333">
        <v>200</v>
      </c>
      <c r="I6" s="334">
        <v>200</v>
      </c>
      <c r="J6" s="334">
        <v>200</v>
      </c>
      <c r="K6" s="335"/>
      <c r="L6" s="330"/>
      <c r="M6" s="330"/>
      <c r="N6" s="336"/>
      <c r="O6" s="253"/>
    </row>
    <row r="7" spans="1:16" ht="17.45" customHeight="1" x14ac:dyDescent="0.25">
      <c r="A7" s="612"/>
      <c r="B7" s="337" t="s">
        <v>89</v>
      </c>
      <c r="C7" s="222">
        <v>0</v>
      </c>
      <c r="D7" s="222">
        <v>0</v>
      </c>
      <c r="E7" s="338">
        <v>0</v>
      </c>
      <c r="F7" s="223">
        <v>0</v>
      </c>
      <c r="G7" s="222">
        <v>0</v>
      </c>
      <c r="H7" s="339">
        <v>0</v>
      </c>
      <c r="I7" s="339">
        <v>0</v>
      </c>
      <c r="J7" s="339">
        <v>0</v>
      </c>
      <c r="K7" s="222"/>
      <c r="L7" s="222"/>
      <c r="M7" s="222"/>
      <c r="N7" s="222"/>
      <c r="O7" s="253"/>
    </row>
    <row r="8" spans="1:16" ht="17.45" customHeight="1" x14ac:dyDescent="0.25">
      <c r="A8" s="612"/>
      <c r="B8" s="317" t="s">
        <v>87</v>
      </c>
      <c r="C8" s="340">
        <v>0</v>
      </c>
      <c r="D8" s="341">
        <v>0</v>
      </c>
      <c r="E8" s="342">
        <v>0</v>
      </c>
      <c r="F8" s="343">
        <v>0</v>
      </c>
      <c r="G8" s="341">
        <v>0</v>
      </c>
      <c r="H8" s="344">
        <v>0</v>
      </c>
      <c r="I8" s="344">
        <v>0</v>
      </c>
      <c r="J8" s="344">
        <v>0</v>
      </c>
      <c r="K8" s="319"/>
      <c r="L8" s="319"/>
      <c r="M8" s="319"/>
      <c r="N8" s="319"/>
      <c r="O8" s="253"/>
    </row>
    <row r="9" spans="1:16" ht="17.45" customHeight="1" x14ac:dyDescent="0.25">
      <c r="A9" s="613"/>
      <c r="B9" s="345" t="s">
        <v>90</v>
      </c>
      <c r="C9" s="614">
        <f>C4+D4+E4+C7+D7+E7</f>
        <v>35600</v>
      </c>
      <c r="D9" s="615"/>
      <c r="E9" s="615"/>
      <c r="F9" s="630">
        <f>F4+G4+H4+F7+G7+H7</f>
        <v>40400</v>
      </c>
      <c r="G9" s="615"/>
      <c r="H9" s="621"/>
      <c r="I9" s="630">
        <f>I4+J4+K4+I7+J7+K7</f>
        <v>29800</v>
      </c>
      <c r="J9" s="615"/>
      <c r="K9" s="621"/>
      <c r="L9" s="630">
        <f>L4+M4+N4+L7+M7+N7</f>
        <v>0</v>
      </c>
      <c r="M9" s="615"/>
      <c r="N9" s="621"/>
      <c r="O9" s="253"/>
    </row>
    <row r="10" spans="1:16" ht="17.45" customHeight="1" x14ac:dyDescent="0.25">
      <c r="A10" s="616" t="s">
        <v>91</v>
      </c>
      <c r="B10" s="346" t="s">
        <v>86</v>
      </c>
      <c r="C10" s="347">
        <f>694+240+1346</f>
        <v>2280</v>
      </c>
      <c r="D10" s="348">
        <f>243+927+1557</f>
        <v>2727</v>
      </c>
      <c r="E10" s="349">
        <f>1009+242+1803</f>
        <v>3054</v>
      </c>
      <c r="F10" s="347">
        <f>1824+279+1231</f>
        <v>3334</v>
      </c>
      <c r="G10" s="348">
        <f>802+208+1354</f>
        <v>2364</v>
      </c>
      <c r="H10" s="350">
        <f>663+255+1401</f>
        <v>2319</v>
      </c>
      <c r="I10" s="351">
        <f>1352+319+1989</f>
        <v>3660</v>
      </c>
      <c r="J10" s="352">
        <f>323+2252+1309</f>
        <v>3884</v>
      </c>
      <c r="K10" s="352">
        <f>1243+2259+318</f>
        <v>3820</v>
      </c>
      <c r="L10" s="352"/>
      <c r="M10" s="352"/>
      <c r="N10" s="352"/>
      <c r="O10" s="315">
        <f>C10+D10+E10+F10+G10+H10+I10+J10+K10+L10+M10+N10</f>
        <v>27442</v>
      </c>
    </row>
    <row r="11" spans="1:16" ht="17.45" customHeight="1" x14ac:dyDescent="0.25">
      <c r="A11" s="612"/>
      <c r="B11" s="353" t="s">
        <v>87</v>
      </c>
      <c r="C11" s="354">
        <f>7911+3097+13763</f>
        <v>24771</v>
      </c>
      <c r="D11" s="355">
        <f>3133+10381+15579</f>
        <v>29093</v>
      </c>
      <c r="E11" s="356">
        <f>14855+10114+738</f>
        <v>25707</v>
      </c>
      <c r="F11" s="354">
        <f>13169+3396+17574</f>
        <v>34139</v>
      </c>
      <c r="G11" s="357">
        <f>8439+2597+13152</f>
        <v>24188</v>
      </c>
      <c r="H11" s="358">
        <f>7174+3091+13780</f>
        <v>24045</v>
      </c>
      <c r="I11" s="359">
        <f>14645+3893+20351</f>
        <v>38889</v>
      </c>
      <c r="J11" s="360">
        <f>3968+23200+14415</f>
        <v>41583</v>
      </c>
      <c r="K11" s="360">
        <f>14591+24872+4144</f>
        <v>43607</v>
      </c>
      <c r="L11" s="355"/>
      <c r="M11" s="355"/>
      <c r="N11" s="361"/>
      <c r="O11" s="327">
        <f>C11+D11+E11+F11+G11+H11+I11+J11+K11+L11+M11+N11</f>
        <v>286022</v>
      </c>
    </row>
    <row r="12" spans="1:16" ht="17.45" customHeight="1" x14ac:dyDescent="0.25">
      <c r="A12" s="612"/>
      <c r="B12" s="362" t="s">
        <v>92</v>
      </c>
      <c r="C12" s="363"/>
      <c r="D12" s="364"/>
      <c r="E12" s="365"/>
      <c r="F12" s="363"/>
      <c r="G12" s="366"/>
      <c r="H12" s="367"/>
      <c r="I12" s="368"/>
      <c r="J12" s="366"/>
      <c r="K12" s="366"/>
      <c r="L12" s="364"/>
      <c r="M12" s="364"/>
      <c r="N12" s="367"/>
      <c r="O12" s="253"/>
    </row>
    <row r="13" spans="1:16" ht="17.45" customHeight="1" x14ac:dyDescent="0.25">
      <c r="A13" s="612"/>
      <c r="B13" s="353" t="s">
        <v>89</v>
      </c>
      <c r="C13" s="369">
        <v>0</v>
      </c>
      <c r="D13" s="370">
        <v>0</v>
      </c>
      <c r="E13" s="371">
        <v>0</v>
      </c>
      <c r="F13" s="369">
        <v>0</v>
      </c>
      <c r="G13" s="372">
        <v>0</v>
      </c>
      <c r="H13" s="373">
        <v>0</v>
      </c>
      <c r="I13" s="373">
        <v>0</v>
      </c>
      <c r="J13" s="373">
        <v>0</v>
      </c>
      <c r="K13" s="373">
        <v>0</v>
      </c>
      <c r="L13" s="370"/>
      <c r="M13" s="370"/>
      <c r="N13" s="373"/>
      <c r="O13" s="253"/>
    </row>
    <row r="14" spans="1:16" ht="17.45" customHeight="1" x14ac:dyDescent="0.25">
      <c r="A14" s="612"/>
      <c r="B14" s="374" t="s">
        <v>87</v>
      </c>
      <c r="C14" s="354">
        <v>0</v>
      </c>
      <c r="D14" s="355">
        <v>0</v>
      </c>
      <c r="E14" s="356">
        <v>0</v>
      </c>
      <c r="F14" s="354">
        <v>0</v>
      </c>
      <c r="G14" s="355">
        <v>0</v>
      </c>
      <c r="H14" s="375">
        <v>0</v>
      </c>
      <c r="I14" s="375">
        <v>0</v>
      </c>
      <c r="J14" s="375">
        <v>0</v>
      </c>
      <c r="K14" s="375">
        <v>0</v>
      </c>
      <c r="L14" s="352"/>
      <c r="M14" s="352"/>
      <c r="N14" s="352"/>
      <c r="O14" s="253"/>
    </row>
    <row r="15" spans="1:16" ht="17.45" customHeight="1" x14ac:dyDescent="0.25">
      <c r="A15" s="613"/>
      <c r="B15" s="345" t="s">
        <v>90</v>
      </c>
      <c r="C15" s="640">
        <f>C10+D10+E10+C13+D13+E13</f>
        <v>8061</v>
      </c>
      <c r="D15" s="607"/>
      <c r="E15" s="607"/>
      <c r="F15" s="610">
        <f>F10+G10+H10+F13+G13+H13</f>
        <v>8017</v>
      </c>
      <c r="G15" s="607"/>
      <c r="H15" s="609"/>
      <c r="I15" s="610">
        <f>I10+J10+K10+I13+J13+K13</f>
        <v>11364</v>
      </c>
      <c r="J15" s="607"/>
      <c r="K15" s="609"/>
      <c r="L15" s="610">
        <f>L10+M10+N10+L13+M13+N13</f>
        <v>0</v>
      </c>
      <c r="M15" s="607"/>
      <c r="N15" s="609"/>
      <c r="O15" s="253"/>
    </row>
    <row r="16" spans="1:16" ht="17.45" customHeight="1" x14ac:dyDescent="0.25">
      <c r="A16" s="611" t="s">
        <v>93</v>
      </c>
      <c r="B16" s="376" t="s">
        <v>86</v>
      </c>
      <c r="C16" s="223">
        <f>964+412</f>
        <v>1376</v>
      </c>
      <c r="D16" s="222">
        <f>565+455</f>
        <v>1020</v>
      </c>
      <c r="E16" s="338">
        <f>753+558</f>
        <v>1311</v>
      </c>
      <c r="F16" s="223">
        <f>1578+600</f>
        <v>2178</v>
      </c>
      <c r="G16" s="222">
        <f>32+306</f>
        <v>338</v>
      </c>
      <c r="H16" s="339">
        <f>1425+975</f>
        <v>2400</v>
      </c>
      <c r="I16" s="222">
        <f>1112+2484</f>
        <v>3596</v>
      </c>
      <c r="J16" s="222">
        <f>2707+795</f>
        <v>3502</v>
      </c>
      <c r="K16" s="222"/>
      <c r="L16" s="222"/>
      <c r="M16" s="222"/>
      <c r="N16" s="222"/>
      <c r="O16" s="315">
        <f>C16+D16+E16+F16+G16+H16+I16+J16+K16+L16+M16+N16</f>
        <v>15721</v>
      </c>
      <c r="P16" s="160"/>
    </row>
    <row r="17" spans="1:16" ht="17.45" customHeight="1" x14ac:dyDescent="0.25">
      <c r="A17" s="612"/>
      <c r="B17" s="377" t="s">
        <v>87</v>
      </c>
      <c r="C17" s="321">
        <f>3616+15985</f>
        <v>19601</v>
      </c>
      <c r="D17" s="319">
        <f>4777+12244</f>
        <v>17021</v>
      </c>
      <c r="E17" s="320">
        <f>17465+4724</f>
        <v>22189</v>
      </c>
      <c r="F17" s="321">
        <f>22461+5043</f>
        <v>27504</v>
      </c>
      <c r="G17" s="319">
        <f>7819+2405</f>
        <v>10224</v>
      </c>
      <c r="H17" s="378">
        <f>14156+7900</f>
        <v>22056</v>
      </c>
      <c r="I17" s="318">
        <f>8932+35217</f>
        <v>44149</v>
      </c>
      <c r="J17" s="319">
        <f>7055+39110</f>
        <v>46165</v>
      </c>
      <c r="K17" s="319"/>
      <c r="L17" s="319"/>
      <c r="M17" s="319"/>
      <c r="N17" s="319"/>
      <c r="O17" s="327">
        <f>C17+D17+E17+F17+G17+H17+I17+J17+K17+L17+M17+N17</f>
        <v>208909</v>
      </c>
      <c r="P17" s="129"/>
    </row>
    <row r="18" spans="1:16" ht="17.45" customHeight="1" x14ac:dyDescent="0.25">
      <c r="A18" s="612"/>
      <c r="B18" s="362" t="s">
        <v>94</v>
      </c>
      <c r="C18" s="363">
        <f t="shared" ref="C18:J18" si="0">17+55</f>
        <v>72</v>
      </c>
      <c r="D18" s="363">
        <f t="shared" si="0"/>
        <v>72</v>
      </c>
      <c r="E18" s="363">
        <f t="shared" si="0"/>
        <v>72</v>
      </c>
      <c r="F18" s="363">
        <f t="shared" si="0"/>
        <v>72</v>
      </c>
      <c r="G18" s="363">
        <f t="shared" si="0"/>
        <v>72</v>
      </c>
      <c r="H18" s="363">
        <f t="shared" si="0"/>
        <v>72</v>
      </c>
      <c r="I18" s="363">
        <f t="shared" si="0"/>
        <v>72</v>
      </c>
      <c r="J18" s="363">
        <f t="shared" si="0"/>
        <v>72</v>
      </c>
      <c r="K18" s="363"/>
      <c r="L18" s="363"/>
      <c r="M18" s="363"/>
      <c r="N18" s="363"/>
      <c r="O18" s="253"/>
      <c r="P18" s="129"/>
    </row>
    <row r="19" spans="1:16" ht="17.45" customHeight="1" x14ac:dyDescent="0.25">
      <c r="A19" s="612"/>
      <c r="B19" s="316" t="s">
        <v>95</v>
      </c>
      <c r="C19" s="223">
        <v>1829</v>
      </c>
      <c r="D19" s="222">
        <v>2464</v>
      </c>
      <c r="E19" s="338">
        <v>2982</v>
      </c>
      <c r="F19" s="223">
        <v>2965</v>
      </c>
      <c r="G19" s="222">
        <v>2826</v>
      </c>
      <c r="H19" s="339">
        <v>2617</v>
      </c>
      <c r="I19" s="222">
        <v>3348</v>
      </c>
      <c r="J19" s="222">
        <v>3594</v>
      </c>
      <c r="K19" s="222"/>
      <c r="L19" s="222"/>
      <c r="M19" s="222"/>
      <c r="N19" s="222"/>
      <c r="O19" s="253">
        <f>SUM(C19:N19)</f>
        <v>22625</v>
      </c>
    </row>
    <row r="20" spans="1:16" ht="17.45" customHeight="1" x14ac:dyDescent="0.25">
      <c r="A20" s="612"/>
      <c r="B20" s="316" t="s">
        <v>96</v>
      </c>
      <c r="C20" s="379">
        <v>647</v>
      </c>
      <c r="D20" s="380">
        <v>874</v>
      </c>
      <c r="E20" s="381">
        <v>2143</v>
      </c>
      <c r="F20" s="379">
        <v>1578</v>
      </c>
      <c r="G20" s="380">
        <v>909</v>
      </c>
      <c r="H20" s="382">
        <v>1192</v>
      </c>
      <c r="I20" s="380">
        <v>864</v>
      </c>
      <c r="J20" s="380">
        <v>508</v>
      </c>
      <c r="K20" s="380"/>
      <c r="L20" s="380"/>
      <c r="M20" s="380"/>
      <c r="N20" s="380"/>
      <c r="O20" s="253"/>
    </row>
    <row r="21" spans="1:16" ht="17.45" customHeight="1" x14ac:dyDescent="0.25">
      <c r="A21" s="612"/>
      <c r="B21" s="383" t="s">
        <v>97</v>
      </c>
      <c r="C21" s="384">
        <f>IF(C19="","",(C19/CONFIG!$B$6)/CONFIG!$B$3)</f>
        <v>2.95</v>
      </c>
      <c r="D21" s="385">
        <f>IF(D19="","",(D19/CONFIG!$B$6)/CONFIG!$C$3)</f>
        <v>4.4000000000000004</v>
      </c>
      <c r="E21" s="386">
        <f>IF(E19="","",(E19/CONFIG!$B$6)/CONFIG!$D$3)</f>
        <v>4.8096774193548386</v>
      </c>
      <c r="F21" s="384">
        <f>IF(F19="","",(F19/CONFIG!$B$6)/CONFIG!$E$3)</f>
        <v>4.9416666666666664</v>
      </c>
      <c r="G21" s="385">
        <f>IF(G19="","",(G19/CONFIG!$B$6)/CONFIG!$F$3)</f>
        <v>4.5580645161290327</v>
      </c>
      <c r="H21" s="387">
        <f>IF(H19="","",(H19/CONFIG!$B$6)/CONFIG!$G$3)</f>
        <v>4.3616666666666664</v>
      </c>
      <c r="I21" s="384">
        <f>IF(I19="","",(I19/CONFIG!$B$6)/CONFIG!$H$3)</f>
        <v>5.4</v>
      </c>
      <c r="J21" s="385">
        <f>IF(J19="","",(J19/CONFIG!$B$6)/CONFIG!$I$3)</f>
        <v>5.7967741935483863</v>
      </c>
      <c r="K21" s="387" t="str">
        <f>IF(K19="","",(K19/CONFIG!$B$6)/CONFIG!$J$3)</f>
        <v/>
      </c>
      <c r="L21" s="388" t="str">
        <f>IF(L19="","",(L19/CONFIG!$B$6)/CONFIG!$K$3)</f>
        <v/>
      </c>
      <c r="M21" s="388" t="str">
        <f>IF(M19="","",(M19/CONFIG!$B$6)/CONFIG!$L$3)</f>
        <v/>
      </c>
      <c r="N21" s="388" t="str">
        <f>IF(N19="","",(N19/CONFIG!$B$6)/CONFIG!$M$3)</f>
        <v/>
      </c>
      <c r="O21" s="253"/>
    </row>
    <row r="22" spans="1:16" ht="17.45" customHeight="1" x14ac:dyDescent="0.25">
      <c r="A22" s="613"/>
      <c r="B22" s="345" t="s">
        <v>90</v>
      </c>
      <c r="C22" s="606">
        <f>C16+D16+E16+C20+D20+E20</f>
        <v>7371</v>
      </c>
      <c r="D22" s="607"/>
      <c r="E22" s="607"/>
      <c r="F22" s="608">
        <f>F16+G16+H16+F20+G20+H20</f>
        <v>8595</v>
      </c>
      <c r="G22" s="607"/>
      <c r="H22" s="609"/>
      <c r="I22" s="608">
        <f>I16+J16+K16+I20+J20+K20</f>
        <v>8470</v>
      </c>
      <c r="J22" s="607"/>
      <c r="K22" s="609"/>
      <c r="L22" s="608">
        <f>L16+M16+N16+L20+M20+N20</f>
        <v>0</v>
      </c>
      <c r="M22" s="607"/>
      <c r="N22" s="609"/>
      <c r="O22" s="253"/>
    </row>
    <row r="23" spans="1:16" ht="17.45" customHeight="1" x14ac:dyDescent="0.25">
      <c r="A23" s="631" t="s">
        <v>98</v>
      </c>
      <c r="B23" s="389" t="s">
        <v>86</v>
      </c>
      <c r="C23" s="390">
        <v>2261</v>
      </c>
      <c r="D23" s="352">
        <v>2111</v>
      </c>
      <c r="E23" s="391">
        <v>2872</v>
      </c>
      <c r="F23" s="390">
        <v>4747</v>
      </c>
      <c r="G23" s="352">
        <v>5189</v>
      </c>
      <c r="H23" s="392">
        <v>7265</v>
      </c>
      <c r="I23" s="351">
        <v>5844</v>
      </c>
      <c r="J23" s="352">
        <v>4860</v>
      </c>
      <c r="K23" s="352"/>
      <c r="L23" s="352"/>
      <c r="M23" s="352"/>
      <c r="N23" s="392"/>
      <c r="O23" s="315">
        <f>C23+D23+E23+F23+G23+H23+I23+J23+K23+L23+M23+N23</f>
        <v>35149</v>
      </c>
    </row>
    <row r="24" spans="1:16" ht="17.100000000000001" customHeight="1" x14ac:dyDescent="0.25">
      <c r="A24" s="612"/>
      <c r="B24" s="353" t="s">
        <v>87</v>
      </c>
      <c r="C24" s="354">
        <v>16587</v>
      </c>
      <c r="D24" s="355">
        <v>15540</v>
      </c>
      <c r="E24" s="356">
        <v>20966</v>
      </c>
      <c r="F24" s="354">
        <v>29893</v>
      </c>
      <c r="G24" s="355">
        <v>32910</v>
      </c>
      <c r="H24" s="375">
        <v>50078</v>
      </c>
      <c r="I24" s="393">
        <v>40421</v>
      </c>
      <c r="J24" s="355">
        <v>33765</v>
      </c>
      <c r="K24" s="355"/>
      <c r="L24" s="355"/>
      <c r="M24" s="355"/>
      <c r="N24" s="375"/>
      <c r="O24" s="327">
        <f>C24+D24+E24+F24+G24+H24+I24+J24+K24+L24+M24+N24</f>
        <v>240160</v>
      </c>
    </row>
    <row r="25" spans="1:16" x14ac:dyDescent="0.25">
      <c r="A25" s="612"/>
      <c r="B25" s="394" t="s">
        <v>99</v>
      </c>
      <c r="C25" s="395"/>
      <c r="D25" s="396"/>
      <c r="E25" s="397"/>
      <c r="F25" s="395"/>
      <c r="G25" s="335">
        <v>19.5</v>
      </c>
      <c r="H25" s="336"/>
      <c r="I25" s="334"/>
      <c r="J25" s="335"/>
      <c r="K25" s="335"/>
      <c r="L25" s="396"/>
      <c r="M25" s="396"/>
      <c r="N25" s="336"/>
      <c r="O25" s="253"/>
    </row>
    <row r="26" spans="1:16" ht="30" x14ac:dyDescent="0.25">
      <c r="A26" s="612"/>
      <c r="B26" s="353" t="s">
        <v>95</v>
      </c>
      <c r="C26" s="369">
        <v>0</v>
      </c>
      <c r="D26" s="370">
        <v>0</v>
      </c>
      <c r="E26" s="371">
        <v>0</v>
      </c>
      <c r="F26" s="369">
        <v>0</v>
      </c>
      <c r="G26" s="370">
        <v>0</v>
      </c>
      <c r="H26" s="398">
        <v>0</v>
      </c>
      <c r="I26" s="398">
        <v>0</v>
      </c>
      <c r="J26" s="398">
        <v>0</v>
      </c>
      <c r="K26" s="360"/>
      <c r="L26" s="399"/>
      <c r="M26" s="355"/>
      <c r="N26" s="361"/>
      <c r="O26" s="253"/>
    </row>
    <row r="27" spans="1:16" ht="20.25" customHeight="1" x14ac:dyDescent="0.25">
      <c r="A27" s="612"/>
      <c r="B27" s="353" t="s">
        <v>96</v>
      </c>
      <c r="C27" s="400">
        <v>0</v>
      </c>
      <c r="D27" s="401">
        <v>0</v>
      </c>
      <c r="E27" s="402">
        <v>0</v>
      </c>
      <c r="F27" s="400">
        <v>0</v>
      </c>
      <c r="G27" s="401">
        <v>0</v>
      </c>
      <c r="H27" s="403">
        <v>0</v>
      </c>
      <c r="I27" s="403">
        <v>0</v>
      </c>
      <c r="J27" s="403">
        <v>0</v>
      </c>
      <c r="K27" s="404"/>
      <c r="L27" s="405"/>
      <c r="M27" s="406"/>
      <c r="N27" s="407"/>
      <c r="O27" s="253"/>
    </row>
    <row r="28" spans="1:16" ht="20.25" customHeight="1" x14ac:dyDescent="0.25">
      <c r="A28" s="612"/>
      <c r="B28" s="408" t="s">
        <v>87</v>
      </c>
      <c r="C28" s="409">
        <v>0</v>
      </c>
      <c r="D28" s="410">
        <v>0</v>
      </c>
      <c r="E28" s="411">
        <v>0</v>
      </c>
      <c r="F28" s="409">
        <v>0</v>
      </c>
      <c r="G28" s="410">
        <v>0</v>
      </c>
      <c r="H28" s="412">
        <v>0</v>
      </c>
      <c r="I28" s="412">
        <v>0</v>
      </c>
      <c r="J28" s="412">
        <v>0</v>
      </c>
      <c r="K28" s="404"/>
      <c r="L28" s="405"/>
      <c r="M28" s="406"/>
      <c r="N28" s="407"/>
      <c r="O28" s="253"/>
    </row>
    <row r="29" spans="1:16" x14ac:dyDescent="0.25">
      <c r="A29" s="629"/>
      <c r="B29" s="408" t="s">
        <v>90</v>
      </c>
      <c r="C29" s="642">
        <f>C23+D23+E23+C27+D27+E27</f>
        <v>7244</v>
      </c>
      <c r="D29" s="615"/>
      <c r="E29" s="615"/>
      <c r="F29" s="620">
        <f>F23+G23+H23+F27+G27+H27</f>
        <v>17201</v>
      </c>
      <c r="G29" s="615"/>
      <c r="H29" s="621"/>
      <c r="I29" s="620">
        <f>I23+J23+K23+I27+J27+K27</f>
        <v>10704</v>
      </c>
      <c r="J29" s="615"/>
      <c r="K29" s="621"/>
      <c r="L29" s="620">
        <f>L23+M23+N23+L27+M27+N27</f>
        <v>0</v>
      </c>
      <c r="M29" s="615"/>
      <c r="N29" s="621"/>
      <c r="O29" s="253"/>
    </row>
    <row r="30" spans="1:16" x14ac:dyDescent="0.25">
      <c r="A30" s="611" t="s">
        <v>100</v>
      </c>
      <c r="B30" s="413" t="s">
        <v>86</v>
      </c>
      <c r="C30" s="414">
        <v>0</v>
      </c>
      <c r="D30" s="415">
        <v>0</v>
      </c>
      <c r="E30" s="416">
        <v>0</v>
      </c>
      <c r="F30" s="414">
        <v>0</v>
      </c>
      <c r="G30" s="415">
        <v>0</v>
      </c>
      <c r="H30" s="417">
        <v>5378</v>
      </c>
      <c r="I30" s="417">
        <v>6691</v>
      </c>
      <c r="J30" s="417">
        <v>7600</v>
      </c>
      <c r="K30" s="418"/>
      <c r="L30" s="418"/>
      <c r="M30" s="418"/>
      <c r="N30" s="418"/>
      <c r="O30" s="315">
        <f>C30+D30+E30+F30+G30+H30+I30+J30+K30+L30+M30+N30</f>
        <v>19669</v>
      </c>
    </row>
    <row r="31" spans="1:16" x14ac:dyDescent="0.25">
      <c r="A31" s="612"/>
      <c r="B31" s="377" t="s">
        <v>87</v>
      </c>
      <c r="C31" s="321">
        <v>0</v>
      </c>
      <c r="D31" s="319">
        <v>0</v>
      </c>
      <c r="E31" s="320">
        <v>0</v>
      </c>
      <c r="F31" s="321">
        <v>0</v>
      </c>
      <c r="G31" s="319">
        <v>0</v>
      </c>
      <c r="H31" s="378">
        <v>9906</v>
      </c>
      <c r="I31" s="378">
        <v>8931</v>
      </c>
      <c r="J31" s="378">
        <v>6492</v>
      </c>
      <c r="K31" s="319"/>
      <c r="L31" s="319"/>
      <c r="M31" s="319"/>
      <c r="N31" s="319"/>
      <c r="O31" s="327">
        <f>C31+D31+E31+F31+G31+H31+I31+J31+K31+L31+M31+N31</f>
        <v>25329</v>
      </c>
    </row>
    <row r="32" spans="1:16" x14ac:dyDescent="0.25">
      <c r="A32" s="612"/>
      <c r="B32" s="419" t="s">
        <v>101</v>
      </c>
      <c r="C32" s="395">
        <v>10</v>
      </c>
      <c r="D32" s="396">
        <v>10</v>
      </c>
      <c r="E32" s="397">
        <v>10</v>
      </c>
      <c r="F32" s="395">
        <v>10</v>
      </c>
      <c r="G32" s="335">
        <v>10</v>
      </c>
      <c r="H32" s="336">
        <v>10</v>
      </c>
      <c r="I32" s="334">
        <v>10</v>
      </c>
      <c r="J32" s="335">
        <v>10</v>
      </c>
      <c r="K32" s="420"/>
      <c r="L32" s="421"/>
      <c r="M32" s="421"/>
      <c r="N32" s="422"/>
      <c r="O32" s="253"/>
    </row>
    <row r="33" spans="1:15" ht="30" x14ac:dyDescent="0.25">
      <c r="A33" s="612"/>
      <c r="B33" s="423" t="s">
        <v>95</v>
      </c>
      <c r="C33" s="424">
        <v>1215.3</v>
      </c>
      <c r="D33" s="425">
        <v>1061.5</v>
      </c>
      <c r="E33" s="426">
        <v>1071.8</v>
      </c>
      <c r="F33" s="424">
        <v>8483</v>
      </c>
      <c r="G33" s="282">
        <v>10107</v>
      </c>
      <c r="H33" s="427">
        <v>11913</v>
      </c>
      <c r="I33" s="428">
        <v>13477</v>
      </c>
      <c r="J33" s="282">
        <v>14795</v>
      </c>
      <c r="K33" s="282"/>
      <c r="L33" s="425"/>
      <c r="M33" s="425"/>
      <c r="N33" s="427"/>
      <c r="O33" s="312">
        <f>SUM(C33:N33)</f>
        <v>62123.6</v>
      </c>
    </row>
    <row r="34" spans="1:15" ht="30" x14ac:dyDescent="0.25">
      <c r="A34" s="612"/>
      <c r="B34" s="423" t="s">
        <v>96</v>
      </c>
      <c r="C34" s="424">
        <f t="array" ref="C34:E34">+C37:E37+C43:E43+C49:E49+C55:E55+C61:E61+C65:E65</f>
        <v>22336</v>
      </c>
      <c r="D34" s="425">
        <v>25824</v>
      </c>
      <c r="E34" s="426">
        <v>24262</v>
      </c>
      <c r="F34" s="424">
        <v>4208</v>
      </c>
      <c r="G34" s="282">
        <v>4850</v>
      </c>
      <c r="H34" s="427">
        <v>5209</v>
      </c>
      <c r="I34" s="428">
        <v>5460</v>
      </c>
      <c r="J34" s="282">
        <v>5869</v>
      </c>
      <c r="K34" s="282"/>
      <c r="L34" s="425"/>
      <c r="M34" s="425"/>
      <c r="N34" s="429"/>
      <c r="O34" s="312"/>
    </row>
    <row r="35" spans="1:15" x14ac:dyDescent="0.25">
      <c r="A35" s="612"/>
      <c r="B35" s="430" t="s">
        <v>102</v>
      </c>
      <c r="C35" s="431">
        <f>IF(C33="","",(C33/CONFIG!$B$6)/CONFIG!$B$3)</f>
        <v>1.9601612903225807</v>
      </c>
      <c r="D35" s="432">
        <f>IF(D33="","",(D33/CONFIG!$B$6)/CONFIG!$C$3)</f>
        <v>1.8955357142857143</v>
      </c>
      <c r="E35" s="433">
        <f>IF(E33="","",(E33/CONFIG!$B$6)/CONFIG!$D$3)</f>
        <v>1.7287096774193547</v>
      </c>
      <c r="F35" s="434">
        <f>IF(F33="","",(F33/CONFIG!$B$6)/CONFIG!$E$3)</f>
        <v>14.138333333333332</v>
      </c>
      <c r="G35" s="434">
        <f>IF(G33="","",(G33/CONFIG!$B$6)/CONFIG!$F$3)</f>
        <v>16.301612903225806</v>
      </c>
      <c r="H35" s="435">
        <f>IF(H33="","",(H33/CONFIG!$B$6)/CONFIG!$G$3)</f>
        <v>19.855</v>
      </c>
      <c r="I35" s="436">
        <f>IF(I33="","",(I33/CONFIG!$B$6)/CONFIG!$H$3)</f>
        <v>21.737096774193549</v>
      </c>
      <c r="J35" s="432">
        <f>IF(J33="","",(J33/CONFIG!$B$6)/CONFIG!$I$3)</f>
        <v>23.862903225806452</v>
      </c>
      <c r="K35" s="432" t="str">
        <f>IF(K33="","",(K33/CONFIG!$B$6)/CONFIG!$J$3)</f>
        <v/>
      </c>
      <c r="L35" s="432" t="str">
        <f>IF(L33="","",(L33/CONFIG!$B$6)/CONFIG!$K$3)</f>
        <v/>
      </c>
      <c r="M35" s="432" t="str">
        <f>IF(M33="","",(M33/CONFIG!$B$6)/CONFIG!$L$3)</f>
        <v/>
      </c>
      <c r="N35" s="432" t="str">
        <f>IF(N33="","",(N33/CONFIG!$B$6)/CONFIG!$M$3)</f>
        <v/>
      </c>
      <c r="O35" s="253"/>
    </row>
    <row r="36" spans="1:15" x14ac:dyDescent="0.25">
      <c r="A36" s="613"/>
      <c r="B36" s="430" t="s">
        <v>90</v>
      </c>
      <c r="C36" s="627">
        <f>C30+D30+E30+C34+D34+E34</f>
        <v>72422</v>
      </c>
      <c r="D36" s="607"/>
      <c r="E36" s="609"/>
      <c r="F36" s="608">
        <f>F30+G30+H30+F34+G34+H34</f>
        <v>19645</v>
      </c>
      <c r="G36" s="607"/>
      <c r="H36" s="609"/>
      <c r="I36" s="608">
        <f>I30+J30+K30+I34+J34+K34</f>
        <v>25620</v>
      </c>
      <c r="J36" s="607"/>
      <c r="K36" s="609"/>
      <c r="L36" s="608">
        <f>L30+M30+N30+L34+M34+N34</f>
        <v>0</v>
      </c>
      <c r="M36" s="607"/>
      <c r="N36" s="609"/>
      <c r="O36" s="253"/>
    </row>
    <row r="37" spans="1:15" ht="15" customHeight="1" x14ac:dyDescent="0.25">
      <c r="A37" s="616" t="s">
        <v>103</v>
      </c>
      <c r="B37" s="389" t="s">
        <v>86</v>
      </c>
      <c r="C37" s="390">
        <v>783</v>
      </c>
      <c r="D37" s="352">
        <v>1022</v>
      </c>
      <c r="E37" s="391">
        <v>1065</v>
      </c>
      <c r="F37" s="390">
        <v>786</v>
      </c>
      <c r="G37" s="352">
        <v>531</v>
      </c>
      <c r="H37" s="392">
        <v>1165</v>
      </c>
      <c r="I37" s="351">
        <v>1300</v>
      </c>
      <c r="J37" s="352">
        <v>1330</v>
      </c>
      <c r="K37" s="352">
        <v>1187</v>
      </c>
      <c r="L37" s="352"/>
      <c r="M37" s="352"/>
      <c r="N37" s="352"/>
      <c r="O37" s="315">
        <f>C37+D37+E37+F37+G37+H37+I37+J37+K37+L37+M37+N37</f>
        <v>9169</v>
      </c>
    </row>
    <row r="38" spans="1:15" ht="18" customHeight="1" x14ac:dyDescent="0.25">
      <c r="A38" s="612"/>
      <c r="B38" s="353" t="s">
        <v>87</v>
      </c>
      <c r="C38" s="354">
        <v>9143</v>
      </c>
      <c r="D38" s="355">
        <v>11632</v>
      </c>
      <c r="E38" s="356">
        <v>12149</v>
      </c>
      <c r="F38" s="354">
        <f>7648+1494</f>
        <v>9142</v>
      </c>
      <c r="G38" s="357">
        <v>6147</v>
      </c>
      <c r="H38" s="358">
        <f>13295</f>
        <v>13295</v>
      </c>
      <c r="I38" s="437">
        <v>14805</v>
      </c>
      <c r="J38" s="357">
        <v>15043</v>
      </c>
      <c r="K38" s="357">
        <v>13538</v>
      </c>
      <c r="L38" s="355"/>
      <c r="M38" s="355"/>
      <c r="N38" s="358"/>
      <c r="O38" s="327">
        <f>C38+D38+E38+F38+G38+H38+I38+J38+K38+L38+M38+N38</f>
        <v>104894</v>
      </c>
    </row>
    <row r="39" spans="1:15" x14ac:dyDescent="0.25">
      <c r="A39" s="612"/>
      <c r="B39" s="394" t="s">
        <v>104</v>
      </c>
      <c r="C39" s="438">
        <v>5.93</v>
      </c>
      <c r="D39" s="439">
        <v>7.43</v>
      </c>
      <c r="E39" s="440">
        <v>6.94</v>
      </c>
      <c r="F39" s="438">
        <v>2.25</v>
      </c>
      <c r="G39" s="441">
        <v>4.72</v>
      </c>
      <c r="H39" s="442">
        <v>7</v>
      </c>
      <c r="I39" s="443">
        <v>5.19</v>
      </c>
      <c r="J39" s="444">
        <v>7.59</v>
      </c>
      <c r="K39" s="335">
        <v>7.31</v>
      </c>
      <c r="L39" s="396"/>
      <c r="M39" s="396"/>
      <c r="N39" s="445"/>
      <c r="O39" s="253"/>
    </row>
    <row r="40" spans="1:15" x14ac:dyDescent="0.25">
      <c r="A40" s="612"/>
      <c r="B40" s="353" t="s">
        <v>105</v>
      </c>
      <c r="C40" s="369">
        <v>0</v>
      </c>
      <c r="D40" s="370">
        <v>0</v>
      </c>
      <c r="E40" s="371">
        <v>0</v>
      </c>
      <c r="F40" s="369">
        <v>0</v>
      </c>
      <c r="G40" s="372">
        <v>0</v>
      </c>
      <c r="H40" s="373">
        <v>0</v>
      </c>
      <c r="I40" s="446">
        <v>0</v>
      </c>
      <c r="J40" s="372">
        <v>0</v>
      </c>
      <c r="K40" s="372">
        <v>0</v>
      </c>
      <c r="L40" s="370"/>
      <c r="M40" s="370"/>
      <c r="N40" s="373"/>
      <c r="O40" s="253"/>
    </row>
    <row r="41" spans="1:15" x14ac:dyDescent="0.25">
      <c r="A41" s="612"/>
      <c r="B41" s="374" t="s">
        <v>87</v>
      </c>
      <c r="C41" s="447">
        <v>0</v>
      </c>
      <c r="D41" s="406">
        <v>0</v>
      </c>
      <c r="E41" s="448">
        <v>0</v>
      </c>
      <c r="F41" s="447">
        <v>0</v>
      </c>
      <c r="G41" s="404">
        <v>0</v>
      </c>
      <c r="H41" s="407">
        <v>0</v>
      </c>
      <c r="I41" s="449">
        <v>0</v>
      </c>
      <c r="J41" s="404">
        <v>0</v>
      </c>
      <c r="K41" s="404">
        <v>0</v>
      </c>
      <c r="L41" s="406"/>
      <c r="M41" s="406"/>
      <c r="N41" s="407"/>
      <c r="O41" s="253"/>
    </row>
    <row r="42" spans="1:15" x14ac:dyDescent="0.25">
      <c r="A42" s="613"/>
      <c r="B42" s="450" t="s">
        <v>90</v>
      </c>
      <c r="C42" s="606">
        <f>C37+D37+E37+C40+D40+E40</f>
        <v>2870</v>
      </c>
      <c r="D42" s="607"/>
      <c r="E42" s="607"/>
      <c r="F42" s="608">
        <f>F37+G37+H37+F40+G40+H40</f>
        <v>2482</v>
      </c>
      <c r="G42" s="607"/>
      <c r="H42" s="609"/>
      <c r="I42" s="608">
        <f>I37+J37+K37+I40+J40+K40</f>
        <v>3817</v>
      </c>
      <c r="J42" s="607"/>
      <c r="K42" s="609"/>
      <c r="L42" s="608">
        <f>L37+M37+N37+L40+M40+N40</f>
        <v>0</v>
      </c>
      <c r="M42" s="607"/>
      <c r="N42" s="609"/>
      <c r="O42" s="253"/>
    </row>
    <row r="43" spans="1:15" x14ac:dyDescent="0.25">
      <c r="A43" s="641" t="s">
        <v>106</v>
      </c>
      <c r="B43" s="376" t="s">
        <v>86</v>
      </c>
      <c r="C43" s="223">
        <f>811+437+291+334</f>
        <v>1873</v>
      </c>
      <c r="D43" s="222">
        <f>528+389+507+849</f>
        <v>2273</v>
      </c>
      <c r="E43" s="338">
        <f>794+715+356+571</f>
        <v>2436</v>
      </c>
      <c r="F43" s="223">
        <f>1045+870+792+507</f>
        <v>3214</v>
      </c>
      <c r="G43" s="222">
        <f>303+960+821+769</f>
        <v>2853</v>
      </c>
      <c r="H43" s="339">
        <f>495+821+989+921</f>
        <v>3226</v>
      </c>
      <c r="I43" s="222">
        <f>1065+902+774+529</f>
        <v>3270</v>
      </c>
      <c r="J43" s="222">
        <f>875+1039+700+448</f>
        <v>3062</v>
      </c>
      <c r="K43" s="222">
        <f>1037+1149+492+749</f>
        <v>3427</v>
      </c>
      <c r="L43" s="222"/>
      <c r="M43" s="222"/>
      <c r="N43" s="222"/>
      <c r="O43" s="315">
        <f>SUM(C43:N43)</f>
        <v>25634</v>
      </c>
    </row>
    <row r="44" spans="1:15" x14ac:dyDescent="0.25">
      <c r="A44" s="612"/>
      <c r="B44" s="377" t="s">
        <v>87</v>
      </c>
      <c r="C44" s="321">
        <f>9190+5151+3363+4374</f>
        <v>22078</v>
      </c>
      <c r="D44" s="319">
        <f>5933+4379+6013+9419</f>
        <v>25744</v>
      </c>
      <c r="E44" s="320">
        <f>8909+8405+4082+6843</f>
        <v>28239</v>
      </c>
      <c r="F44" s="321">
        <f>10770+1242+8542+1162+7782+1428+4566+1058</f>
        <v>36550</v>
      </c>
      <c r="G44" s="319">
        <f>3315+10661+9331+8887</f>
        <v>32194</v>
      </c>
      <c r="H44" s="378">
        <f>5595+9590+10442+11440</f>
        <v>37067</v>
      </c>
      <c r="I44" s="318">
        <f>12049+10399+9030+5921</f>
        <v>37399</v>
      </c>
      <c r="J44" s="319">
        <f>10009+11752+8269+5045</f>
        <v>35075</v>
      </c>
      <c r="K44" s="319">
        <f>11838+12801+5467+8735</f>
        <v>38841</v>
      </c>
      <c r="L44" s="319"/>
      <c r="M44" s="319"/>
      <c r="N44" s="319"/>
      <c r="O44" s="327">
        <f>SUM(C44:N44)</f>
        <v>293187</v>
      </c>
    </row>
    <row r="45" spans="1:15" x14ac:dyDescent="0.25">
      <c r="A45" s="612"/>
      <c r="B45" s="394" t="s">
        <v>107</v>
      </c>
      <c r="C45" s="438">
        <f>3.46+5.17+1.91+2.67</f>
        <v>13.209999999999999</v>
      </c>
      <c r="D45" s="439">
        <f>5.35+2.35+4.53+3.85</f>
        <v>16.080000000000002</v>
      </c>
      <c r="E45" s="440">
        <f>4.29+8.7+3.72+4.69</f>
        <v>21.4</v>
      </c>
      <c r="F45" s="451">
        <f>9.04+5.31+5.62+4.96</f>
        <v>24.93</v>
      </c>
      <c r="G45" s="441">
        <f>2.42+5.5+7.57+4.14</f>
        <v>19.63</v>
      </c>
      <c r="H45" s="442">
        <f>5.11+5.68+8.92+6.46</f>
        <v>26.17</v>
      </c>
      <c r="I45" s="443">
        <f>7+8.53+6.15+4.5</f>
        <v>26.18</v>
      </c>
      <c r="J45" s="452">
        <f>7.04+6.99+4.46+9.41</f>
        <v>27.900000000000002</v>
      </c>
      <c r="K45" s="335">
        <f>8.18+6.09+3.97+6.59</f>
        <v>24.83</v>
      </c>
      <c r="L45" s="330"/>
      <c r="M45" s="330"/>
      <c r="N45" s="336"/>
      <c r="O45" s="253"/>
    </row>
    <row r="46" spans="1:15" x14ac:dyDescent="0.25">
      <c r="A46" s="612"/>
      <c r="B46" s="377" t="s">
        <v>105</v>
      </c>
      <c r="C46" s="424">
        <v>0</v>
      </c>
      <c r="D46" s="425">
        <v>0</v>
      </c>
      <c r="E46" s="426">
        <v>0</v>
      </c>
      <c r="F46" s="424">
        <v>0</v>
      </c>
      <c r="G46" s="453">
        <v>0</v>
      </c>
      <c r="H46" s="454">
        <v>0</v>
      </c>
      <c r="I46" s="455">
        <v>0</v>
      </c>
      <c r="J46" s="453">
        <v>0</v>
      </c>
      <c r="K46" s="453">
        <v>0</v>
      </c>
      <c r="L46" s="425"/>
      <c r="M46" s="425"/>
      <c r="N46" s="454"/>
      <c r="O46" s="253"/>
    </row>
    <row r="47" spans="1:15" x14ac:dyDescent="0.25">
      <c r="A47" s="612"/>
      <c r="B47" s="456" t="s">
        <v>87</v>
      </c>
      <c r="C47" s="343">
        <v>0</v>
      </c>
      <c r="D47" s="341">
        <v>0</v>
      </c>
      <c r="E47" s="342">
        <v>0</v>
      </c>
      <c r="F47" s="343">
        <v>0</v>
      </c>
      <c r="G47" s="457">
        <v>0</v>
      </c>
      <c r="H47" s="458">
        <v>0</v>
      </c>
      <c r="I47" s="459">
        <v>0</v>
      </c>
      <c r="J47" s="457">
        <v>0</v>
      </c>
      <c r="K47" s="457">
        <v>0</v>
      </c>
      <c r="L47" s="341"/>
      <c r="M47" s="341"/>
      <c r="N47" s="458"/>
      <c r="O47" s="253"/>
    </row>
    <row r="48" spans="1:15" x14ac:dyDescent="0.25">
      <c r="A48" s="613"/>
      <c r="B48" s="450" t="s">
        <v>90</v>
      </c>
      <c r="C48" s="606">
        <f>C43+D43+E43+C46+D46+E46</f>
        <v>6582</v>
      </c>
      <c r="D48" s="607"/>
      <c r="E48" s="607"/>
      <c r="F48" s="608">
        <f>F43+G43+H43+F46+G46+H46</f>
        <v>9293</v>
      </c>
      <c r="G48" s="607"/>
      <c r="H48" s="609"/>
      <c r="I48" s="608">
        <f>I43+J43+K43+I46+J46+K46</f>
        <v>9759</v>
      </c>
      <c r="J48" s="607"/>
      <c r="K48" s="609"/>
      <c r="L48" s="608">
        <f>L43+M43+N43+L46+M46+N46</f>
        <v>0</v>
      </c>
      <c r="M48" s="607"/>
      <c r="N48" s="609"/>
      <c r="O48" s="253"/>
    </row>
    <row r="49" spans="1:15" x14ac:dyDescent="0.25">
      <c r="A49" s="616" t="s">
        <v>108</v>
      </c>
      <c r="B49" s="389" t="s">
        <v>86</v>
      </c>
      <c r="C49" s="390">
        <f>3532+16</f>
        <v>3548</v>
      </c>
      <c r="D49" s="352">
        <f>4811+16</f>
        <v>4827</v>
      </c>
      <c r="E49" s="391">
        <f>5086</f>
        <v>5086</v>
      </c>
      <c r="F49" s="390">
        <v>5320</v>
      </c>
      <c r="G49" s="352">
        <v>4331</v>
      </c>
      <c r="H49" s="392">
        <v>5754</v>
      </c>
      <c r="I49" s="351">
        <f>7464+16</f>
        <v>7480</v>
      </c>
      <c r="J49" s="352">
        <v>5901</v>
      </c>
      <c r="K49" s="352"/>
      <c r="L49" s="352"/>
      <c r="M49" s="352"/>
      <c r="N49" s="352"/>
      <c r="O49" s="315">
        <f>C49+D49+E49+F49+G49+H49+I49+J49+K49+L49+M49+N49</f>
        <v>42247</v>
      </c>
    </row>
    <row r="50" spans="1:15" x14ac:dyDescent="0.25">
      <c r="A50" s="612"/>
      <c r="B50" s="353" t="s">
        <v>87</v>
      </c>
      <c r="C50" s="354">
        <f>62976+283</f>
        <v>63259</v>
      </c>
      <c r="D50" s="355">
        <f>75013+283</f>
        <v>75296</v>
      </c>
      <c r="E50" s="356">
        <v>78616</v>
      </c>
      <c r="F50" s="354">
        <v>78945</v>
      </c>
      <c r="G50" s="357">
        <v>61458</v>
      </c>
      <c r="H50" s="358">
        <v>83750</v>
      </c>
      <c r="I50" s="437">
        <f>99391+313</f>
        <v>99704</v>
      </c>
      <c r="J50" s="357">
        <v>85110</v>
      </c>
      <c r="K50" s="357"/>
      <c r="L50" s="355"/>
      <c r="M50" s="355"/>
      <c r="N50" s="361"/>
      <c r="O50" s="327">
        <f>C50+D50+E50+F50+G50+H50+I50+J50+K50+L50+M50+N50</f>
        <v>626138</v>
      </c>
    </row>
    <row r="51" spans="1:15" x14ac:dyDescent="0.25">
      <c r="A51" s="612"/>
      <c r="B51" s="394" t="s">
        <v>109</v>
      </c>
      <c r="C51" s="332">
        <v>17.03</v>
      </c>
      <c r="D51" s="330">
        <v>24.27</v>
      </c>
      <c r="E51" s="331">
        <v>28.03</v>
      </c>
      <c r="F51" s="332">
        <v>34.270000000000003</v>
      </c>
      <c r="G51" s="330">
        <v>26.55</v>
      </c>
      <c r="H51" s="333">
        <v>23.71</v>
      </c>
      <c r="I51" s="329">
        <v>29.35</v>
      </c>
      <c r="J51" s="330">
        <v>28.34</v>
      </c>
      <c r="K51" s="330"/>
      <c r="L51" s="330"/>
      <c r="M51" s="330"/>
      <c r="N51" s="330"/>
      <c r="O51" s="253"/>
    </row>
    <row r="52" spans="1:15" x14ac:dyDescent="0.25">
      <c r="A52" s="612"/>
      <c r="B52" s="353" t="s">
        <v>105</v>
      </c>
      <c r="C52" s="369">
        <v>0</v>
      </c>
      <c r="D52" s="370">
        <v>0</v>
      </c>
      <c r="E52" s="371">
        <v>0</v>
      </c>
      <c r="F52" s="369">
        <v>0</v>
      </c>
      <c r="G52" s="370">
        <v>0</v>
      </c>
      <c r="H52" s="398">
        <v>0</v>
      </c>
      <c r="I52" s="398">
        <v>0</v>
      </c>
      <c r="J52" s="372">
        <v>0</v>
      </c>
      <c r="K52" s="372"/>
      <c r="L52" s="370"/>
      <c r="M52" s="370"/>
      <c r="N52" s="373"/>
      <c r="O52" s="253"/>
    </row>
    <row r="53" spans="1:15" x14ac:dyDescent="0.25">
      <c r="A53" s="612"/>
      <c r="B53" s="374" t="s">
        <v>87</v>
      </c>
      <c r="C53" s="447">
        <v>0</v>
      </c>
      <c r="D53" s="406">
        <v>0</v>
      </c>
      <c r="E53" s="448">
        <v>0</v>
      </c>
      <c r="F53" s="447">
        <v>0</v>
      </c>
      <c r="G53" s="406">
        <v>0</v>
      </c>
      <c r="H53" s="460">
        <v>0</v>
      </c>
      <c r="I53" s="460">
        <v>0</v>
      </c>
      <c r="J53" s="352">
        <v>0</v>
      </c>
      <c r="K53" s="352"/>
      <c r="L53" s="352"/>
      <c r="M53" s="352"/>
      <c r="N53" s="352"/>
      <c r="O53" s="253"/>
    </row>
    <row r="54" spans="1:15" x14ac:dyDescent="0.25">
      <c r="A54" s="613"/>
      <c r="B54" s="450" t="s">
        <v>90</v>
      </c>
      <c r="C54" s="606">
        <f>C49+D49+E49+C52+D52+E52</f>
        <v>13461</v>
      </c>
      <c r="D54" s="607"/>
      <c r="E54" s="607"/>
      <c r="F54" s="608">
        <f>F49+G49+H49+F52+G52+H52</f>
        <v>15405</v>
      </c>
      <c r="G54" s="607"/>
      <c r="H54" s="609"/>
      <c r="I54" s="608">
        <f>I49+J49+K49</f>
        <v>13381</v>
      </c>
      <c r="J54" s="607"/>
      <c r="K54" s="609"/>
      <c r="L54" s="351"/>
      <c r="M54" s="351"/>
      <c r="N54" s="351"/>
      <c r="O54" s="253"/>
    </row>
    <row r="55" spans="1:15" x14ac:dyDescent="0.25">
      <c r="A55" s="634" t="s">
        <v>110</v>
      </c>
      <c r="B55" s="376" t="s">
        <v>86</v>
      </c>
      <c r="C55" s="223">
        <f>1366+860+390</f>
        <v>2616</v>
      </c>
      <c r="D55" s="222">
        <f>800+400+2035</f>
        <v>3235</v>
      </c>
      <c r="E55" s="338">
        <f>2831+634+1054</f>
        <v>4519</v>
      </c>
      <c r="F55" s="223">
        <f>1086+671+2699</f>
        <v>4456</v>
      </c>
      <c r="G55" s="222">
        <f>1716+731+1167</f>
        <v>3614</v>
      </c>
      <c r="H55" s="339">
        <f>3958+765+943</f>
        <v>5666</v>
      </c>
      <c r="I55" s="222">
        <f>3413+791+1022</f>
        <v>5226</v>
      </c>
      <c r="J55" s="222">
        <f>991+2633+576</f>
        <v>4200</v>
      </c>
      <c r="K55" s="222">
        <v>3089</v>
      </c>
      <c r="L55" s="222"/>
      <c r="M55" s="222"/>
      <c r="N55" s="222"/>
      <c r="O55" s="315">
        <f>C55+D55+E55+F55+G55+H55+I55+J55+K55+L55+M55+N55</f>
        <v>36621</v>
      </c>
    </row>
    <row r="56" spans="1:15" x14ac:dyDescent="0.25">
      <c r="A56" s="612"/>
      <c r="B56" s="377" t="s">
        <v>87</v>
      </c>
      <c r="C56" s="321">
        <f>18819+9382+4809</f>
        <v>33010</v>
      </c>
      <c r="D56" s="425">
        <f>8840+4925+26077</f>
        <v>39842</v>
      </c>
      <c r="E56" s="426">
        <f>35089+7612+11657</f>
        <v>54358</v>
      </c>
      <c r="F56" s="424">
        <f>12118+7928+33550</f>
        <v>53596</v>
      </c>
      <c r="G56" s="425">
        <f>18688+7702+12360</f>
        <v>38750</v>
      </c>
      <c r="H56" s="461">
        <f>47286+8990+10559</f>
        <v>66835</v>
      </c>
      <c r="I56" s="462">
        <f>41415+9218+17629</f>
        <v>68262</v>
      </c>
      <c r="J56" s="425">
        <f>11007+32794+6861</f>
        <v>50662</v>
      </c>
      <c r="K56" s="425">
        <v>37962</v>
      </c>
      <c r="L56" s="425"/>
      <c r="M56" s="425"/>
      <c r="N56" s="425"/>
      <c r="O56" s="327">
        <f>C56+D56+E56+F56+G56+H56+I56+J56+K56+L56+M56+N56</f>
        <v>443277</v>
      </c>
    </row>
    <row r="57" spans="1:15" x14ac:dyDescent="0.25">
      <c r="A57" s="612"/>
      <c r="B57" s="394" t="s">
        <v>111</v>
      </c>
      <c r="C57" s="438">
        <v>10.47</v>
      </c>
      <c r="D57" s="439">
        <v>16.57</v>
      </c>
      <c r="E57" s="440">
        <v>22.84</v>
      </c>
      <c r="F57" s="438">
        <v>24.11</v>
      </c>
      <c r="G57" s="441">
        <v>8.67</v>
      </c>
      <c r="H57" s="442">
        <v>27.24</v>
      </c>
      <c r="I57" s="443">
        <v>25.94</v>
      </c>
      <c r="J57" s="335">
        <v>21.86</v>
      </c>
      <c r="K57" s="335">
        <v>22.87</v>
      </c>
      <c r="L57" s="330"/>
      <c r="M57" s="330"/>
      <c r="N57" s="336"/>
      <c r="O57" s="253"/>
    </row>
    <row r="58" spans="1:15" x14ac:dyDescent="0.25">
      <c r="A58" s="612"/>
      <c r="B58" s="456" t="s">
        <v>105</v>
      </c>
      <c r="C58" s="424">
        <v>0</v>
      </c>
      <c r="D58" s="425">
        <v>0</v>
      </c>
      <c r="E58" s="426">
        <v>0</v>
      </c>
      <c r="F58" s="424">
        <v>0</v>
      </c>
      <c r="G58" s="425">
        <v>0</v>
      </c>
      <c r="H58" s="461">
        <v>0</v>
      </c>
      <c r="I58" s="455">
        <v>0</v>
      </c>
      <c r="J58" s="453">
        <v>0</v>
      </c>
      <c r="K58" s="453">
        <v>0</v>
      </c>
      <c r="L58" s="425"/>
      <c r="M58" s="425"/>
      <c r="N58" s="454"/>
      <c r="O58" s="253"/>
    </row>
    <row r="59" spans="1:15" x14ac:dyDescent="0.25">
      <c r="A59" s="612"/>
      <c r="B59" s="463" t="s">
        <v>87</v>
      </c>
      <c r="C59" s="340">
        <v>0</v>
      </c>
      <c r="D59" s="341">
        <v>0</v>
      </c>
      <c r="E59" s="342">
        <v>0</v>
      </c>
      <c r="F59" s="343">
        <v>0</v>
      </c>
      <c r="G59" s="341">
        <v>0</v>
      </c>
      <c r="H59" s="344">
        <v>0</v>
      </c>
      <c r="I59" s="344">
        <v>0</v>
      </c>
      <c r="J59" s="344">
        <v>0</v>
      </c>
      <c r="K59" s="344">
        <v>0</v>
      </c>
      <c r="L59" s="341"/>
      <c r="M59" s="341"/>
      <c r="N59" s="458"/>
      <c r="O59" s="253"/>
    </row>
    <row r="60" spans="1:15" x14ac:dyDescent="0.25">
      <c r="A60" s="612"/>
      <c r="B60" s="345" t="s">
        <v>90</v>
      </c>
      <c r="C60" s="626">
        <f>C55+D55+E55+C58+D58+E58</f>
        <v>10370</v>
      </c>
      <c r="D60" s="607"/>
      <c r="E60" s="607"/>
      <c r="F60" s="608">
        <f>F55+G55+H55+F58+G58+H58</f>
        <v>13736</v>
      </c>
      <c r="G60" s="607"/>
      <c r="H60" s="609"/>
      <c r="I60" s="608">
        <f>I55+J55+K55+I58+J58+K58</f>
        <v>12515</v>
      </c>
      <c r="J60" s="607"/>
      <c r="K60" s="609"/>
      <c r="L60" s="608">
        <f>L55+M55+N55+L58+M58+N58</f>
        <v>0</v>
      </c>
      <c r="M60" s="607"/>
      <c r="N60" s="609"/>
      <c r="O60" s="253"/>
    </row>
    <row r="61" spans="1:15" x14ac:dyDescent="0.25">
      <c r="A61" s="628" t="s">
        <v>112</v>
      </c>
      <c r="B61" s="346" t="s">
        <v>86</v>
      </c>
      <c r="C61" s="390">
        <v>12593</v>
      </c>
      <c r="D61" s="352">
        <v>12752</v>
      </c>
      <c r="E61" s="391">
        <v>8431</v>
      </c>
      <c r="F61" s="390">
        <v>8840</v>
      </c>
      <c r="G61" s="352">
        <v>4819</v>
      </c>
      <c r="H61" s="392">
        <v>8107</v>
      </c>
      <c r="I61" s="351">
        <v>9271</v>
      </c>
      <c r="J61" s="352">
        <v>9715</v>
      </c>
      <c r="K61" s="352">
        <v>9252</v>
      </c>
      <c r="L61" s="352"/>
      <c r="M61" s="352"/>
      <c r="N61" s="352"/>
      <c r="O61" s="315">
        <f>C61+D61+E61+F61+G61+H61+I61+J61+K61+L61+M61+N61</f>
        <v>83780</v>
      </c>
    </row>
    <row r="62" spans="1:15" x14ac:dyDescent="0.25">
      <c r="A62" s="612"/>
      <c r="B62" s="353" t="s">
        <v>87</v>
      </c>
      <c r="C62" s="354">
        <v>149994</v>
      </c>
      <c r="D62" s="355">
        <v>151920</v>
      </c>
      <c r="E62" s="356">
        <v>12040</v>
      </c>
      <c r="F62" s="354">
        <v>63091</v>
      </c>
      <c r="G62" s="357">
        <f>78721+37690</f>
        <v>116411</v>
      </c>
      <c r="H62" s="358">
        <v>129165</v>
      </c>
      <c r="I62" s="437">
        <v>123948</v>
      </c>
      <c r="J62" s="357">
        <v>126848</v>
      </c>
      <c r="K62" s="357">
        <v>122290</v>
      </c>
      <c r="L62" s="355"/>
      <c r="M62" s="355"/>
      <c r="N62" s="361"/>
      <c r="O62" s="327">
        <f>C62+D62+E62+F62+G62+H62+I62+J62+K62+L62+M62+N62</f>
        <v>995707</v>
      </c>
    </row>
    <row r="63" spans="1:15" x14ac:dyDescent="0.25">
      <c r="A63" s="612"/>
      <c r="B63" s="394" t="s">
        <v>94</v>
      </c>
      <c r="C63" s="438"/>
      <c r="D63" s="439"/>
      <c r="E63" s="440"/>
      <c r="F63" s="438"/>
      <c r="G63" s="335">
        <v>13.4</v>
      </c>
      <c r="H63" s="442"/>
      <c r="I63" s="443"/>
      <c r="J63" s="335">
        <v>17.239999999999998</v>
      </c>
      <c r="K63" s="335">
        <v>5.52</v>
      </c>
      <c r="L63" s="330"/>
      <c r="M63" s="330"/>
      <c r="N63" s="336"/>
      <c r="O63" s="253"/>
    </row>
    <row r="64" spans="1:15" ht="30" x14ac:dyDescent="0.25">
      <c r="A64" s="612"/>
      <c r="B64" s="353" t="s">
        <v>95</v>
      </c>
      <c r="C64" s="464">
        <v>5265</v>
      </c>
      <c r="D64" s="464">
        <v>5543</v>
      </c>
      <c r="E64" s="464">
        <v>11156</v>
      </c>
      <c r="F64" s="464">
        <v>8556</v>
      </c>
      <c r="G64" s="464">
        <v>8417</v>
      </c>
      <c r="H64" s="464">
        <v>7590</v>
      </c>
      <c r="I64" s="464">
        <v>10958</v>
      </c>
      <c r="J64" s="464">
        <v>12043</v>
      </c>
      <c r="K64" s="465">
        <v>7494</v>
      </c>
      <c r="L64" s="466"/>
      <c r="M64" s="370"/>
      <c r="N64" s="373"/>
      <c r="O64" s="467">
        <f>SUM(C64:N64)</f>
        <v>77022</v>
      </c>
    </row>
    <row r="65" spans="1:15" ht="30" x14ac:dyDescent="0.25">
      <c r="A65" s="612"/>
      <c r="B65" s="353" t="s">
        <v>96</v>
      </c>
      <c r="C65" s="464">
        <v>923</v>
      </c>
      <c r="D65" s="464">
        <v>1715</v>
      </c>
      <c r="E65" s="464">
        <v>2725</v>
      </c>
      <c r="F65" s="464">
        <v>2920</v>
      </c>
      <c r="G65" s="464">
        <v>3550</v>
      </c>
      <c r="H65" s="464">
        <v>3709</v>
      </c>
      <c r="I65" s="464">
        <v>1687</v>
      </c>
      <c r="J65" s="464">
        <v>2320</v>
      </c>
      <c r="K65" s="468">
        <v>2196</v>
      </c>
      <c r="L65" s="469"/>
      <c r="M65" s="401"/>
      <c r="N65" s="470"/>
      <c r="O65" s="467"/>
    </row>
    <row r="66" spans="1:15" x14ac:dyDescent="0.25">
      <c r="A66" s="612"/>
      <c r="B66" s="471" t="s">
        <v>102</v>
      </c>
      <c r="C66" s="472">
        <f>IF(C64="","",(C64/CONFIG!$B$7)/CONFIG!$B$3)</f>
        <v>3.3967741935483868</v>
      </c>
      <c r="D66" s="473">
        <f>IF(D64="","",(D64/CONFIG!$B$7)/CONFIG!$C$3)</f>
        <v>3.9592857142857141</v>
      </c>
      <c r="E66" s="474">
        <f>IF(E64="","",(E64/CONFIG!$B$7)/CONFIG!$D$3)</f>
        <v>7.1974193548387095</v>
      </c>
      <c r="F66" s="472">
        <f>IF(F64="","",(F64/CONFIG!$B$7)/CONFIG!$E$3)</f>
        <v>5.7039999999999997</v>
      </c>
      <c r="G66" s="473">
        <f>IF(G64="","",(G64/CONFIG!$B$7)/CONFIG!$F$3)</f>
        <v>5.4303225806451616</v>
      </c>
      <c r="H66" s="473">
        <f>IF(H64="","",(H64/CONFIG!$B$7)/CONFIG!$G$3)</f>
        <v>5.0600000000000005</v>
      </c>
      <c r="I66" s="473">
        <f>IF(I64="","",(I64/CONFIG!$B$7)/CONFIG!$H$3)</f>
        <v>7.0696774193548384</v>
      </c>
      <c r="J66" s="473">
        <f>IF(J64="","",(J64/CONFIG!$B$7)/CONFIG!$I$3)</f>
        <v>7.7696774193548395</v>
      </c>
      <c r="K66" s="473">
        <f>IF(K64="","",(K64/CONFIG!$B$7)/CONFIG!$J$3)</f>
        <v>4.9959999999999996</v>
      </c>
      <c r="L66" s="475" t="str">
        <f>IF(L64="","",(L64/CONFIG!$B$7)/CONFIG!$K$3)</f>
        <v/>
      </c>
      <c r="M66" s="473" t="str">
        <f>IF(M64="","",(M64/CONFIG!$B$7)/CONFIG!$L$3)</f>
        <v/>
      </c>
      <c r="N66" s="476" t="str">
        <f>IF(N64="","",(N64/CONFIG!$B$7)/CONFIG!$M$3)</f>
        <v/>
      </c>
      <c r="O66" s="401"/>
    </row>
    <row r="67" spans="1:15" x14ac:dyDescent="0.25">
      <c r="A67" s="612"/>
      <c r="B67" s="250" t="s">
        <v>87</v>
      </c>
      <c r="C67" s="409">
        <f t="shared" ref="C67:K67" si="1">C64*11.91</f>
        <v>62706.15</v>
      </c>
      <c r="D67" s="410">
        <f t="shared" si="1"/>
        <v>66017.13</v>
      </c>
      <c r="E67" s="411">
        <f t="shared" si="1"/>
        <v>132867.96</v>
      </c>
      <c r="F67" s="409">
        <f t="shared" si="1"/>
        <v>101901.96</v>
      </c>
      <c r="G67" s="410">
        <f t="shared" si="1"/>
        <v>100246.47</v>
      </c>
      <c r="H67" s="412">
        <f t="shared" si="1"/>
        <v>90396.9</v>
      </c>
      <c r="I67" s="410">
        <f t="shared" si="1"/>
        <v>130509.78</v>
      </c>
      <c r="J67" s="410">
        <f t="shared" si="1"/>
        <v>143432.13</v>
      </c>
      <c r="K67" s="410">
        <f t="shared" si="1"/>
        <v>89253.540000000008</v>
      </c>
      <c r="L67" s="469"/>
      <c r="M67" s="401"/>
      <c r="N67" s="470"/>
      <c r="O67" s="477"/>
    </row>
    <row r="68" spans="1:15" x14ac:dyDescent="0.25">
      <c r="A68" s="629"/>
      <c r="B68" s="450" t="s">
        <v>90</v>
      </c>
      <c r="C68" s="639">
        <f>C61+D61+E61+C66+D66+E66</f>
        <v>33790.553479262671</v>
      </c>
      <c r="D68" s="618"/>
      <c r="E68" s="618"/>
      <c r="F68" s="617">
        <f>F61+G61+H61+F66+G66+H66</f>
        <v>21782.194322580646</v>
      </c>
      <c r="G68" s="618"/>
      <c r="H68" s="619"/>
      <c r="I68" s="617">
        <f>I61+J61+K61+I66+J66+K66</f>
        <v>28257.835354838709</v>
      </c>
      <c r="J68" s="618"/>
      <c r="K68" s="619"/>
      <c r="L68" s="617">
        <f>L61+M61+N61+N(L66)+N(M66)+N(N66)</f>
        <v>0</v>
      </c>
      <c r="M68" s="618"/>
      <c r="N68" s="619"/>
      <c r="O68" s="253"/>
    </row>
    <row r="69" spans="1:15" x14ac:dyDescent="0.25">
      <c r="A69" s="624" t="s">
        <v>113</v>
      </c>
      <c r="B69" s="625"/>
      <c r="C69" s="637">
        <f>(C9+C15+C22+C29+C36+C42+C48+C54+C60+C68)/1000</f>
        <v>197.77155347926268</v>
      </c>
      <c r="D69" s="615"/>
      <c r="E69" s="638"/>
      <c r="F69" s="637">
        <f>(F9+F15+F22+F29+F36+F42+F48+F54+F60+F68)/1000</f>
        <v>156.55619432258064</v>
      </c>
      <c r="G69" s="615"/>
      <c r="H69" s="638"/>
      <c r="I69" s="637">
        <f>(I9+I15+I22+I29+I36+I42+I48+I54+I60+I68)/1000</f>
        <v>153.68783535483868</v>
      </c>
      <c r="J69" s="615"/>
      <c r="K69" s="638"/>
      <c r="L69" s="478"/>
      <c r="M69" s="478"/>
      <c r="N69" s="478"/>
      <c r="O69" s="253"/>
    </row>
  </sheetData>
  <mergeCells count="56">
    <mergeCell ref="L68:N68"/>
    <mergeCell ref="F69:H69"/>
    <mergeCell ref="C42:E42"/>
    <mergeCell ref="F54:H54"/>
    <mergeCell ref="F68:H68"/>
    <mergeCell ref="A4:A9"/>
    <mergeCell ref="A43:A48"/>
    <mergeCell ref="A10:A15"/>
    <mergeCell ref="C29:E29"/>
    <mergeCell ref="F15:H15"/>
    <mergeCell ref="A69:B69"/>
    <mergeCell ref="C60:E60"/>
    <mergeCell ref="C36:E36"/>
    <mergeCell ref="I42:K42"/>
    <mergeCell ref="A61:A68"/>
    <mergeCell ref="C48:E48"/>
    <mergeCell ref="I48:K48"/>
    <mergeCell ref="F48:H48"/>
    <mergeCell ref="A37:A42"/>
    <mergeCell ref="F60:H60"/>
    <mergeCell ref="A55:A60"/>
    <mergeCell ref="I60:K60"/>
    <mergeCell ref="C69:E69"/>
    <mergeCell ref="I69:K69"/>
    <mergeCell ref="C68:E68"/>
    <mergeCell ref="A30:A36"/>
    <mergeCell ref="C9:E9"/>
    <mergeCell ref="A49:A54"/>
    <mergeCell ref="I68:K68"/>
    <mergeCell ref="L29:N29"/>
    <mergeCell ref="A1:N1"/>
    <mergeCell ref="F22:H22"/>
    <mergeCell ref="L60:N60"/>
    <mergeCell ref="L22:N22"/>
    <mergeCell ref="L9:N9"/>
    <mergeCell ref="A23:A29"/>
    <mergeCell ref="F9:H9"/>
    <mergeCell ref="A3:B3"/>
    <mergeCell ref="I29:K29"/>
    <mergeCell ref="L36:N36"/>
    <mergeCell ref="A2:N2"/>
    <mergeCell ref="I9:K9"/>
    <mergeCell ref="C54:E54"/>
    <mergeCell ref="I54:K54"/>
    <mergeCell ref="L15:N15"/>
    <mergeCell ref="A16:A22"/>
    <mergeCell ref="F42:H42"/>
    <mergeCell ref="L42:N42"/>
    <mergeCell ref="F36:H36"/>
    <mergeCell ref="I22:K22"/>
    <mergeCell ref="C22:E22"/>
    <mergeCell ref="L48:N48"/>
    <mergeCell ref="F29:H29"/>
    <mergeCell ref="C15:E15"/>
    <mergeCell ref="I15:K15"/>
    <mergeCell ref="I36:K36"/>
  </mergeCells>
  <conditionalFormatting sqref="B36:C36">
    <cfRule type="cellIs" dxfId="39" priority="15" operator="lessThan">
      <formula>3</formula>
    </cfRule>
  </conditionalFormatting>
  <conditionalFormatting sqref="B35:E35 H35:N35">
    <cfRule type="cellIs" dxfId="38" priority="27" operator="lessThan">
      <formula>3</formula>
    </cfRule>
  </conditionalFormatting>
  <conditionalFormatting sqref="B21:N21 C22 F22 I22 L22">
    <cfRule type="cellIs" dxfId="37" priority="28" operator="lessThan">
      <formula>3</formula>
    </cfRule>
  </conditionalFormatting>
  <conditionalFormatting sqref="C42 F42">
    <cfRule type="cellIs" dxfId="36" priority="26" operator="lessThan">
      <formula>3</formula>
    </cfRule>
  </conditionalFormatting>
  <conditionalFormatting sqref="C48 F48">
    <cfRule type="cellIs" dxfId="35" priority="25" operator="lessThan">
      <formula>3</formula>
    </cfRule>
  </conditionalFormatting>
  <conditionalFormatting sqref="C54 F54">
    <cfRule type="cellIs" dxfId="34" priority="24" operator="lessThan">
      <formula>3</formula>
    </cfRule>
  </conditionalFormatting>
  <conditionalFormatting sqref="C60 F60">
    <cfRule type="cellIs" dxfId="33" priority="23" operator="lessThan">
      <formula>3</formula>
    </cfRule>
  </conditionalFormatting>
  <conditionalFormatting sqref="C68">
    <cfRule type="cellIs" dxfId="32" priority="20" operator="lessThan">
      <formula>3</formula>
    </cfRule>
  </conditionalFormatting>
  <conditionalFormatting sqref="F36">
    <cfRule type="cellIs" dxfId="31" priority="18" operator="lessThan">
      <formula>3</formula>
    </cfRule>
  </conditionalFormatting>
  <conditionalFormatting sqref="F68">
    <cfRule type="cellIs" dxfId="30" priority="19" operator="lessThan">
      <formula>3</formula>
    </cfRule>
  </conditionalFormatting>
  <conditionalFormatting sqref="I36">
    <cfRule type="cellIs" dxfId="29" priority="7" operator="lessThan">
      <formula>3</formula>
    </cfRule>
  </conditionalFormatting>
  <conditionalFormatting sqref="I42">
    <cfRule type="cellIs" dxfId="28" priority="5" operator="lessThan">
      <formula>3</formula>
    </cfRule>
  </conditionalFormatting>
  <conditionalFormatting sqref="I48">
    <cfRule type="cellIs" dxfId="27" priority="14" operator="lessThan">
      <formula>3</formula>
    </cfRule>
  </conditionalFormatting>
  <conditionalFormatting sqref="I54">
    <cfRule type="cellIs" dxfId="26" priority="10" operator="lessThan">
      <formula>3</formula>
    </cfRule>
  </conditionalFormatting>
  <conditionalFormatting sqref="I60">
    <cfRule type="cellIs" dxfId="25" priority="9" operator="lessThan">
      <formula>3</formula>
    </cfRule>
  </conditionalFormatting>
  <conditionalFormatting sqref="I68">
    <cfRule type="cellIs" dxfId="24" priority="2" operator="lessThan">
      <formula>3</formula>
    </cfRule>
  </conditionalFormatting>
  <conditionalFormatting sqref="L36">
    <cfRule type="cellIs" dxfId="23" priority="6" operator="lessThan">
      <formula>3</formula>
    </cfRule>
  </conditionalFormatting>
  <conditionalFormatting sqref="L42">
    <cfRule type="cellIs" dxfId="22" priority="4" operator="lessThan">
      <formula>3</formula>
    </cfRule>
  </conditionalFormatting>
  <conditionalFormatting sqref="L48">
    <cfRule type="cellIs" dxfId="21" priority="11" operator="lessThan">
      <formula>3</formula>
    </cfRule>
  </conditionalFormatting>
  <conditionalFormatting sqref="L60">
    <cfRule type="cellIs" dxfId="20" priority="3" operator="lessThan">
      <formula>3</formula>
    </cfRule>
  </conditionalFormatting>
  <conditionalFormatting sqref="L68">
    <cfRule type="cellIs" dxfId="19" priority="1" operator="lessThan">
      <formula>3</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43"/>
  <sheetViews>
    <sheetView tabSelected="1" workbookViewId="0">
      <selection sqref="A1:O1"/>
    </sheetView>
  </sheetViews>
  <sheetFormatPr defaultRowHeight="15" x14ac:dyDescent="0.25"/>
  <cols>
    <col min="1" max="2" width="23" customWidth="1"/>
    <col min="3" max="4" width="10.42578125" bestFit="1" customWidth="1"/>
    <col min="5" max="5" width="9.5703125" bestFit="1" customWidth="1"/>
    <col min="7" max="8" width="10.42578125" bestFit="1" customWidth="1"/>
    <col min="9" max="9" width="10.5703125" bestFit="1" customWidth="1"/>
    <col min="10" max="10" width="10.42578125" style="4" bestFit="1" customWidth="1"/>
    <col min="11" max="11" width="10.42578125" bestFit="1" customWidth="1"/>
    <col min="14" max="14" width="9.140625" style="4" customWidth="1"/>
    <col min="15" max="15" width="13.42578125" bestFit="1" customWidth="1"/>
    <col min="16" max="16" width="11.42578125" customWidth="1"/>
  </cols>
  <sheetData>
    <row r="1" spans="1:17" ht="30" customHeight="1" x14ac:dyDescent="0.25">
      <c r="A1" s="658" t="s">
        <v>114</v>
      </c>
      <c r="B1" s="659"/>
      <c r="C1" s="659"/>
      <c r="D1" s="659"/>
      <c r="E1" s="659"/>
      <c r="F1" s="659"/>
      <c r="G1" s="659"/>
      <c r="H1" s="659"/>
      <c r="I1" s="659"/>
      <c r="J1" s="659"/>
      <c r="K1" s="659"/>
      <c r="L1" s="659"/>
      <c r="M1" s="659"/>
      <c r="N1" s="659"/>
      <c r="O1" s="660"/>
      <c r="P1" s="253"/>
      <c r="Q1" s="253"/>
    </row>
    <row r="2" spans="1:17" ht="24.6" customHeight="1" x14ac:dyDescent="0.25">
      <c r="A2" s="479" t="s">
        <v>4</v>
      </c>
      <c r="B2" s="479"/>
      <c r="C2" s="480">
        <v>46023</v>
      </c>
      <c r="D2" s="480">
        <v>46055</v>
      </c>
      <c r="E2" s="480">
        <v>46082</v>
      </c>
      <c r="F2" s="480">
        <v>46141</v>
      </c>
      <c r="G2" s="480">
        <v>46172</v>
      </c>
      <c r="H2" s="480">
        <v>46203</v>
      </c>
      <c r="I2" s="480">
        <v>46233</v>
      </c>
      <c r="J2" s="480">
        <v>46265</v>
      </c>
      <c r="K2" s="480">
        <v>46267</v>
      </c>
      <c r="L2" s="480">
        <v>46298</v>
      </c>
      <c r="M2" s="480">
        <v>46330</v>
      </c>
      <c r="N2" s="480">
        <v>46361</v>
      </c>
      <c r="O2" s="481" t="s">
        <v>115</v>
      </c>
      <c r="P2" s="253"/>
      <c r="Q2" s="253"/>
    </row>
    <row r="3" spans="1:17" ht="18" customHeight="1" x14ac:dyDescent="0.25">
      <c r="A3" s="654" t="s">
        <v>85</v>
      </c>
      <c r="B3" s="482" t="s">
        <v>116</v>
      </c>
      <c r="C3" s="483">
        <f>(3298.7-3240.3)*1000</f>
        <v>58399.999999999636</v>
      </c>
      <c r="D3" s="483">
        <f>(3358.8-3298.7)*1000</f>
        <v>60100.000000000364</v>
      </c>
      <c r="E3" s="483">
        <f>(3413.7-3358.8)*1000</f>
        <v>54899.999999999636</v>
      </c>
      <c r="F3" s="483">
        <f>(3467.7-3413.7)*1000</f>
        <v>54000</v>
      </c>
      <c r="G3" s="483">
        <f>(3535.6-3467.7)*1000</f>
        <v>67900.000000000087</v>
      </c>
      <c r="H3" s="483">
        <f>(3576-3535.6)*1000</f>
        <v>40400.000000000087</v>
      </c>
      <c r="I3" s="483">
        <f>(3626.5-3576)*1000</f>
        <v>50500</v>
      </c>
      <c r="J3" s="483">
        <f>(3669.9-3626.5)*1000</f>
        <v>43400.000000000087</v>
      </c>
      <c r="K3" s="483">
        <f>(3712.2-3669.9)*1000</f>
        <v>42299.999999999724</v>
      </c>
      <c r="L3" s="483"/>
      <c r="M3" s="483"/>
      <c r="N3" s="483"/>
      <c r="O3" s="484">
        <f>SUM(C3:N3)</f>
        <v>471899.99999999971</v>
      </c>
      <c r="P3" s="312">
        <f>C3+D3+E3+F3+G3+H3+I3+J3+K3+L3+M3+N3</f>
        <v>471899.99999999971</v>
      </c>
      <c r="Q3" s="253"/>
    </row>
    <row r="4" spans="1:17" ht="18" customHeight="1" x14ac:dyDescent="0.25">
      <c r="A4" s="655"/>
      <c r="B4" s="482" t="s">
        <v>117</v>
      </c>
      <c r="C4" s="483">
        <f>1161+110</f>
        <v>1271</v>
      </c>
      <c r="D4" s="483">
        <f>1131+110</f>
        <v>1241</v>
      </c>
      <c r="E4" s="483">
        <f>1130+110</f>
        <v>1240</v>
      </c>
      <c r="F4" s="483">
        <f>1130+110</f>
        <v>1240</v>
      </c>
      <c r="G4" s="483">
        <f>10+13+9+9</f>
        <v>41</v>
      </c>
      <c r="H4" s="483">
        <f>1073+110</f>
        <v>1183</v>
      </c>
      <c r="I4" s="483">
        <f>1086+110</f>
        <v>1196</v>
      </c>
      <c r="J4" s="483">
        <f>1093+110</f>
        <v>1203</v>
      </c>
      <c r="K4" s="485">
        <f>1097+110</f>
        <v>1207</v>
      </c>
      <c r="L4" s="485"/>
      <c r="M4" s="485"/>
      <c r="N4" s="485"/>
      <c r="O4" s="484"/>
      <c r="P4" s="253"/>
      <c r="Q4" s="253"/>
    </row>
    <row r="5" spans="1:17" ht="18" customHeight="1" x14ac:dyDescent="0.25">
      <c r="A5" s="655"/>
      <c r="B5" s="482" t="s">
        <v>118</v>
      </c>
      <c r="C5" s="486">
        <f t="shared" ref="C5:N5" si="0">IFERROR(C3/C4/C$43,0)</f>
        <v>1.4821958833532052</v>
      </c>
      <c r="D5" s="486">
        <f t="shared" si="0"/>
        <v>1.7295959479682388</v>
      </c>
      <c r="E5" s="486">
        <f t="shared" si="0"/>
        <v>1.4281997918834453</v>
      </c>
      <c r="F5" s="486">
        <f t="shared" si="0"/>
        <v>1.4516129032258065</v>
      </c>
      <c r="G5" s="486">
        <f t="shared" si="0"/>
        <v>53.422501966955224</v>
      </c>
      <c r="H5" s="486">
        <f t="shared" si="0"/>
        <v>1.1383488306565255</v>
      </c>
      <c r="I5" s="486">
        <f t="shared" si="0"/>
        <v>1.3620671054051139</v>
      </c>
      <c r="J5" s="486">
        <f t="shared" si="0"/>
        <v>1.1637572734829618</v>
      </c>
      <c r="K5" s="486">
        <f t="shared" si="0"/>
        <v>1.1681855840927846</v>
      </c>
      <c r="L5" s="486">
        <f t="shared" si="0"/>
        <v>0</v>
      </c>
      <c r="M5" s="486">
        <f t="shared" si="0"/>
        <v>0</v>
      </c>
      <c r="N5" s="486">
        <f t="shared" si="0"/>
        <v>0</v>
      </c>
      <c r="O5" s="483">
        <f>IFERROR(SUM(C3:N3)/(C4*C$43+D4*D$43+E4*E$43+F4*F$43+G4*G$43+H4*H$43+I4*I$43+J4*J$43+K4*K$43+L4*L$43+M4*M$43+N4*N$43),0)</f>
        <v>1.5881990650525519</v>
      </c>
      <c r="P5" s="312"/>
      <c r="Q5" s="253"/>
    </row>
    <row r="6" spans="1:17" ht="18" customHeight="1" x14ac:dyDescent="0.25">
      <c r="A6" s="656"/>
      <c r="B6" s="487" t="s">
        <v>119</v>
      </c>
      <c r="C6" s="644"/>
      <c r="D6" s="615"/>
      <c r="E6" s="621"/>
      <c r="F6" s="644"/>
      <c r="G6" s="615"/>
      <c r="H6" s="621"/>
      <c r="I6" s="644"/>
      <c r="J6" s="615"/>
      <c r="K6" s="621"/>
      <c r="L6" s="644"/>
      <c r="M6" s="615"/>
      <c r="N6" s="621"/>
      <c r="O6" s="488"/>
      <c r="P6" s="253"/>
      <c r="Q6" s="253"/>
    </row>
    <row r="7" spans="1:17" ht="18" customHeight="1" x14ac:dyDescent="0.25">
      <c r="A7" s="653" t="s">
        <v>91</v>
      </c>
      <c r="B7" s="489" t="s">
        <v>116</v>
      </c>
      <c r="C7" s="490">
        <v>16184</v>
      </c>
      <c r="D7" s="490">
        <v>13357</v>
      </c>
      <c r="E7" s="490">
        <v>14763</v>
      </c>
      <c r="F7" s="490">
        <v>8947</v>
      </c>
      <c r="G7" s="490">
        <v>5991</v>
      </c>
      <c r="H7" s="491">
        <v>12743</v>
      </c>
      <c r="I7" s="491">
        <f>799569-783483</f>
        <v>16086</v>
      </c>
      <c r="J7" s="491">
        <f>814693-799569</f>
        <v>15124</v>
      </c>
      <c r="K7" s="490">
        <f>828129-814693</f>
        <v>13436</v>
      </c>
      <c r="L7" s="490"/>
      <c r="M7" s="492"/>
      <c r="N7" s="491"/>
      <c r="O7" s="493">
        <f>SUM(C7:N7)</f>
        <v>116631</v>
      </c>
      <c r="P7" s="312">
        <f>C7+D7+E7+F7+G7+H7+I7+J7+K7+L7+M7+N7</f>
        <v>116631</v>
      </c>
      <c r="Q7" s="253"/>
    </row>
    <row r="8" spans="1:17" ht="18" customHeight="1" x14ac:dyDescent="0.25">
      <c r="A8" s="651"/>
      <c r="B8" s="494" t="s">
        <v>117</v>
      </c>
      <c r="C8" s="495">
        <v>1010</v>
      </c>
      <c r="D8" s="495">
        <v>1010</v>
      </c>
      <c r="E8" s="495">
        <v>1010</v>
      </c>
      <c r="F8" s="495">
        <v>1008</v>
      </c>
      <c r="G8" s="495">
        <v>20</v>
      </c>
      <c r="H8" s="496">
        <v>1019</v>
      </c>
      <c r="I8" s="496">
        <v>1020</v>
      </c>
      <c r="J8" s="496">
        <v>1020</v>
      </c>
      <c r="K8" s="495">
        <v>1020</v>
      </c>
      <c r="L8" s="495"/>
      <c r="M8" s="497"/>
      <c r="N8" s="496"/>
      <c r="O8" s="498"/>
      <c r="P8" s="253"/>
      <c r="Q8" s="253"/>
    </row>
    <row r="9" spans="1:17" ht="18" customHeight="1" x14ac:dyDescent="0.25">
      <c r="A9" s="651"/>
      <c r="B9" s="499" t="s">
        <v>118</v>
      </c>
      <c r="C9" s="495">
        <f t="shared" ref="C9:N9" si="1">IFERROR(C7/C8/C$43,0)</f>
        <v>0.51689556052379426</v>
      </c>
      <c r="D9" s="495">
        <f t="shared" si="1"/>
        <v>0.47231258840169732</v>
      </c>
      <c r="E9" s="495">
        <f t="shared" si="1"/>
        <v>0.47151069945704244</v>
      </c>
      <c r="F9" s="495">
        <f t="shared" si="1"/>
        <v>0.29586640211640208</v>
      </c>
      <c r="G9" s="495">
        <f t="shared" si="1"/>
        <v>9.6629032258064527</v>
      </c>
      <c r="H9" s="495">
        <f t="shared" si="1"/>
        <v>0.41684658161596333</v>
      </c>
      <c r="I9" s="495">
        <f t="shared" si="1"/>
        <v>0.5087286527514232</v>
      </c>
      <c r="J9" s="495">
        <f t="shared" si="1"/>
        <v>0.47830487033523089</v>
      </c>
      <c r="K9" s="495">
        <f t="shared" si="1"/>
        <v>0.43908496732026142</v>
      </c>
      <c r="L9" s="495">
        <f t="shared" si="1"/>
        <v>0</v>
      </c>
      <c r="M9" s="495">
        <f t="shared" si="1"/>
        <v>0</v>
      </c>
      <c r="N9" s="495">
        <f t="shared" si="1"/>
        <v>0</v>
      </c>
      <c r="O9" s="498">
        <f>IFERROR(SUM(C7:N7)/(C8*C$43+D8*D$43+E8*E$43+F8*F$43+G8*G$43+H8*H$43+I8*I$43+J8*J$43+K8*K$43+L8*L$43+M8*M$43+N8*N$43),0)</f>
        <v>0.47378234553357434</v>
      </c>
      <c r="P9" s="253"/>
      <c r="Q9" s="253"/>
    </row>
    <row r="10" spans="1:17" ht="18" customHeight="1" x14ac:dyDescent="0.25">
      <c r="A10" s="652"/>
      <c r="B10" s="494" t="s">
        <v>119</v>
      </c>
      <c r="C10" s="648"/>
      <c r="D10" s="623"/>
      <c r="E10" s="636"/>
      <c r="F10" s="648"/>
      <c r="G10" s="623"/>
      <c r="H10" s="636"/>
      <c r="I10" s="648"/>
      <c r="J10" s="623"/>
      <c r="K10" s="636"/>
      <c r="L10" s="648"/>
      <c r="M10" s="623"/>
      <c r="N10" s="636"/>
      <c r="O10" s="498"/>
      <c r="P10" s="253"/>
      <c r="Q10" s="253"/>
    </row>
    <row r="11" spans="1:17" ht="18" customHeight="1" x14ac:dyDescent="0.25">
      <c r="A11" s="650" t="s">
        <v>98</v>
      </c>
      <c r="B11" s="494" t="s">
        <v>116</v>
      </c>
      <c r="C11" s="500">
        <v>48300</v>
      </c>
      <c r="D11" s="500">
        <v>41200</v>
      </c>
      <c r="E11" s="500">
        <v>51200</v>
      </c>
      <c r="F11" s="500">
        <v>63600</v>
      </c>
      <c r="G11" s="500">
        <v>33800</v>
      </c>
      <c r="H11" s="497">
        <v>66300</v>
      </c>
      <c r="I11" s="497">
        <v>12000</v>
      </c>
      <c r="J11" s="497">
        <v>27900</v>
      </c>
      <c r="K11" s="500">
        <v>27900</v>
      </c>
      <c r="L11" s="500"/>
      <c r="M11" s="497"/>
      <c r="N11" s="497"/>
      <c r="O11" s="501">
        <f>SUM(C11:N11)</f>
        <v>372200</v>
      </c>
      <c r="P11" s="312">
        <f>C11+D11+E11+F11+G11+H11+I11+J11+K11+L11+M11+N11</f>
        <v>372200</v>
      </c>
      <c r="Q11" s="253"/>
    </row>
    <row r="12" spans="1:17" ht="18" customHeight="1" x14ac:dyDescent="0.25">
      <c r="A12" s="651"/>
      <c r="B12" s="494" t="s">
        <v>117</v>
      </c>
      <c r="C12" s="500">
        <v>505</v>
      </c>
      <c r="D12" s="500">
        <v>505</v>
      </c>
      <c r="E12" s="500">
        <v>505</v>
      </c>
      <c r="F12" s="500">
        <v>505</v>
      </c>
      <c r="G12" s="500">
        <v>25</v>
      </c>
      <c r="H12" s="497">
        <v>530</v>
      </c>
      <c r="I12" s="497">
        <v>530</v>
      </c>
      <c r="J12" s="497">
        <v>530</v>
      </c>
      <c r="K12" s="500">
        <v>530</v>
      </c>
      <c r="L12" s="500"/>
      <c r="M12" s="497"/>
      <c r="N12" s="497"/>
      <c r="O12" s="501"/>
      <c r="P12" s="253"/>
      <c r="Q12" s="253"/>
    </row>
    <row r="13" spans="1:17" ht="18" customHeight="1" x14ac:dyDescent="0.25">
      <c r="A13" s="651"/>
      <c r="B13" s="499" t="s">
        <v>118</v>
      </c>
      <c r="C13" s="497">
        <f t="shared" ref="C13:N13" si="2">IFERROR(C11/C12/C$43,0)</f>
        <v>3.0852762695624403</v>
      </c>
      <c r="D13" s="497">
        <f t="shared" si="2"/>
        <v>2.913719943422914</v>
      </c>
      <c r="E13" s="497">
        <f t="shared" si="2"/>
        <v>3.2705206004471417</v>
      </c>
      <c r="F13" s="497">
        <f t="shared" si="2"/>
        <v>4.1980198019801982</v>
      </c>
      <c r="G13" s="497">
        <f t="shared" si="2"/>
        <v>43.612903225806448</v>
      </c>
      <c r="H13" s="497">
        <f t="shared" si="2"/>
        <v>4.1698113207547172</v>
      </c>
      <c r="I13" s="497">
        <f t="shared" si="2"/>
        <v>0.73037127206329877</v>
      </c>
      <c r="J13" s="497">
        <f t="shared" si="2"/>
        <v>1.6981132075471697</v>
      </c>
      <c r="K13" s="497">
        <f t="shared" si="2"/>
        <v>1.7547169811320755</v>
      </c>
      <c r="L13" s="497">
        <f t="shared" si="2"/>
        <v>0</v>
      </c>
      <c r="M13" s="497">
        <f t="shared" si="2"/>
        <v>0</v>
      </c>
      <c r="N13" s="497">
        <f t="shared" si="2"/>
        <v>0</v>
      </c>
      <c r="O13" s="501">
        <f>IFERROR(SUM(C11:N11)/(C12*C$43+D12*D$43+E12*E$43+F12*F$43+G12*G$43+H12*H$43+I12*I$43+J12*J$43+K12*K$43+L12*L$43+M12*M$43+N12*N$43),0)</f>
        <v>2.9531479350973937</v>
      </c>
      <c r="P13" s="253"/>
      <c r="Q13" s="253"/>
    </row>
    <row r="14" spans="1:17" ht="18" customHeight="1" x14ac:dyDescent="0.25">
      <c r="A14" s="652"/>
      <c r="B14" s="494" t="s">
        <v>119</v>
      </c>
      <c r="C14" s="648"/>
      <c r="D14" s="623"/>
      <c r="E14" s="636"/>
      <c r="F14" s="648"/>
      <c r="G14" s="623"/>
      <c r="H14" s="636"/>
      <c r="I14" s="648"/>
      <c r="J14" s="623"/>
      <c r="K14" s="636"/>
      <c r="L14" s="648"/>
      <c r="M14" s="623"/>
      <c r="N14" s="636"/>
      <c r="O14" s="498"/>
      <c r="P14" s="253"/>
      <c r="Q14" s="253"/>
    </row>
    <row r="15" spans="1:17" ht="18" customHeight="1" x14ac:dyDescent="0.25">
      <c r="A15" s="657" t="s">
        <v>100</v>
      </c>
      <c r="B15" s="502" t="s">
        <v>116</v>
      </c>
      <c r="C15" s="503">
        <v>240000</v>
      </c>
      <c r="D15" s="31">
        <v>220000</v>
      </c>
      <c r="E15" s="504">
        <v>258000</v>
      </c>
      <c r="F15" s="503">
        <v>280000</v>
      </c>
      <c r="G15" s="503">
        <v>265000</v>
      </c>
      <c r="H15" s="505">
        <v>240000</v>
      </c>
      <c r="I15" s="505">
        <v>270000</v>
      </c>
      <c r="J15" s="505">
        <v>255000</v>
      </c>
      <c r="K15" s="503"/>
      <c r="L15" s="503"/>
      <c r="M15" s="31"/>
      <c r="N15" s="504"/>
      <c r="O15" s="506">
        <f>SUM(C15:N15)</f>
        <v>2028000</v>
      </c>
      <c r="P15" s="312">
        <f>C15+D15+E15+F15+G15+H15+I15+J15+K15+L15+M15+N15</f>
        <v>2028000</v>
      </c>
      <c r="Q15" s="253"/>
    </row>
    <row r="16" spans="1:17" ht="18" customHeight="1" x14ac:dyDescent="0.25">
      <c r="A16" s="651"/>
      <c r="B16" s="502" t="s">
        <v>117</v>
      </c>
      <c r="C16" s="503">
        <v>347</v>
      </c>
      <c r="D16" s="503">
        <v>345</v>
      </c>
      <c r="E16" s="503">
        <v>345</v>
      </c>
      <c r="F16" s="503">
        <v>345</v>
      </c>
      <c r="G16" s="503">
        <v>345</v>
      </c>
      <c r="H16" s="505">
        <v>362</v>
      </c>
      <c r="I16" s="505">
        <v>370</v>
      </c>
      <c r="J16" s="505">
        <v>370</v>
      </c>
      <c r="K16" s="503"/>
      <c r="L16" s="503"/>
      <c r="M16" s="503"/>
      <c r="N16" s="503"/>
      <c r="O16" s="506"/>
      <c r="P16" s="253"/>
      <c r="Q16" s="253"/>
    </row>
    <row r="17" spans="1:17" ht="18" customHeight="1" x14ac:dyDescent="0.25">
      <c r="A17" s="651"/>
      <c r="B17" s="502" t="s">
        <v>118</v>
      </c>
      <c r="C17" s="507">
        <f t="shared" ref="C17:N17" si="3">IFERROR(C15/C16/C$43,0)</f>
        <v>22.311053267639675</v>
      </c>
      <c r="D17" s="507">
        <f t="shared" si="3"/>
        <v>22.77432712215321</v>
      </c>
      <c r="E17" s="507">
        <f t="shared" si="3"/>
        <v>24.123422159887799</v>
      </c>
      <c r="F17" s="507">
        <f t="shared" si="3"/>
        <v>27.053140096618357</v>
      </c>
      <c r="G17" s="507">
        <f t="shared" si="3"/>
        <v>24.777933613838243</v>
      </c>
      <c r="H17" s="507">
        <f t="shared" si="3"/>
        <v>22.099447513812155</v>
      </c>
      <c r="I17" s="507">
        <f t="shared" si="3"/>
        <v>23.539668700959023</v>
      </c>
      <c r="J17" s="507">
        <f t="shared" si="3"/>
        <v>22.231909328683521</v>
      </c>
      <c r="K17" s="507">
        <f t="shared" si="3"/>
        <v>0</v>
      </c>
      <c r="L17" s="507">
        <f t="shared" si="3"/>
        <v>0</v>
      </c>
      <c r="M17" s="507">
        <f t="shared" si="3"/>
        <v>0</v>
      </c>
      <c r="N17" s="507">
        <f t="shared" si="3"/>
        <v>0</v>
      </c>
      <c r="O17" s="508">
        <f>IFERROR(SUM(C15:N15)/(C16*C$43+D16*D$43+E16*E$43+F16*F$43+G16*G$43+H16*H$43+I16*I$43+J16*J$43+K16*K$43+L16*L$43+M16*M$43+N16*N$43),0)</f>
        <v>23.593191944809615</v>
      </c>
      <c r="P17" s="253"/>
      <c r="Q17" s="253"/>
    </row>
    <row r="18" spans="1:17" ht="18" customHeight="1" x14ac:dyDescent="0.25">
      <c r="A18" s="652"/>
      <c r="B18" s="502" t="s">
        <v>119</v>
      </c>
      <c r="C18" s="644"/>
      <c r="D18" s="615"/>
      <c r="E18" s="621"/>
      <c r="F18" s="644"/>
      <c r="G18" s="615"/>
      <c r="H18" s="621"/>
      <c r="I18" s="644"/>
      <c r="J18" s="615"/>
      <c r="K18" s="621"/>
      <c r="L18" s="644"/>
      <c r="M18" s="615"/>
      <c r="N18" s="621"/>
      <c r="O18" s="506"/>
      <c r="P18" s="312"/>
      <c r="Q18" s="253"/>
    </row>
    <row r="19" spans="1:17" ht="18" customHeight="1" x14ac:dyDescent="0.25">
      <c r="A19" s="657" t="s">
        <v>93</v>
      </c>
      <c r="B19" s="502" t="s">
        <v>116</v>
      </c>
      <c r="C19" s="507">
        <f>(1771+1573)*1000-2909*1000</f>
        <v>435000</v>
      </c>
      <c r="D19" s="507">
        <f>(2044+1621)*1000-2909*1000-C19</f>
        <v>321000</v>
      </c>
      <c r="E19" s="507">
        <f>(2172+1702)*1000-2909*1000-D19-C19</f>
        <v>209000</v>
      </c>
      <c r="F19" s="507">
        <f>(2230+1735)*1000-2909*1000-E19-D19-C19</f>
        <v>91000</v>
      </c>
      <c r="G19" s="507">
        <f>(2340+1790)*1000-2909*1000-F19-E19-D19-C19</f>
        <v>165000</v>
      </c>
      <c r="H19" s="507">
        <f>(2490+1863)*1000-2909*1000-G19-F19-E19-D19-C19</f>
        <v>223000</v>
      </c>
      <c r="I19" s="507">
        <f>(2595+1943)*1000-2909*1000-H19-G19-F19-E19-C19-D19</f>
        <v>185000</v>
      </c>
      <c r="J19" s="503"/>
      <c r="K19" s="503"/>
      <c r="L19" s="503"/>
      <c r="M19" s="503"/>
      <c r="N19" s="504"/>
      <c r="O19" s="506">
        <f>SUM(C19:N19)</f>
        <v>1629000</v>
      </c>
      <c r="P19" s="312">
        <f>C19+D19+E19+F19+G19+H19+I19+J19+K19+L19+M19+N19</f>
        <v>1629000</v>
      </c>
      <c r="Q19" s="253"/>
    </row>
    <row r="20" spans="1:17" ht="18" customHeight="1" x14ac:dyDescent="0.25">
      <c r="A20" s="651"/>
      <c r="B20" s="502" t="s">
        <v>117</v>
      </c>
      <c r="C20" s="507">
        <f>700+45+16+50</f>
        <v>811</v>
      </c>
      <c r="D20" s="507">
        <f>700+45+16+50</f>
        <v>811</v>
      </c>
      <c r="E20" s="507">
        <f>650+45+16+45</f>
        <v>756</v>
      </c>
      <c r="F20" s="507">
        <f>650+45+16+45</f>
        <v>756</v>
      </c>
      <c r="G20" s="507">
        <f>650+45+16+45</f>
        <v>756</v>
      </c>
      <c r="H20" s="507">
        <f>650+45+16+45</f>
        <v>756</v>
      </c>
      <c r="I20" s="507">
        <f>720+45+16+45</f>
        <v>826</v>
      </c>
      <c r="J20" s="505"/>
      <c r="K20" s="505"/>
      <c r="L20" s="503"/>
      <c r="M20" s="503"/>
      <c r="N20" s="504"/>
      <c r="O20" s="506"/>
      <c r="P20" s="253"/>
      <c r="Q20" s="253"/>
    </row>
    <row r="21" spans="1:17" ht="18" customHeight="1" x14ac:dyDescent="0.25">
      <c r="A21" s="651"/>
      <c r="B21" s="482" t="s">
        <v>118</v>
      </c>
      <c r="C21" s="509">
        <f t="shared" ref="C21:N21" si="4">IFERROR(C19/C20/C$43,0)</f>
        <v>17.302414382880553</v>
      </c>
      <c r="D21" s="509">
        <f t="shared" si="4"/>
        <v>14.135987317245023</v>
      </c>
      <c r="E21" s="509">
        <f t="shared" si="4"/>
        <v>8.9179040791944004</v>
      </c>
      <c r="F21" s="509">
        <f t="shared" si="4"/>
        <v>4.0123456790123457</v>
      </c>
      <c r="G21" s="509">
        <f t="shared" si="4"/>
        <v>7.0404505888376852</v>
      </c>
      <c r="H21" s="509">
        <f t="shared" si="4"/>
        <v>9.8324514991181662</v>
      </c>
      <c r="I21" s="509">
        <f t="shared" si="4"/>
        <v>7.2248691712879793</v>
      </c>
      <c r="J21" s="509">
        <f t="shared" si="4"/>
        <v>0</v>
      </c>
      <c r="K21" s="509">
        <f t="shared" si="4"/>
        <v>0</v>
      </c>
      <c r="L21" s="509">
        <f t="shared" si="4"/>
        <v>0</v>
      </c>
      <c r="M21" s="509">
        <f t="shared" si="4"/>
        <v>0</v>
      </c>
      <c r="N21" s="504">
        <f t="shared" si="4"/>
        <v>0</v>
      </c>
      <c r="O21" s="506">
        <f>IFERROR(SUM(C19:N19)/(C20*C$43+D20*D$43+E20*E$43+F20*F$43+G20*G$43+H20*H$43+I20*I$43+J20*J$43+K20*K$43+L20*L$43+M20*M$43+N20*N$43),0)</f>
        <v>9.8317912690796501</v>
      </c>
      <c r="P21" s="253"/>
      <c r="Q21" s="253"/>
    </row>
    <row r="22" spans="1:17" ht="18" customHeight="1" x14ac:dyDescent="0.25">
      <c r="A22" s="652"/>
      <c r="B22" s="502" t="s">
        <v>119</v>
      </c>
      <c r="C22" s="645"/>
      <c r="D22" s="646"/>
      <c r="E22" s="647"/>
      <c r="F22" s="645"/>
      <c r="G22" s="646"/>
      <c r="H22" s="647"/>
      <c r="I22" s="645"/>
      <c r="J22" s="646"/>
      <c r="K22" s="647"/>
      <c r="L22" s="645"/>
      <c r="M22" s="646"/>
      <c r="N22" s="647"/>
      <c r="O22" s="506"/>
      <c r="P22" s="253"/>
      <c r="Q22" s="253"/>
    </row>
    <row r="23" spans="1:17" ht="18" customHeight="1" x14ac:dyDescent="0.25">
      <c r="A23" s="650" t="s">
        <v>108</v>
      </c>
      <c r="B23" s="494" t="s">
        <v>116</v>
      </c>
      <c r="C23" s="500">
        <v>558700</v>
      </c>
      <c r="D23" s="500">
        <v>569000</v>
      </c>
      <c r="E23" s="500">
        <v>565238</v>
      </c>
      <c r="F23" s="500">
        <v>380900</v>
      </c>
      <c r="G23" s="500">
        <v>256875</v>
      </c>
      <c r="H23" s="500">
        <v>446000</v>
      </c>
      <c r="I23" s="500">
        <v>659000</v>
      </c>
      <c r="J23" s="500">
        <v>669440</v>
      </c>
      <c r="K23" s="500">
        <v>699000</v>
      </c>
      <c r="L23" s="510"/>
      <c r="M23" s="511"/>
      <c r="N23" s="512"/>
      <c r="O23" s="513">
        <f>SUM(C23:N23)</f>
        <v>4804153</v>
      </c>
      <c r="P23" s="312">
        <f>C23+D23+E23+F23+G23+H23+I23+J23+K23+L23+M23+N23</f>
        <v>4804153</v>
      </c>
      <c r="Q23" s="253"/>
    </row>
    <row r="24" spans="1:17" ht="18" customHeight="1" x14ac:dyDescent="0.25">
      <c r="A24" s="651"/>
      <c r="B24" s="494" t="s">
        <v>117</v>
      </c>
      <c r="C24" s="500">
        <v>1445</v>
      </c>
      <c r="D24" s="500">
        <v>1445</v>
      </c>
      <c r="E24" s="500">
        <v>1445</v>
      </c>
      <c r="F24" s="500">
        <v>1445</v>
      </c>
      <c r="G24" s="500">
        <v>1445</v>
      </c>
      <c r="H24" s="500">
        <v>1384</v>
      </c>
      <c r="I24" s="500">
        <v>1400</v>
      </c>
      <c r="J24" s="500">
        <v>1400</v>
      </c>
      <c r="K24" s="500">
        <v>1422</v>
      </c>
      <c r="L24" s="510"/>
      <c r="M24" s="511"/>
      <c r="N24" s="512"/>
      <c r="O24" s="513"/>
      <c r="P24" s="253"/>
      <c r="Q24" s="253"/>
    </row>
    <row r="25" spans="1:17" ht="18" customHeight="1" x14ac:dyDescent="0.25">
      <c r="A25" s="651"/>
      <c r="B25" s="494" t="s">
        <v>118</v>
      </c>
      <c r="C25" s="500">
        <f t="shared" ref="C25:N25" si="5">IFERROR(C23/C24/C$43,0)</f>
        <v>12.472374148900547</v>
      </c>
      <c r="D25" s="500">
        <f t="shared" si="5"/>
        <v>14.063272367770638</v>
      </c>
      <c r="E25" s="500">
        <f t="shared" si="5"/>
        <v>12.618327938385979</v>
      </c>
      <c r="F25" s="500">
        <f t="shared" si="5"/>
        <v>8.7866205305651661</v>
      </c>
      <c r="G25" s="500">
        <f t="shared" si="5"/>
        <v>5.7344569706440449</v>
      </c>
      <c r="H25" s="500">
        <f t="shared" si="5"/>
        <v>10.741811175337187</v>
      </c>
      <c r="I25" s="500">
        <f t="shared" si="5"/>
        <v>15.184331797235023</v>
      </c>
      <c r="J25" s="500">
        <f t="shared" si="5"/>
        <v>15.424884792626729</v>
      </c>
      <c r="K25" s="500">
        <f t="shared" si="5"/>
        <v>16.385372714486639</v>
      </c>
      <c r="L25" s="510">
        <f t="shared" si="5"/>
        <v>0</v>
      </c>
      <c r="M25" s="511">
        <f t="shared" si="5"/>
        <v>0</v>
      </c>
      <c r="N25" s="512">
        <f t="shared" si="5"/>
        <v>0</v>
      </c>
      <c r="O25" s="513">
        <f>IFERROR(SUM(C23:N23)/(C24*C$43+D24*D$43+E24*E$43+F24*F$43+G24*G$43+H24*H$43+I24*I$43+J24*J$43+K24*K$43+L24*L$43+M24*M$43+N24*N$43),0)</f>
        <v>12.344454294340592</v>
      </c>
      <c r="P25" s="253"/>
      <c r="Q25" s="253"/>
    </row>
    <row r="26" spans="1:17" ht="18" customHeight="1" x14ac:dyDescent="0.25">
      <c r="A26" s="652"/>
      <c r="B26" s="494" t="s">
        <v>119</v>
      </c>
      <c r="C26" s="649"/>
      <c r="D26" s="623"/>
      <c r="E26" s="636"/>
      <c r="F26" s="649"/>
      <c r="G26" s="623"/>
      <c r="H26" s="636"/>
      <c r="I26" s="649"/>
      <c r="J26" s="623"/>
      <c r="K26" s="636"/>
      <c r="L26" s="649"/>
      <c r="M26" s="623"/>
      <c r="N26" s="636"/>
      <c r="O26" s="498"/>
      <c r="P26" s="253"/>
      <c r="Q26" s="253"/>
    </row>
    <row r="27" spans="1:17" ht="18" customHeight="1" x14ac:dyDescent="0.25">
      <c r="A27" s="657" t="s">
        <v>110</v>
      </c>
      <c r="B27" s="502" t="s">
        <v>116</v>
      </c>
      <c r="C27" s="507">
        <v>333860</v>
      </c>
      <c r="D27" s="507">
        <v>264500</v>
      </c>
      <c r="E27" s="503">
        <v>432756</v>
      </c>
      <c r="F27" s="503">
        <v>248950</v>
      </c>
      <c r="G27" s="503">
        <v>117348</v>
      </c>
      <c r="H27" s="507">
        <v>288354</v>
      </c>
      <c r="I27" s="505">
        <v>402336</v>
      </c>
      <c r="J27" s="505">
        <v>435889</v>
      </c>
      <c r="K27" s="503">
        <v>456330</v>
      </c>
      <c r="L27" s="503"/>
      <c r="M27" s="31"/>
      <c r="N27" s="504"/>
      <c r="O27" s="506">
        <f>SUM(C27:N27)</f>
        <v>2980323</v>
      </c>
      <c r="P27" s="312">
        <f>C27+D27+E27+F27+G27+H27+I27+J27+K27+L27+M27+N27</f>
        <v>2980323</v>
      </c>
      <c r="Q27" s="253"/>
    </row>
    <row r="28" spans="1:17" ht="18" customHeight="1" x14ac:dyDescent="0.25">
      <c r="A28" s="651"/>
      <c r="B28" s="502" t="s">
        <v>117</v>
      </c>
      <c r="C28" s="507">
        <v>1229</v>
      </c>
      <c r="D28" s="507">
        <v>1229</v>
      </c>
      <c r="E28" s="507">
        <v>1229</v>
      </c>
      <c r="F28" s="503">
        <v>1229</v>
      </c>
      <c r="G28" s="503">
        <v>22</v>
      </c>
      <c r="H28" s="507">
        <v>1151</v>
      </c>
      <c r="I28" s="505">
        <f>1081+73</f>
        <v>1154</v>
      </c>
      <c r="J28" s="505">
        <v>1154</v>
      </c>
      <c r="K28" s="503">
        <f>1082+72</f>
        <v>1154</v>
      </c>
      <c r="L28" s="503"/>
      <c r="M28" s="31"/>
      <c r="N28" s="504"/>
      <c r="O28" s="506"/>
      <c r="P28" s="253"/>
      <c r="Q28" s="253"/>
    </row>
    <row r="29" spans="1:17" ht="18" customHeight="1" x14ac:dyDescent="0.25">
      <c r="A29" s="651"/>
      <c r="B29" s="502" t="s">
        <v>118</v>
      </c>
      <c r="C29" s="507">
        <f t="shared" ref="C29:N29" si="6">IFERROR(C27/C28/C$43,0)</f>
        <v>8.7629596577337985</v>
      </c>
      <c r="D29" s="507">
        <f t="shared" si="6"/>
        <v>7.6862722306172264</v>
      </c>
      <c r="E29" s="507">
        <f t="shared" si="6"/>
        <v>11.35872332607155</v>
      </c>
      <c r="F29" s="507">
        <f t="shared" si="6"/>
        <v>6.7521019799294821</v>
      </c>
      <c r="G29" s="507">
        <f t="shared" si="6"/>
        <v>172.06451612903226</v>
      </c>
      <c r="H29" s="507">
        <f t="shared" si="6"/>
        <v>8.3508253692441361</v>
      </c>
      <c r="I29" s="507">
        <f t="shared" si="6"/>
        <v>11.246603678649299</v>
      </c>
      <c r="J29" s="507">
        <f t="shared" si="6"/>
        <v>12.184519483423717</v>
      </c>
      <c r="K29" s="507">
        <f t="shared" si="6"/>
        <v>13.181109185441942</v>
      </c>
      <c r="L29" s="507">
        <f t="shared" si="6"/>
        <v>0</v>
      </c>
      <c r="M29" s="507">
        <f t="shared" si="6"/>
        <v>0</v>
      </c>
      <c r="N29" s="507">
        <f t="shared" si="6"/>
        <v>0</v>
      </c>
      <c r="O29" s="506">
        <f>IFERROR(SUM(C27:N27)/(C28*C$43+D28*D$43+E28*E$43+F28*F$43+G28*G$43+H28*H$43+I28*I$43+J28*J$43+K28*K$43+L28*L$43+M28*M$43+N28*N$43),0)</f>
        <v>10.317534445752267</v>
      </c>
      <c r="P29" s="253"/>
      <c r="Q29" s="253"/>
    </row>
    <row r="30" spans="1:17" ht="18" customHeight="1" x14ac:dyDescent="0.25">
      <c r="A30" s="652"/>
      <c r="B30" s="502" t="s">
        <v>119</v>
      </c>
      <c r="C30" s="644"/>
      <c r="D30" s="615"/>
      <c r="E30" s="621"/>
      <c r="F30" s="644"/>
      <c r="G30" s="615"/>
      <c r="H30" s="621"/>
      <c r="I30" s="644"/>
      <c r="J30" s="615"/>
      <c r="K30" s="621"/>
      <c r="L30" s="644"/>
      <c r="M30" s="615"/>
      <c r="N30" s="621"/>
      <c r="O30" s="506"/>
      <c r="P30" s="253"/>
      <c r="Q30" s="253"/>
    </row>
    <row r="31" spans="1:17" ht="18" customHeight="1" x14ac:dyDescent="0.25">
      <c r="A31" s="650" t="s">
        <v>120</v>
      </c>
      <c r="B31" s="494" t="s">
        <v>116</v>
      </c>
      <c r="C31" s="495">
        <f>31000+47000</f>
        <v>78000</v>
      </c>
      <c r="D31" s="495">
        <f>48000+33000</f>
        <v>81000</v>
      </c>
      <c r="E31" s="495">
        <v>71940</v>
      </c>
      <c r="F31" s="495">
        <v>65370</v>
      </c>
      <c r="G31" s="495">
        <v>52650</v>
      </c>
      <c r="H31" s="495">
        <f>46400+1361</f>
        <v>47761</v>
      </c>
      <c r="I31" s="496">
        <f>86900+55310</f>
        <v>142210</v>
      </c>
      <c r="J31" s="496">
        <f>51720+34200</f>
        <v>85920</v>
      </c>
      <c r="K31" s="495">
        <f>49360+28750</f>
        <v>78110</v>
      </c>
      <c r="L31" s="495"/>
      <c r="M31" s="497"/>
      <c r="N31" s="496"/>
      <c r="O31" s="498">
        <f>SUM(C31:N31)</f>
        <v>702961</v>
      </c>
      <c r="P31" s="312">
        <f>C31+D31+E31+F31+G31+H31+I31+J31+K31+L31+M31+N31</f>
        <v>702961</v>
      </c>
      <c r="Q31" s="253"/>
    </row>
    <row r="32" spans="1:17" ht="18" customHeight="1" x14ac:dyDescent="0.25">
      <c r="A32" s="651"/>
      <c r="B32" s="494" t="s">
        <v>117</v>
      </c>
      <c r="C32" s="495">
        <v>300</v>
      </c>
      <c r="D32" s="495">
        <v>300</v>
      </c>
      <c r="E32" s="495">
        <v>300</v>
      </c>
      <c r="F32" s="495">
        <v>300</v>
      </c>
      <c r="G32" s="495">
        <v>10</v>
      </c>
      <c r="H32" s="496">
        <f>265+23</f>
        <v>288</v>
      </c>
      <c r="I32" s="496">
        <v>288</v>
      </c>
      <c r="J32" s="496">
        <v>288</v>
      </c>
      <c r="K32" s="496">
        <v>288</v>
      </c>
      <c r="L32" s="495"/>
      <c r="M32" s="495"/>
      <c r="N32" s="495"/>
      <c r="O32" s="498"/>
      <c r="P32" s="253"/>
      <c r="Q32" s="253"/>
    </row>
    <row r="33" spans="1:23" ht="18" customHeight="1" x14ac:dyDescent="0.25">
      <c r="A33" s="651"/>
      <c r="B33" s="494" t="s">
        <v>118</v>
      </c>
      <c r="C33" s="496">
        <f t="shared" ref="C33:N33" si="7">IFERROR(C31/C32/C$43,0)</f>
        <v>8.387096774193548</v>
      </c>
      <c r="D33" s="496">
        <f t="shared" si="7"/>
        <v>9.6428571428571423</v>
      </c>
      <c r="E33" s="496">
        <f t="shared" si="7"/>
        <v>7.7354838709677427</v>
      </c>
      <c r="F33" s="496">
        <f t="shared" si="7"/>
        <v>7.2633333333333336</v>
      </c>
      <c r="G33" s="496">
        <f t="shared" si="7"/>
        <v>169.83870967741936</v>
      </c>
      <c r="H33" s="496">
        <f t="shared" si="7"/>
        <v>5.5278935185185185</v>
      </c>
      <c r="I33" s="496">
        <f t="shared" si="7"/>
        <v>15.928539426523297</v>
      </c>
      <c r="J33" s="496">
        <f t="shared" si="7"/>
        <v>9.6236559139784941</v>
      </c>
      <c r="K33" s="496">
        <f t="shared" si="7"/>
        <v>9.0405092592592595</v>
      </c>
      <c r="L33" s="495">
        <f t="shared" si="7"/>
        <v>0</v>
      </c>
      <c r="M33" s="495">
        <f t="shared" si="7"/>
        <v>0</v>
      </c>
      <c r="N33" s="495">
        <f t="shared" si="7"/>
        <v>0</v>
      </c>
      <c r="O33" s="498">
        <f>IFERROR(SUM(C31:N31)/(C32*C$43+D32*D$43+E32*E$43+F32*F$43+G32*G$43+H32*H$43+I32*I$43+J32*J$43+K32*K$43+L32*L$43+M32*M$43+N32*N$43),0)</f>
        <v>9.839053271001875</v>
      </c>
      <c r="P33" s="253"/>
      <c r="Q33" s="253"/>
    </row>
    <row r="34" spans="1:23" ht="18" customHeight="1" x14ac:dyDescent="0.25">
      <c r="A34" s="652"/>
      <c r="B34" s="494" t="s">
        <v>119</v>
      </c>
      <c r="C34" s="648"/>
      <c r="D34" s="623"/>
      <c r="E34" s="636"/>
      <c r="F34" s="648"/>
      <c r="G34" s="623"/>
      <c r="H34" s="636"/>
      <c r="I34" s="648"/>
      <c r="J34" s="623"/>
      <c r="K34" s="636"/>
      <c r="L34" s="648"/>
      <c r="M34" s="623"/>
      <c r="N34" s="636"/>
      <c r="O34" s="498"/>
      <c r="P34" s="253"/>
      <c r="Q34" s="253"/>
    </row>
    <row r="35" spans="1:23" ht="18" customHeight="1" x14ac:dyDescent="0.25">
      <c r="A35" s="657" t="s">
        <v>121</v>
      </c>
      <c r="B35" s="502" t="s">
        <v>116</v>
      </c>
      <c r="C35" s="507">
        <v>225000</v>
      </c>
      <c r="D35" s="507">
        <v>174000</v>
      </c>
      <c r="E35" s="503">
        <v>130000</v>
      </c>
      <c r="F35" s="503">
        <f>160000+5000</f>
        <v>165000</v>
      </c>
      <c r="G35" s="503">
        <f>28000+38400</f>
        <v>66400</v>
      </c>
      <c r="H35" s="505">
        <f>49500+46100+11800</f>
        <v>107400</v>
      </c>
      <c r="I35" s="505">
        <f>61400+81800+25600</f>
        <v>168800</v>
      </c>
      <c r="J35" s="505">
        <f>41400+70700+57600</f>
        <v>169700</v>
      </c>
      <c r="K35" s="503">
        <v>141300</v>
      </c>
      <c r="L35" s="503"/>
      <c r="M35" s="31"/>
      <c r="N35" s="504"/>
      <c r="O35" s="506">
        <f>SUM(C35:N35)</f>
        <v>1347600</v>
      </c>
      <c r="P35" s="312">
        <f>C35+D35+E35+F35+G35+H35+I35+J35+K35+L35+M35+N35</f>
        <v>1347600</v>
      </c>
      <c r="Q35" s="253"/>
    </row>
    <row r="36" spans="1:23" ht="18" customHeight="1" x14ac:dyDescent="0.25">
      <c r="A36" s="651"/>
      <c r="B36" s="502" t="s">
        <v>117</v>
      </c>
      <c r="C36" s="507">
        <v>560</v>
      </c>
      <c r="D36" s="507">
        <v>560</v>
      </c>
      <c r="E36" s="507">
        <v>560</v>
      </c>
      <c r="F36" s="503">
        <v>560</v>
      </c>
      <c r="G36" s="503">
        <v>20</v>
      </c>
      <c r="H36" s="505">
        <v>600</v>
      </c>
      <c r="I36" s="505">
        <v>600</v>
      </c>
      <c r="J36" s="505">
        <v>600</v>
      </c>
      <c r="K36" s="505">
        <v>600</v>
      </c>
      <c r="L36" s="503"/>
      <c r="M36" s="31"/>
      <c r="N36" s="504"/>
      <c r="O36" s="506"/>
      <c r="P36" s="253"/>
      <c r="Q36" s="253"/>
    </row>
    <row r="37" spans="1:23" ht="18" customHeight="1" x14ac:dyDescent="0.25">
      <c r="A37" s="651"/>
      <c r="B37" s="502" t="s">
        <v>118</v>
      </c>
      <c r="C37" s="507">
        <f t="shared" ref="C37:N37" si="8">IFERROR(C35/C36/C$43,0)</f>
        <v>12.960829493087557</v>
      </c>
      <c r="D37" s="507">
        <f t="shared" si="8"/>
        <v>11.096938775510205</v>
      </c>
      <c r="E37" s="507">
        <f t="shared" si="8"/>
        <v>7.4884792626728105</v>
      </c>
      <c r="F37" s="507">
        <f t="shared" si="8"/>
        <v>9.821428571428573</v>
      </c>
      <c r="G37" s="507">
        <f t="shared" si="8"/>
        <v>107.09677419354838</v>
      </c>
      <c r="H37" s="507">
        <f t="shared" si="8"/>
        <v>5.9666666666666668</v>
      </c>
      <c r="I37" s="507">
        <f t="shared" si="8"/>
        <v>9.0752688172043001</v>
      </c>
      <c r="J37" s="507">
        <f t="shared" si="8"/>
        <v>9.1236559139784941</v>
      </c>
      <c r="K37" s="507">
        <f t="shared" si="8"/>
        <v>7.85</v>
      </c>
      <c r="L37" s="507">
        <f t="shared" si="8"/>
        <v>0</v>
      </c>
      <c r="M37" s="507">
        <f t="shared" si="8"/>
        <v>0</v>
      </c>
      <c r="N37" s="507">
        <f t="shared" si="8"/>
        <v>0</v>
      </c>
      <c r="O37" s="506">
        <f>IFERROR(SUM(C35:N35)/(C36*C$43+D36*D$43+E36*E$43+F36*F$43+G36*G$43+H36*H$43+I36*I$43+J36*J$43+K36*K$43+L36*L$43+M36*M$43+N36*N$43),0)</f>
        <v>9.5560913345624741</v>
      </c>
      <c r="P37" s="253"/>
      <c r="Q37" s="253">
        <f>1268.4-1257</f>
        <v>11.400000000000091</v>
      </c>
    </row>
    <row r="38" spans="1:23" ht="18" customHeight="1" x14ac:dyDescent="0.25">
      <c r="A38" s="652"/>
      <c r="B38" s="502" t="s">
        <v>119</v>
      </c>
      <c r="C38" s="644"/>
      <c r="D38" s="615"/>
      <c r="E38" s="621"/>
      <c r="F38" s="644"/>
      <c r="G38" s="615"/>
      <c r="H38" s="621"/>
      <c r="I38" s="644"/>
      <c r="J38" s="615"/>
      <c r="K38" s="621"/>
      <c r="L38" s="644"/>
      <c r="M38" s="615"/>
      <c r="N38" s="621"/>
      <c r="O38" s="506"/>
      <c r="P38" s="253"/>
      <c r="Q38" s="253"/>
    </row>
    <row r="39" spans="1:23" ht="18" customHeight="1" x14ac:dyDescent="0.25">
      <c r="A39" s="650" t="s">
        <v>112</v>
      </c>
      <c r="B39" s="494" t="s">
        <v>116</v>
      </c>
      <c r="C39" s="495">
        <v>1351000</v>
      </c>
      <c r="D39" s="495">
        <v>1351000</v>
      </c>
      <c r="E39" s="495">
        <v>880000</v>
      </c>
      <c r="F39" s="495">
        <v>779000</v>
      </c>
      <c r="G39" s="495">
        <v>1051000</v>
      </c>
      <c r="H39" s="495">
        <f>1721*1000</f>
        <v>1721000</v>
      </c>
      <c r="I39" s="496">
        <v>1929000</v>
      </c>
      <c r="J39" s="495">
        <v>1634000</v>
      </c>
      <c r="K39" s="495">
        <v>1588000</v>
      </c>
      <c r="L39" s="495"/>
      <c r="M39" s="495"/>
      <c r="N39" s="496"/>
      <c r="O39" s="498">
        <f>SUM(C39:N39)</f>
        <v>12284000</v>
      </c>
      <c r="P39" s="312">
        <f>C39+D39+E39+F39+G39+H39+I39+J39+K39+L39+M39+N39</f>
        <v>12284000</v>
      </c>
      <c r="Q39" s="253"/>
    </row>
    <row r="40" spans="1:23" ht="18" customHeight="1" x14ac:dyDescent="0.25">
      <c r="A40" s="651"/>
      <c r="B40" s="494" t="s">
        <v>117</v>
      </c>
      <c r="C40" s="495">
        <v>140</v>
      </c>
      <c r="D40" s="495">
        <v>140</v>
      </c>
      <c r="E40" s="495">
        <v>140</v>
      </c>
      <c r="F40" s="495">
        <v>140</v>
      </c>
      <c r="G40" s="495">
        <v>90</v>
      </c>
      <c r="H40" s="496">
        <f>113+20+20</f>
        <v>153</v>
      </c>
      <c r="I40" s="496">
        <f>113+20+20</f>
        <v>153</v>
      </c>
      <c r="J40" s="496">
        <f>113+20+20</f>
        <v>153</v>
      </c>
      <c r="K40" s="496">
        <f>113+20+20</f>
        <v>153</v>
      </c>
      <c r="L40" s="495"/>
      <c r="M40" s="495"/>
      <c r="N40" s="496"/>
      <c r="O40" s="498"/>
      <c r="P40" s="253"/>
      <c r="Q40" s="253"/>
    </row>
    <row r="41" spans="1:23" ht="18" customHeight="1" x14ac:dyDescent="0.25">
      <c r="A41" s="651"/>
      <c r="B41" s="494" t="s">
        <v>118</v>
      </c>
      <c r="C41" s="495">
        <f t="shared" ref="C41:N41" si="9">IFERROR(C39/C40/C$43,0)</f>
        <v>311.29032258064518</v>
      </c>
      <c r="D41" s="495">
        <f t="shared" si="9"/>
        <v>344.64285714285717</v>
      </c>
      <c r="E41" s="495">
        <f t="shared" si="9"/>
        <v>202.76497695852532</v>
      </c>
      <c r="F41" s="495">
        <f t="shared" si="9"/>
        <v>185.47619047619048</v>
      </c>
      <c r="G41" s="495">
        <f t="shared" si="9"/>
        <v>376.70250896057348</v>
      </c>
      <c r="H41" s="495">
        <f t="shared" si="9"/>
        <v>374.94553376906322</v>
      </c>
      <c r="I41" s="495">
        <f t="shared" si="9"/>
        <v>406.70461733080327</v>
      </c>
      <c r="J41" s="495">
        <f t="shared" si="9"/>
        <v>344.50769555133883</v>
      </c>
      <c r="K41" s="495">
        <f t="shared" si="9"/>
        <v>345.96949891067538</v>
      </c>
      <c r="L41" s="495">
        <f t="shared" si="9"/>
        <v>0</v>
      </c>
      <c r="M41" s="495">
        <f t="shared" si="9"/>
        <v>0</v>
      </c>
      <c r="N41" s="496">
        <f t="shared" si="9"/>
        <v>0</v>
      </c>
      <c r="O41" s="498">
        <f>IFERROR(SUM(C39:N39)/(C40*C$43+D40*D$43+E40*E$43+F40*F$43+G40*G$43+H40*H$43+I40*I$43+J40*J$43+K40*K$43+L40*L$43+M40*M$43+N40*N$43),0)</f>
        <v>321.09995817649519</v>
      </c>
      <c r="P41" s="253"/>
      <c r="Q41" s="253"/>
    </row>
    <row r="42" spans="1:23" ht="18" customHeight="1" x14ac:dyDescent="0.25">
      <c r="A42" s="652"/>
      <c r="B42" s="494" t="s">
        <v>119</v>
      </c>
      <c r="C42" s="643"/>
      <c r="D42" s="623"/>
      <c r="E42" s="636"/>
      <c r="F42" s="643"/>
      <c r="G42" s="623"/>
      <c r="H42" s="636"/>
      <c r="I42" s="643"/>
      <c r="J42" s="623"/>
      <c r="K42" s="636"/>
      <c r="L42" s="643"/>
      <c r="M42" s="623"/>
      <c r="N42" s="636"/>
      <c r="O42" s="275"/>
      <c r="P42" s="253"/>
      <c r="Q42" s="253"/>
    </row>
    <row r="43" spans="1:23" x14ac:dyDescent="0.25">
      <c r="A43" s="514" t="s">
        <v>122</v>
      </c>
      <c r="B43" s="514" t="s">
        <v>123</v>
      </c>
      <c r="C43" s="514">
        <v>31</v>
      </c>
      <c r="D43" s="514">
        <v>28</v>
      </c>
      <c r="E43" s="514">
        <v>31</v>
      </c>
      <c r="F43" s="514">
        <v>30</v>
      </c>
      <c r="G43" s="514">
        <v>31</v>
      </c>
      <c r="H43" s="514">
        <v>30</v>
      </c>
      <c r="I43" s="514">
        <v>31</v>
      </c>
      <c r="J43" s="514">
        <v>31</v>
      </c>
      <c r="K43" s="514">
        <v>30</v>
      </c>
      <c r="L43" s="514">
        <v>31</v>
      </c>
      <c r="M43" s="514">
        <v>30</v>
      </c>
      <c r="N43" s="514">
        <v>31</v>
      </c>
      <c r="O43" s="253"/>
      <c r="P43" s="253"/>
      <c r="Q43" s="253"/>
      <c r="W43" s="164"/>
    </row>
  </sheetData>
  <mergeCells count="51">
    <mergeCell ref="A1:O1"/>
    <mergeCell ref="A39:A42"/>
    <mergeCell ref="I26:K26"/>
    <mergeCell ref="A15:A18"/>
    <mergeCell ref="C26:E26"/>
    <mergeCell ref="F30:H30"/>
    <mergeCell ref="A35:A38"/>
    <mergeCell ref="C10:E10"/>
    <mergeCell ref="C42:E42"/>
    <mergeCell ref="F10:H10"/>
    <mergeCell ref="C14:E14"/>
    <mergeCell ref="F6:H6"/>
    <mergeCell ref="A31:A34"/>
    <mergeCell ref="C38:E38"/>
    <mergeCell ref="I38:K38"/>
    <mergeCell ref="A27:A30"/>
    <mergeCell ref="I10:K10"/>
    <mergeCell ref="A23:A26"/>
    <mergeCell ref="F14:H14"/>
    <mergeCell ref="C18:E18"/>
    <mergeCell ref="I34:K34"/>
    <mergeCell ref="C30:E30"/>
    <mergeCell ref="I30:K30"/>
    <mergeCell ref="C34:E34"/>
    <mergeCell ref="A19:A22"/>
    <mergeCell ref="F34:H34"/>
    <mergeCell ref="L10:N10"/>
    <mergeCell ref="A7:A10"/>
    <mergeCell ref="I14:K14"/>
    <mergeCell ref="L22:N22"/>
    <mergeCell ref="A3:A6"/>
    <mergeCell ref="L6:N6"/>
    <mergeCell ref="C6:E6"/>
    <mergeCell ref="I6:K6"/>
    <mergeCell ref="L14:N14"/>
    <mergeCell ref="C22:E22"/>
    <mergeCell ref="L30:N30"/>
    <mergeCell ref="F26:H26"/>
    <mergeCell ref="A11:A14"/>
    <mergeCell ref="I18:K18"/>
    <mergeCell ref="L26:N26"/>
    <mergeCell ref="F22:H22"/>
    <mergeCell ref="F42:H42"/>
    <mergeCell ref="L42:N42"/>
    <mergeCell ref="F18:H18"/>
    <mergeCell ref="L18:N18"/>
    <mergeCell ref="I22:K22"/>
    <mergeCell ref="F38:H38"/>
    <mergeCell ref="L38:N38"/>
    <mergeCell ref="I42:K42"/>
    <mergeCell ref="L34:N3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91"/>
  <sheetViews>
    <sheetView workbookViewId="0"/>
  </sheetViews>
  <sheetFormatPr defaultRowHeight="18" x14ac:dyDescent="0.4"/>
  <cols>
    <col min="1" max="1" width="10.85546875" style="14" customWidth="1"/>
    <col min="2" max="2" width="18" style="27" customWidth="1"/>
    <col min="3" max="3" width="9.85546875" style="14" customWidth="1"/>
    <col min="4" max="4" width="11.85546875" style="14" customWidth="1"/>
    <col min="5" max="5" width="9.85546875" style="14" customWidth="1"/>
    <col min="6" max="6" width="12.5703125" style="14" customWidth="1"/>
    <col min="7" max="7" width="9.85546875" style="16" customWidth="1"/>
    <col min="8" max="8" width="11.5703125" style="48" customWidth="1"/>
    <col min="9" max="9" width="9.85546875" style="14" customWidth="1"/>
    <col min="10" max="10" width="11.7109375" style="14" customWidth="1"/>
    <col min="11" max="11" width="9.85546875" style="26" customWidth="1"/>
    <col min="12" max="12" width="16.42578125" style="26" customWidth="1"/>
    <col min="13" max="13" width="9.85546875" style="14" customWidth="1"/>
    <col min="14" max="14" width="12.5703125" style="47" customWidth="1"/>
    <col min="15" max="15" width="9.85546875" style="14" customWidth="1"/>
    <col min="16" max="16" width="12" style="14" customWidth="1"/>
    <col min="17" max="17" width="9.85546875" style="15" customWidth="1"/>
    <col min="18" max="18" width="11.7109375" style="14" customWidth="1"/>
    <col min="19" max="19" width="9.85546875" style="16" customWidth="1"/>
    <col min="20" max="20" width="12.5703125" style="14" customWidth="1"/>
    <col min="21" max="21" width="9.140625" style="14" customWidth="1"/>
    <col min="22" max="16384" width="9.140625" style="14"/>
  </cols>
  <sheetData>
    <row r="1" spans="1:20" ht="39.75" customHeight="1" x14ac:dyDescent="0.4">
      <c r="A1" s="673" t="s">
        <v>124</v>
      </c>
      <c r="B1" s="674"/>
      <c r="C1" s="674"/>
      <c r="D1" s="674"/>
      <c r="E1" s="674"/>
      <c r="F1" s="674"/>
      <c r="G1" s="674"/>
      <c r="H1" s="674"/>
      <c r="I1" s="674"/>
      <c r="J1" s="674"/>
      <c r="K1" s="674"/>
      <c r="L1" s="674"/>
      <c r="M1" s="674"/>
      <c r="N1" s="674"/>
      <c r="O1" s="674"/>
      <c r="P1" s="674"/>
      <c r="Q1" s="674"/>
      <c r="R1" s="674"/>
      <c r="S1" s="674"/>
      <c r="T1" s="674"/>
    </row>
    <row r="2" spans="1:20" ht="23.25" customHeight="1" x14ac:dyDescent="0.4">
      <c r="A2" s="669" t="s">
        <v>3</v>
      </c>
      <c r="B2" s="669" t="s">
        <v>125</v>
      </c>
      <c r="C2" s="678" t="s">
        <v>85</v>
      </c>
      <c r="D2" s="662"/>
      <c r="E2" s="661" t="s">
        <v>126</v>
      </c>
      <c r="F2" s="662"/>
      <c r="G2" s="661" t="s">
        <v>127</v>
      </c>
      <c r="H2" s="662"/>
      <c r="I2" s="661" t="s">
        <v>112</v>
      </c>
      <c r="J2" s="662"/>
      <c r="K2" s="661" t="s">
        <v>128</v>
      </c>
      <c r="L2" s="662"/>
      <c r="M2" s="661" t="s">
        <v>129</v>
      </c>
      <c r="N2" s="662"/>
      <c r="O2" s="661" t="s">
        <v>93</v>
      </c>
      <c r="P2" s="662"/>
      <c r="Q2" s="661" t="s">
        <v>98</v>
      </c>
      <c r="R2" s="662"/>
      <c r="S2" s="661" t="s">
        <v>100</v>
      </c>
      <c r="T2" s="662"/>
    </row>
    <row r="3" spans="1:20" ht="39" customHeight="1" x14ac:dyDescent="0.4">
      <c r="A3" s="656"/>
      <c r="B3" s="656"/>
      <c r="C3" s="62" t="s">
        <v>130</v>
      </c>
      <c r="D3" s="61" t="s">
        <v>131</v>
      </c>
      <c r="E3" s="61" t="s">
        <v>130</v>
      </c>
      <c r="F3" s="61" t="s">
        <v>131</v>
      </c>
      <c r="G3" s="61" t="s">
        <v>130</v>
      </c>
      <c r="H3" s="61" t="s">
        <v>131</v>
      </c>
      <c r="I3" s="61" t="s">
        <v>130</v>
      </c>
      <c r="J3" s="61" t="s">
        <v>131</v>
      </c>
      <c r="K3" s="61" t="s">
        <v>130</v>
      </c>
      <c r="L3" s="61" t="s">
        <v>131</v>
      </c>
      <c r="M3" s="61" t="s">
        <v>130</v>
      </c>
      <c r="N3" s="63" t="s">
        <v>131</v>
      </c>
      <c r="O3" s="61" t="s">
        <v>130</v>
      </c>
      <c r="P3" s="62" t="s">
        <v>131</v>
      </c>
      <c r="Q3" s="61" t="s">
        <v>130</v>
      </c>
      <c r="R3" s="61" t="s">
        <v>131</v>
      </c>
      <c r="S3" s="61" t="s">
        <v>130</v>
      </c>
      <c r="T3" s="61" t="s">
        <v>131</v>
      </c>
    </row>
    <row r="4" spans="1:20" ht="18" customHeight="1" x14ac:dyDescent="0.4">
      <c r="A4" s="665" t="s">
        <v>132</v>
      </c>
      <c r="B4" s="81" t="s">
        <v>133</v>
      </c>
      <c r="C4" s="99">
        <v>3</v>
      </c>
      <c r="D4" s="100">
        <v>11270</v>
      </c>
      <c r="E4" s="99"/>
      <c r="F4" s="100"/>
      <c r="G4" s="99">
        <v>0</v>
      </c>
      <c r="H4" s="102">
        <v>0</v>
      </c>
      <c r="I4" s="99">
        <v>2</v>
      </c>
      <c r="J4" s="100"/>
      <c r="K4" s="99"/>
      <c r="L4" s="100"/>
      <c r="M4" s="99"/>
      <c r="N4" s="102"/>
      <c r="O4" s="103">
        <v>1</v>
      </c>
      <c r="P4" s="100">
        <v>8200</v>
      </c>
      <c r="Q4" s="104">
        <v>0</v>
      </c>
      <c r="R4" s="100">
        <v>0</v>
      </c>
      <c r="S4" s="103"/>
      <c r="T4" s="105"/>
    </row>
    <row r="5" spans="1:20" ht="18" customHeight="1" x14ac:dyDescent="0.4">
      <c r="A5" s="666"/>
      <c r="B5" s="76" t="s">
        <v>134</v>
      </c>
      <c r="C5" s="20"/>
      <c r="D5" s="41"/>
      <c r="E5" s="19"/>
      <c r="F5" s="40"/>
      <c r="G5" s="20">
        <v>2</v>
      </c>
      <c r="H5" s="44">
        <f>2550+900</f>
        <v>3450</v>
      </c>
      <c r="I5" s="20">
        <v>3</v>
      </c>
      <c r="J5" s="40"/>
      <c r="K5" s="19"/>
      <c r="L5" s="40"/>
      <c r="M5" s="19"/>
      <c r="N5" s="44"/>
      <c r="O5" s="17"/>
      <c r="P5" s="40"/>
      <c r="Q5" s="22">
        <v>0</v>
      </c>
      <c r="R5" s="41">
        <v>0</v>
      </c>
      <c r="S5" s="17"/>
      <c r="T5" s="118"/>
    </row>
    <row r="6" spans="1:20" ht="18" customHeight="1" x14ac:dyDescent="0.4">
      <c r="A6" s="666"/>
      <c r="B6" s="76" t="s">
        <v>135</v>
      </c>
      <c r="C6" s="20"/>
      <c r="D6" s="41"/>
      <c r="E6" s="20">
        <v>1</v>
      </c>
      <c r="F6" s="41">
        <v>7500</v>
      </c>
      <c r="G6" s="20">
        <v>0</v>
      </c>
      <c r="H6" s="44">
        <v>0</v>
      </c>
      <c r="I6" s="20">
        <v>11</v>
      </c>
      <c r="J6" s="41"/>
      <c r="K6" s="20">
        <v>2</v>
      </c>
      <c r="L6" s="41">
        <f>1575+3405</f>
        <v>4980</v>
      </c>
      <c r="M6" s="20">
        <v>1</v>
      </c>
      <c r="N6" s="44">
        <v>1100</v>
      </c>
      <c r="O6" s="17">
        <v>1</v>
      </c>
      <c r="P6" s="41">
        <v>7320</v>
      </c>
      <c r="Q6" s="22">
        <v>0</v>
      </c>
      <c r="R6" s="41">
        <v>0</v>
      </c>
      <c r="S6" s="17"/>
      <c r="T6" s="106"/>
    </row>
    <row r="7" spans="1:20" ht="18" customHeight="1" x14ac:dyDescent="0.4">
      <c r="A7" s="666"/>
      <c r="B7" s="76" t="s">
        <v>136</v>
      </c>
      <c r="C7" s="20">
        <v>1</v>
      </c>
      <c r="D7" s="41">
        <v>180</v>
      </c>
      <c r="E7" s="20">
        <v>2</v>
      </c>
      <c r="F7" s="41">
        <f>1100+8430</f>
        <v>9530</v>
      </c>
      <c r="G7" s="20">
        <v>4</v>
      </c>
      <c r="H7" s="44">
        <f>2000+2950</f>
        <v>4950</v>
      </c>
      <c r="I7" s="20">
        <v>3</v>
      </c>
      <c r="J7" s="41"/>
      <c r="K7" s="20">
        <v>2</v>
      </c>
      <c r="L7" s="41">
        <f>650+6060</f>
        <v>6710</v>
      </c>
      <c r="M7" s="20">
        <v>3</v>
      </c>
      <c r="N7" s="44">
        <v>2400</v>
      </c>
      <c r="O7" s="17">
        <v>4</v>
      </c>
      <c r="P7" s="41">
        <v>8710</v>
      </c>
      <c r="Q7" s="22">
        <v>0</v>
      </c>
      <c r="R7" s="41">
        <v>0</v>
      </c>
      <c r="S7" s="17"/>
      <c r="T7" s="106"/>
    </row>
    <row r="8" spans="1:20" ht="24.75" customHeight="1" x14ac:dyDescent="0.4">
      <c r="A8" s="666"/>
      <c r="B8" s="76" t="s">
        <v>137</v>
      </c>
      <c r="C8" s="20">
        <v>1</v>
      </c>
      <c r="D8" s="42">
        <v>4200</v>
      </c>
      <c r="E8" s="20"/>
      <c r="F8" s="41"/>
      <c r="G8" s="20">
        <v>2</v>
      </c>
      <c r="H8" s="45">
        <f>1416+2313</f>
        <v>3729</v>
      </c>
      <c r="I8" s="20">
        <v>6</v>
      </c>
      <c r="J8" s="42">
        <v>0</v>
      </c>
      <c r="K8" s="20"/>
      <c r="L8" s="42"/>
      <c r="M8" s="23">
        <v>2</v>
      </c>
      <c r="N8" s="45">
        <v>1000</v>
      </c>
      <c r="O8" s="17">
        <v>4</v>
      </c>
      <c r="P8" s="42">
        <v>6822</v>
      </c>
      <c r="Q8" s="22">
        <v>0</v>
      </c>
      <c r="R8" s="42">
        <v>0</v>
      </c>
      <c r="S8" s="17"/>
      <c r="T8" s="128"/>
    </row>
    <row r="9" spans="1:20" ht="18" customHeight="1" x14ac:dyDescent="0.4">
      <c r="A9" s="666"/>
      <c r="B9" s="76" t="s">
        <v>138</v>
      </c>
      <c r="C9" s="108">
        <v>2</v>
      </c>
      <c r="D9" s="109">
        <v>5416</v>
      </c>
      <c r="E9" s="108"/>
      <c r="F9" s="109"/>
      <c r="G9" s="108">
        <v>0</v>
      </c>
      <c r="H9" s="111">
        <v>0</v>
      </c>
      <c r="I9" s="108">
        <v>4</v>
      </c>
      <c r="J9" s="109"/>
      <c r="K9" s="108"/>
      <c r="L9" s="109"/>
      <c r="M9" s="112">
        <v>1</v>
      </c>
      <c r="N9" s="111">
        <v>3980</v>
      </c>
      <c r="O9" s="112">
        <v>3</v>
      </c>
      <c r="P9" s="109">
        <v>5762</v>
      </c>
      <c r="Q9" s="113">
        <v>1</v>
      </c>
      <c r="R9" s="109">
        <v>1700</v>
      </c>
      <c r="S9" s="112">
        <v>4</v>
      </c>
      <c r="T9" s="114">
        <v>4556</v>
      </c>
    </row>
    <row r="10" spans="1:20" x14ac:dyDescent="0.4">
      <c r="A10" s="667"/>
      <c r="B10" s="91" t="s">
        <v>139</v>
      </c>
      <c r="C10" s="186">
        <v>2</v>
      </c>
      <c r="D10" s="187">
        <v>3820</v>
      </c>
      <c r="E10" s="186"/>
      <c r="F10" s="187"/>
      <c r="G10" s="186">
        <v>2</v>
      </c>
      <c r="H10" s="188">
        <f>5000+1800+2000</f>
        <v>8800</v>
      </c>
      <c r="I10" s="186">
        <v>0</v>
      </c>
      <c r="J10" s="187"/>
      <c r="K10" s="186"/>
      <c r="L10" s="187"/>
      <c r="M10" s="189"/>
      <c r="N10" s="188"/>
      <c r="O10" s="189">
        <v>3</v>
      </c>
      <c r="P10" s="187">
        <f>1700+2006+4900</f>
        <v>8606</v>
      </c>
      <c r="Q10" s="190">
        <v>1</v>
      </c>
      <c r="R10" s="187">
        <v>650</v>
      </c>
      <c r="S10" s="189">
        <v>3</v>
      </c>
      <c r="T10" s="191">
        <v>4706</v>
      </c>
    </row>
    <row r="11" spans="1:20" x14ac:dyDescent="0.4">
      <c r="A11" s="679" t="s">
        <v>140</v>
      </c>
      <c r="B11" s="81" t="s">
        <v>133</v>
      </c>
      <c r="C11" s="82">
        <v>1</v>
      </c>
      <c r="D11" s="83">
        <v>950</v>
      </c>
      <c r="E11" s="82"/>
      <c r="F11" s="83"/>
      <c r="G11" s="82">
        <v>0</v>
      </c>
      <c r="H11" s="85"/>
      <c r="I11" s="82">
        <v>0</v>
      </c>
      <c r="J11" s="83"/>
      <c r="K11" s="82"/>
      <c r="L11" s="83"/>
      <c r="M11" s="82"/>
      <c r="N11" s="85"/>
      <c r="O11" s="86">
        <v>0</v>
      </c>
      <c r="P11" s="83">
        <v>0</v>
      </c>
      <c r="Q11" s="87">
        <v>0</v>
      </c>
      <c r="R11" s="83">
        <v>0</v>
      </c>
      <c r="S11" s="86"/>
      <c r="T11" s="88"/>
    </row>
    <row r="12" spans="1:20" x14ac:dyDescent="0.4">
      <c r="A12" s="666"/>
      <c r="B12" s="76" t="s">
        <v>134</v>
      </c>
      <c r="C12" s="64"/>
      <c r="D12" s="65"/>
      <c r="E12" s="66">
        <v>1</v>
      </c>
      <c r="F12" s="65">
        <v>7000</v>
      </c>
      <c r="G12" s="66">
        <v>0</v>
      </c>
      <c r="H12" s="67"/>
      <c r="I12" s="66">
        <v>3</v>
      </c>
      <c r="J12" s="65"/>
      <c r="K12" s="66"/>
      <c r="L12" s="65"/>
      <c r="M12" s="66"/>
      <c r="N12" s="67"/>
      <c r="O12" s="68"/>
      <c r="P12" s="65"/>
      <c r="Q12" s="69">
        <v>0</v>
      </c>
      <c r="R12" s="65">
        <v>0</v>
      </c>
      <c r="S12" s="68"/>
      <c r="T12" s="89"/>
    </row>
    <row r="13" spans="1:20" x14ac:dyDescent="0.4">
      <c r="A13" s="666"/>
      <c r="B13" s="76" t="s">
        <v>135</v>
      </c>
      <c r="C13" s="64"/>
      <c r="D13" s="65"/>
      <c r="E13" s="66">
        <v>3</v>
      </c>
      <c r="F13" s="65">
        <f>2035+1600+900</f>
        <v>4535</v>
      </c>
      <c r="G13" s="66">
        <v>16</v>
      </c>
      <c r="H13" s="67">
        <f>3000+5130+4430</f>
        <v>12560</v>
      </c>
      <c r="I13" s="66">
        <v>4</v>
      </c>
      <c r="J13" s="65"/>
      <c r="K13" s="66">
        <v>2</v>
      </c>
      <c r="L13" s="65">
        <f>2200+1600</f>
        <v>3800</v>
      </c>
      <c r="M13" s="66">
        <v>4</v>
      </c>
      <c r="N13" s="67">
        <v>12310</v>
      </c>
      <c r="O13" s="68">
        <v>5</v>
      </c>
      <c r="P13" s="65">
        <v>2350</v>
      </c>
      <c r="Q13" s="69">
        <v>0</v>
      </c>
      <c r="R13" s="65">
        <v>0</v>
      </c>
      <c r="S13" s="68"/>
      <c r="T13" s="89"/>
    </row>
    <row r="14" spans="1:20" x14ac:dyDescent="0.4">
      <c r="A14" s="666"/>
      <c r="B14" s="76" t="s">
        <v>136</v>
      </c>
      <c r="C14" s="66">
        <v>5</v>
      </c>
      <c r="D14" s="65">
        <v>5970</v>
      </c>
      <c r="E14" s="66"/>
      <c r="F14" s="65"/>
      <c r="G14" s="66">
        <v>4</v>
      </c>
      <c r="H14" s="67">
        <f>600+1250+1454+3540</f>
        <v>6844</v>
      </c>
      <c r="I14" s="66">
        <v>0</v>
      </c>
      <c r="J14" s="65"/>
      <c r="K14" s="66"/>
      <c r="L14" s="65"/>
      <c r="M14" s="66">
        <v>3</v>
      </c>
      <c r="N14" s="67">
        <v>10390</v>
      </c>
      <c r="O14" s="68">
        <v>2</v>
      </c>
      <c r="P14" s="65">
        <v>8950</v>
      </c>
      <c r="Q14" s="69">
        <v>2</v>
      </c>
      <c r="R14" s="65">
        <v>8448</v>
      </c>
      <c r="S14" s="68"/>
      <c r="T14" s="89"/>
    </row>
    <row r="15" spans="1:20" x14ac:dyDescent="0.4">
      <c r="A15" s="666"/>
      <c r="B15" s="76" t="s">
        <v>137</v>
      </c>
      <c r="C15" s="66">
        <v>2</v>
      </c>
      <c r="D15" s="65">
        <v>8400</v>
      </c>
      <c r="E15" s="66">
        <v>1</v>
      </c>
      <c r="F15" s="65">
        <v>7500</v>
      </c>
      <c r="G15" s="66">
        <v>16</v>
      </c>
      <c r="H15" s="67">
        <f>1840+1500+200+2400+4200+4930+2000+1809+4847</f>
        <v>23726</v>
      </c>
      <c r="I15" s="66">
        <v>0</v>
      </c>
      <c r="J15" s="65"/>
      <c r="K15" s="66"/>
      <c r="L15" s="65"/>
      <c r="M15" s="66"/>
      <c r="N15" s="67"/>
      <c r="O15" s="68">
        <v>3</v>
      </c>
      <c r="P15" s="65">
        <v>780</v>
      </c>
      <c r="Q15" s="69">
        <v>0</v>
      </c>
      <c r="R15" s="65">
        <v>0</v>
      </c>
      <c r="S15" s="68"/>
      <c r="T15" s="89"/>
    </row>
    <row r="16" spans="1:20" x14ac:dyDescent="0.4">
      <c r="A16" s="666"/>
      <c r="B16" s="76" t="s">
        <v>138</v>
      </c>
      <c r="C16" s="66"/>
      <c r="D16" s="65"/>
      <c r="E16" s="66">
        <v>1</v>
      </c>
      <c r="F16" s="65">
        <v>2950</v>
      </c>
      <c r="G16" s="66">
        <v>0</v>
      </c>
      <c r="H16" s="67">
        <v>0</v>
      </c>
      <c r="I16" s="66">
        <v>0</v>
      </c>
      <c r="J16" s="65"/>
      <c r="K16" s="66"/>
      <c r="L16" s="65"/>
      <c r="M16" s="66"/>
      <c r="N16" s="67"/>
      <c r="O16" s="68"/>
      <c r="P16" s="65"/>
      <c r="Q16" s="69">
        <v>4</v>
      </c>
      <c r="R16" s="65">
        <v>6280</v>
      </c>
      <c r="S16" s="68">
        <v>7</v>
      </c>
      <c r="T16" s="89">
        <v>9564</v>
      </c>
    </row>
    <row r="17" spans="1:20" x14ac:dyDescent="0.4">
      <c r="A17" s="672"/>
      <c r="B17" s="91" t="s">
        <v>139</v>
      </c>
      <c r="C17" s="92">
        <v>4</v>
      </c>
      <c r="D17" s="93">
        <v>1096</v>
      </c>
      <c r="E17" s="92">
        <v>2</v>
      </c>
      <c r="F17" s="93">
        <f>1357+1770</f>
        <v>3127</v>
      </c>
      <c r="G17" s="92">
        <v>6</v>
      </c>
      <c r="H17" s="94">
        <v>2049</v>
      </c>
      <c r="I17" s="92">
        <v>0</v>
      </c>
      <c r="J17" s="93"/>
      <c r="K17" s="92"/>
      <c r="L17" s="93"/>
      <c r="M17" s="92">
        <v>2</v>
      </c>
      <c r="N17" s="94">
        <v>6150</v>
      </c>
      <c r="O17" s="95">
        <f>2+1</f>
        <v>3</v>
      </c>
      <c r="P17" s="93">
        <f>2440+564</f>
        <v>3004</v>
      </c>
      <c r="Q17" s="96">
        <v>0</v>
      </c>
      <c r="R17" s="93">
        <v>0</v>
      </c>
      <c r="S17" s="95">
        <v>5</v>
      </c>
      <c r="T17" s="97">
        <v>18143</v>
      </c>
    </row>
    <row r="18" spans="1:20" ht="23.25" customHeight="1" x14ac:dyDescent="0.4">
      <c r="A18" s="671" t="s">
        <v>141</v>
      </c>
      <c r="B18" s="195" t="s">
        <v>133</v>
      </c>
      <c r="C18" s="99">
        <v>4</v>
      </c>
      <c r="D18" s="100">
        <v>12580</v>
      </c>
      <c r="E18" s="99">
        <v>1</v>
      </c>
      <c r="F18" s="100">
        <v>8700</v>
      </c>
      <c r="G18" s="99">
        <v>0</v>
      </c>
      <c r="H18" s="102">
        <v>0</v>
      </c>
      <c r="I18" s="99">
        <v>0</v>
      </c>
      <c r="J18" s="100"/>
      <c r="K18" s="99"/>
      <c r="L18" s="100"/>
      <c r="M18" s="99"/>
      <c r="N18" s="102"/>
      <c r="O18" s="126">
        <v>0</v>
      </c>
      <c r="P18" s="100">
        <v>0</v>
      </c>
      <c r="Q18" s="104">
        <v>0</v>
      </c>
      <c r="R18" s="100">
        <v>0</v>
      </c>
      <c r="S18" s="103"/>
      <c r="T18" s="105"/>
    </row>
    <row r="19" spans="1:20" ht="29.25" customHeight="1" x14ac:dyDescent="0.4">
      <c r="A19" s="666"/>
      <c r="B19" s="196" t="s">
        <v>134</v>
      </c>
      <c r="C19" s="20">
        <v>1</v>
      </c>
      <c r="D19" s="41">
        <v>6880</v>
      </c>
      <c r="E19" s="20"/>
      <c r="F19" s="41"/>
      <c r="G19" s="20">
        <v>0</v>
      </c>
      <c r="H19" s="44">
        <v>0</v>
      </c>
      <c r="I19" s="20">
        <v>2</v>
      </c>
      <c r="J19" s="41"/>
      <c r="K19" s="20"/>
      <c r="L19" s="41"/>
      <c r="M19" s="99"/>
      <c r="N19" s="44"/>
      <c r="O19" s="21">
        <v>0</v>
      </c>
      <c r="P19" s="41">
        <v>0</v>
      </c>
      <c r="Q19" s="22">
        <v>0</v>
      </c>
      <c r="R19" s="41">
        <v>0</v>
      </c>
      <c r="S19" s="17"/>
      <c r="T19" s="106"/>
    </row>
    <row r="20" spans="1:20" x14ac:dyDescent="0.4">
      <c r="A20" s="666"/>
      <c r="B20" s="196" t="s">
        <v>135</v>
      </c>
      <c r="C20" s="20">
        <v>53</v>
      </c>
      <c r="D20" s="41">
        <v>26732</v>
      </c>
      <c r="E20" s="20"/>
      <c r="F20" s="41"/>
      <c r="G20" s="20">
        <v>5</v>
      </c>
      <c r="H20" s="44">
        <f>3754+1375</f>
        <v>5129</v>
      </c>
      <c r="I20" s="20">
        <v>12</v>
      </c>
      <c r="J20" s="41"/>
      <c r="K20" s="20">
        <v>1</v>
      </c>
      <c r="L20" s="41">
        <v>1850</v>
      </c>
      <c r="M20" s="20">
        <v>3</v>
      </c>
      <c r="N20" s="44">
        <v>6850</v>
      </c>
      <c r="O20" s="21">
        <v>8</v>
      </c>
      <c r="P20" s="41">
        <v>5759</v>
      </c>
      <c r="Q20" s="22">
        <v>2</v>
      </c>
      <c r="R20" s="41">
        <v>1000</v>
      </c>
      <c r="S20" s="17"/>
      <c r="T20" s="106"/>
    </row>
    <row r="21" spans="1:20" x14ac:dyDescent="0.4">
      <c r="A21" s="666"/>
      <c r="B21" s="196" t="s">
        <v>136</v>
      </c>
      <c r="C21" s="20"/>
      <c r="D21" s="41"/>
      <c r="E21" s="20">
        <v>1</v>
      </c>
      <c r="F21" s="41">
        <v>4500</v>
      </c>
      <c r="G21" s="20">
        <v>3</v>
      </c>
      <c r="H21" s="44">
        <v>1320</v>
      </c>
      <c r="I21" s="20">
        <v>9</v>
      </c>
      <c r="J21" s="41"/>
      <c r="K21" s="20">
        <v>1</v>
      </c>
      <c r="L21" s="41">
        <v>2100</v>
      </c>
      <c r="M21" s="20">
        <v>2</v>
      </c>
      <c r="N21" s="44">
        <v>2950</v>
      </c>
      <c r="O21" s="21">
        <v>1</v>
      </c>
      <c r="P21" s="41">
        <v>2100</v>
      </c>
      <c r="Q21" s="22">
        <v>0</v>
      </c>
      <c r="R21" s="41">
        <v>0</v>
      </c>
      <c r="S21" s="17"/>
      <c r="T21" s="106"/>
    </row>
    <row r="22" spans="1:20" x14ac:dyDescent="0.4">
      <c r="A22" s="666"/>
      <c r="B22" s="196" t="s">
        <v>137</v>
      </c>
      <c r="C22" s="23">
        <v>5</v>
      </c>
      <c r="D22" s="42">
        <v>13750</v>
      </c>
      <c r="E22" s="23"/>
      <c r="F22" s="42"/>
      <c r="G22" s="23">
        <v>2</v>
      </c>
      <c r="H22" s="45">
        <f>5900+375</f>
        <v>6275</v>
      </c>
      <c r="I22" s="23">
        <v>4</v>
      </c>
      <c r="J22" s="42"/>
      <c r="K22" s="23"/>
      <c r="L22" s="42"/>
      <c r="M22" s="23">
        <v>1</v>
      </c>
      <c r="N22" s="45">
        <v>2700</v>
      </c>
      <c r="O22" s="192">
        <v>0</v>
      </c>
      <c r="P22" s="42">
        <v>0</v>
      </c>
      <c r="Q22" s="193">
        <v>1</v>
      </c>
      <c r="R22" s="42">
        <v>800</v>
      </c>
      <c r="S22" s="194"/>
      <c r="T22" s="128"/>
    </row>
    <row r="23" spans="1:20" x14ac:dyDescent="0.4">
      <c r="A23" s="666"/>
      <c r="B23" s="197" t="s">
        <v>138</v>
      </c>
      <c r="C23" s="20"/>
      <c r="D23" s="41"/>
      <c r="E23" s="20"/>
      <c r="F23" s="41"/>
      <c r="G23" s="20">
        <v>0</v>
      </c>
      <c r="H23" s="44">
        <v>0</v>
      </c>
      <c r="I23" s="20">
        <v>12</v>
      </c>
      <c r="J23" s="41"/>
      <c r="K23" s="20"/>
      <c r="L23" s="204"/>
      <c r="M23" s="20"/>
      <c r="N23" s="44"/>
      <c r="O23" s="17"/>
      <c r="P23" s="41"/>
      <c r="Q23" s="22">
        <v>3</v>
      </c>
      <c r="R23" s="41">
        <v>4700</v>
      </c>
      <c r="S23" s="17">
        <v>6</v>
      </c>
      <c r="T23" s="128">
        <v>7581</v>
      </c>
    </row>
    <row r="24" spans="1:20" x14ac:dyDescent="0.4">
      <c r="A24" s="672"/>
      <c r="B24" s="220" t="s">
        <v>139</v>
      </c>
      <c r="C24" s="220">
        <v>2</v>
      </c>
      <c r="D24" s="220">
        <v>1870</v>
      </c>
      <c r="E24" s="220">
        <v>1</v>
      </c>
      <c r="F24" s="220">
        <v>5841</v>
      </c>
      <c r="G24" s="220">
        <v>2</v>
      </c>
      <c r="H24" s="220">
        <f>4500+13000</f>
        <v>17500</v>
      </c>
      <c r="I24" s="220">
        <v>1</v>
      </c>
      <c r="J24" s="220"/>
      <c r="K24" s="220"/>
      <c r="L24" s="220"/>
      <c r="M24" s="220">
        <v>1</v>
      </c>
      <c r="N24" s="220">
        <v>3600</v>
      </c>
      <c r="O24" s="207">
        <v>2</v>
      </c>
      <c r="P24" s="127">
        <v>2950</v>
      </c>
      <c r="Q24" s="208">
        <v>0</v>
      </c>
      <c r="R24" s="127">
        <v>0</v>
      </c>
      <c r="S24" s="209">
        <v>2</v>
      </c>
      <c r="T24" s="128">
        <v>3424</v>
      </c>
    </row>
    <row r="25" spans="1:20" ht="18" customHeight="1" x14ac:dyDescent="0.4">
      <c r="A25" s="663" t="s">
        <v>142</v>
      </c>
      <c r="B25" s="195" t="s">
        <v>133</v>
      </c>
      <c r="C25" s="199">
        <v>5</v>
      </c>
      <c r="D25" s="200">
        <v>12469</v>
      </c>
      <c r="E25" s="199"/>
      <c r="F25" s="200"/>
      <c r="G25" s="199">
        <v>0</v>
      </c>
      <c r="H25" s="201"/>
      <c r="I25" s="202">
        <v>2</v>
      </c>
      <c r="J25" s="200"/>
      <c r="K25" s="199"/>
      <c r="L25" s="200"/>
      <c r="M25" s="199"/>
      <c r="N25" s="201"/>
      <c r="O25" s="86">
        <v>0</v>
      </c>
      <c r="P25" s="120">
        <v>0</v>
      </c>
      <c r="Q25" s="86">
        <v>0</v>
      </c>
      <c r="R25" s="120">
        <v>0</v>
      </c>
      <c r="S25" s="86"/>
      <c r="T25" s="121"/>
    </row>
    <row r="26" spans="1:20" ht="18" customHeight="1" x14ac:dyDescent="0.4">
      <c r="A26" s="664"/>
      <c r="B26" s="196" t="s">
        <v>134</v>
      </c>
      <c r="C26" s="66">
        <v>3</v>
      </c>
      <c r="D26" s="65">
        <v>2800</v>
      </c>
      <c r="E26" s="66"/>
      <c r="F26" s="65"/>
      <c r="G26" s="66">
        <v>0</v>
      </c>
      <c r="H26" s="67"/>
      <c r="I26" s="74">
        <v>12</v>
      </c>
      <c r="J26" s="65"/>
      <c r="K26" s="66"/>
      <c r="L26" s="65"/>
      <c r="M26" s="66"/>
      <c r="N26" s="67"/>
      <c r="O26" s="75"/>
      <c r="P26" s="65"/>
      <c r="Q26" s="75">
        <v>0</v>
      </c>
      <c r="R26" s="65">
        <v>0</v>
      </c>
      <c r="S26" s="68"/>
      <c r="T26" s="89"/>
    </row>
    <row r="27" spans="1:20" ht="18" customHeight="1" x14ac:dyDescent="0.4">
      <c r="A27" s="664"/>
      <c r="B27" s="196" t="s">
        <v>135</v>
      </c>
      <c r="C27" s="66">
        <v>2</v>
      </c>
      <c r="D27" s="65">
        <v>3755</v>
      </c>
      <c r="E27" s="66"/>
      <c r="F27" s="65"/>
      <c r="G27" s="66">
        <v>3</v>
      </c>
      <c r="H27" s="67">
        <f>5000+2500</f>
        <v>7500</v>
      </c>
      <c r="I27" s="74">
        <v>6</v>
      </c>
      <c r="J27" s="65"/>
      <c r="K27" s="66">
        <v>1</v>
      </c>
      <c r="L27" s="65">
        <f>1850</f>
        <v>1850</v>
      </c>
      <c r="M27" s="66">
        <v>2</v>
      </c>
      <c r="N27" s="67">
        <v>4800</v>
      </c>
      <c r="O27" s="75">
        <v>3</v>
      </c>
      <c r="P27" s="65">
        <v>1671</v>
      </c>
      <c r="Q27" s="75">
        <v>2</v>
      </c>
      <c r="R27" s="65">
        <v>1800</v>
      </c>
      <c r="S27" s="68"/>
      <c r="T27" s="89"/>
    </row>
    <row r="28" spans="1:20" ht="18" customHeight="1" x14ac:dyDescent="0.4">
      <c r="A28" s="664"/>
      <c r="B28" s="196" t="s">
        <v>136</v>
      </c>
      <c r="C28" s="66">
        <v>2</v>
      </c>
      <c r="D28" s="65">
        <v>3448</v>
      </c>
      <c r="E28" s="66">
        <v>4</v>
      </c>
      <c r="F28" s="65">
        <f>1500+20000+5782+2800</f>
        <v>30082</v>
      </c>
      <c r="G28" s="66">
        <v>0</v>
      </c>
      <c r="H28" s="67"/>
      <c r="I28" s="74">
        <v>13</v>
      </c>
      <c r="J28" s="65"/>
      <c r="K28" s="66">
        <v>1</v>
      </c>
      <c r="L28" s="65">
        <v>2500</v>
      </c>
      <c r="M28" s="66">
        <v>1</v>
      </c>
      <c r="N28" s="67">
        <v>4000</v>
      </c>
      <c r="O28" s="75">
        <v>2</v>
      </c>
      <c r="P28" s="65">
        <v>719</v>
      </c>
      <c r="Q28" s="75">
        <v>0</v>
      </c>
      <c r="R28" s="65">
        <v>0</v>
      </c>
      <c r="S28" s="68"/>
      <c r="T28" s="89"/>
    </row>
    <row r="29" spans="1:20" ht="18" customHeight="1" x14ac:dyDescent="0.4">
      <c r="A29" s="664"/>
      <c r="B29" s="196" t="s">
        <v>137</v>
      </c>
      <c r="C29" s="66">
        <v>6</v>
      </c>
      <c r="D29" s="65">
        <v>11256</v>
      </c>
      <c r="E29" s="66">
        <v>1</v>
      </c>
      <c r="F29" s="65">
        <v>13500</v>
      </c>
      <c r="G29" s="66">
        <v>0</v>
      </c>
      <c r="H29" s="67"/>
      <c r="I29" s="74">
        <v>11</v>
      </c>
      <c r="J29" s="65"/>
      <c r="K29" s="66"/>
      <c r="L29" s="65"/>
      <c r="M29" s="66">
        <v>1</v>
      </c>
      <c r="N29" s="67">
        <v>1750</v>
      </c>
      <c r="O29" s="75">
        <v>2</v>
      </c>
      <c r="P29" s="65">
        <v>1933</v>
      </c>
      <c r="Q29" s="75">
        <v>0</v>
      </c>
      <c r="R29" s="65">
        <v>0</v>
      </c>
      <c r="S29" s="68"/>
      <c r="T29" s="89"/>
    </row>
    <row r="30" spans="1:20" ht="18" customHeight="1" x14ac:dyDescent="0.4">
      <c r="A30" s="664"/>
      <c r="B30" s="197" t="s">
        <v>138</v>
      </c>
      <c r="C30" s="215">
        <v>3</v>
      </c>
      <c r="D30" s="216">
        <v>2783</v>
      </c>
      <c r="E30" s="215">
        <v>1</v>
      </c>
      <c r="F30" s="216">
        <v>12415</v>
      </c>
      <c r="G30" s="215">
        <v>0</v>
      </c>
      <c r="H30" s="217"/>
      <c r="I30" s="218">
        <v>36</v>
      </c>
      <c r="J30" s="216"/>
      <c r="K30" s="215"/>
      <c r="L30" s="216"/>
      <c r="M30" s="215">
        <v>2</v>
      </c>
      <c r="N30" s="217">
        <v>4250</v>
      </c>
      <c r="O30" s="68"/>
      <c r="P30" s="216"/>
      <c r="Q30" s="75">
        <v>5</v>
      </c>
      <c r="R30" s="65">
        <v>8500</v>
      </c>
      <c r="S30" s="68">
        <v>4</v>
      </c>
      <c r="T30" s="89">
        <v>4381</v>
      </c>
    </row>
    <row r="31" spans="1:20" ht="18" customHeight="1" x14ac:dyDescent="0.4">
      <c r="A31" s="664"/>
      <c r="B31" s="198" t="s">
        <v>139</v>
      </c>
      <c r="C31" s="116">
        <v>0</v>
      </c>
      <c r="D31" s="122">
        <v>0</v>
      </c>
      <c r="E31" s="116"/>
      <c r="F31" s="122"/>
      <c r="G31" s="116">
        <v>4</v>
      </c>
      <c r="H31" s="123">
        <f>8025+2000+4366</f>
        <v>14391</v>
      </c>
      <c r="I31" s="124">
        <v>0</v>
      </c>
      <c r="J31" s="122"/>
      <c r="K31" s="116"/>
      <c r="L31" s="122"/>
      <c r="M31" s="116"/>
      <c r="N31" s="123"/>
      <c r="O31" s="219">
        <f>8</f>
        <v>8</v>
      </c>
      <c r="P31" s="122">
        <f>12740</f>
        <v>12740</v>
      </c>
      <c r="Q31" s="95">
        <v>0</v>
      </c>
      <c r="R31" s="122">
        <v>0</v>
      </c>
      <c r="S31" s="95">
        <v>2</v>
      </c>
      <c r="T31" s="125">
        <v>6200</v>
      </c>
    </row>
    <row r="32" spans="1:20" ht="18" customHeight="1" x14ac:dyDescent="0.4">
      <c r="A32" s="675" t="s">
        <v>143</v>
      </c>
      <c r="B32" s="195" t="s">
        <v>133</v>
      </c>
      <c r="C32" s="205"/>
      <c r="D32" s="211"/>
      <c r="E32" s="205"/>
      <c r="F32" s="211"/>
      <c r="G32" s="205"/>
      <c r="H32" s="206"/>
      <c r="I32" s="24">
        <v>3</v>
      </c>
      <c r="J32" s="211"/>
      <c r="K32" s="205"/>
      <c r="L32" s="211"/>
      <c r="M32" s="186"/>
      <c r="N32" s="206"/>
      <c r="O32" s="212">
        <v>2</v>
      </c>
      <c r="P32" s="211">
        <v>10905</v>
      </c>
      <c r="Q32" s="212">
        <v>0</v>
      </c>
      <c r="R32" s="211">
        <v>0</v>
      </c>
      <c r="S32" s="212"/>
      <c r="T32" s="213"/>
    </row>
    <row r="33" spans="1:23" ht="18" customHeight="1" x14ac:dyDescent="0.4">
      <c r="A33" s="664"/>
      <c r="B33" s="196" t="s">
        <v>134</v>
      </c>
      <c r="C33" s="20">
        <v>1</v>
      </c>
      <c r="D33" s="41">
        <v>4500</v>
      </c>
      <c r="E33" s="20"/>
      <c r="F33" s="40"/>
      <c r="G33" s="20"/>
      <c r="H33" s="44"/>
      <c r="I33" s="24">
        <v>9</v>
      </c>
      <c r="J33" s="40"/>
      <c r="K33" s="20"/>
      <c r="L33" s="41"/>
      <c r="M33" s="19"/>
      <c r="N33" s="44"/>
      <c r="O33" s="17">
        <v>0</v>
      </c>
      <c r="P33" s="40">
        <v>0</v>
      </c>
      <c r="Q33" s="17">
        <v>0</v>
      </c>
      <c r="R33" s="41">
        <v>0</v>
      </c>
      <c r="S33" s="17"/>
      <c r="T33" s="106"/>
    </row>
    <row r="34" spans="1:23" ht="18" customHeight="1" x14ac:dyDescent="0.4">
      <c r="A34" s="664"/>
      <c r="B34" s="196" t="s">
        <v>135</v>
      </c>
      <c r="C34" s="20">
        <v>1</v>
      </c>
      <c r="D34" s="41">
        <v>1164</v>
      </c>
      <c r="E34" s="20">
        <v>1</v>
      </c>
      <c r="F34" s="41">
        <v>2800</v>
      </c>
      <c r="G34" s="20"/>
      <c r="H34" s="44"/>
      <c r="I34" s="24">
        <v>12</v>
      </c>
      <c r="J34" s="41"/>
      <c r="K34" s="20">
        <v>2</v>
      </c>
      <c r="L34" s="41">
        <f>6147+5955</f>
        <v>12102</v>
      </c>
      <c r="M34" s="20">
        <v>1</v>
      </c>
      <c r="N34" s="44">
        <v>7100</v>
      </c>
      <c r="O34" s="17">
        <v>4</v>
      </c>
      <c r="P34" s="41">
        <v>7465</v>
      </c>
      <c r="Q34" s="17">
        <v>0</v>
      </c>
      <c r="R34" s="41">
        <v>0</v>
      </c>
      <c r="S34" s="17"/>
      <c r="T34" s="106"/>
    </row>
    <row r="35" spans="1:23" ht="26.25" customHeight="1" x14ac:dyDescent="0.4">
      <c r="A35" s="664"/>
      <c r="B35" s="196" t="s">
        <v>136</v>
      </c>
      <c r="C35" s="20"/>
      <c r="D35" s="41"/>
      <c r="E35" s="20"/>
      <c r="F35" s="41"/>
      <c r="G35" s="20"/>
      <c r="H35" s="44"/>
      <c r="I35" s="24">
        <v>16</v>
      </c>
      <c r="J35" s="41"/>
      <c r="K35" s="20">
        <v>3</v>
      </c>
      <c r="L35" s="41">
        <f>4730+4830+1236</f>
        <v>10796</v>
      </c>
      <c r="M35" s="20"/>
      <c r="N35" s="44"/>
      <c r="O35" s="17">
        <v>0</v>
      </c>
      <c r="P35" s="41">
        <v>0</v>
      </c>
      <c r="Q35" s="17">
        <v>0</v>
      </c>
      <c r="R35" s="41">
        <v>0</v>
      </c>
      <c r="S35" s="17"/>
      <c r="T35" s="106"/>
    </row>
    <row r="36" spans="1:23" ht="18" customHeight="1" x14ac:dyDescent="0.4">
      <c r="A36" s="664"/>
      <c r="B36" s="196" t="s">
        <v>137</v>
      </c>
      <c r="C36" s="20">
        <v>2</v>
      </c>
      <c r="D36" s="41">
        <v>5100</v>
      </c>
      <c r="E36" s="20"/>
      <c r="F36" s="41"/>
      <c r="G36" s="20">
        <v>1</v>
      </c>
      <c r="H36" s="44">
        <v>32800</v>
      </c>
      <c r="I36" s="24">
        <v>0</v>
      </c>
      <c r="J36" s="41"/>
      <c r="K36" s="20">
        <f>2</f>
        <v>2</v>
      </c>
      <c r="L36" s="41">
        <f>9861+12390</f>
        <v>22251</v>
      </c>
      <c r="M36" s="20"/>
      <c r="N36" s="44"/>
      <c r="O36" s="17">
        <v>4</v>
      </c>
      <c r="P36" s="41">
        <v>6793</v>
      </c>
      <c r="Q36" s="17">
        <v>0</v>
      </c>
      <c r="R36" s="41">
        <v>0</v>
      </c>
      <c r="S36" s="17"/>
      <c r="T36" s="106"/>
    </row>
    <row r="37" spans="1:23" ht="18" customHeight="1" x14ac:dyDescent="0.4">
      <c r="A37" s="664"/>
      <c r="B37" s="197" t="s">
        <v>138</v>
      </c>
      <c r="C37" s="23"/>
      <c r="D37" s="42"/>
      <c r="E37" s="23"/>
      <c r="F37" s="42"/>
      <c r="G37" s="23"/>
      <c r="H37" s="45"/>
      <c r="I37" s="24">
        <v>31</v>
      </c>
      <c r="J37" s="45"/>
      <c r="K37" s="23">
        <v>0</v>
      </c>
      <c r="L37" s="42">
        <v>0</v>
      </c>
      <c r="M37" s="23">
        <v>1</v>
      </c>
      <c r="N37" s="45">
        <v>4200</v>
      </c>
      <c r="O37" s="194"/>
      <c r="P37" s="42"/>
      <c r="Q37" s="194">
        <v>1</v>
      </c>
      <c r="R37" s="42">
        <v>26700</v>
      </c>
      <c r="S37" s="194">
        <v>6</v>
      </c>
      <c r="T37" s="128">
        <v>7545</v>
      </c>
    </row>
    <row r="38" spans="1:23" ht="17.25" customHeight="1" x14ac:dyDescent="0.4">
      <c r="A38" s="676"/>
      <c r="B38" s="198" t="s">
        <v>139</v>
      </c>
      <c r="C38" s="108"/>
      <c r="D38" s="109"/>
      <c r="E38" s="108">
        <v>5</v>
      </c>
      <c r="F38" s="109">
        <f>4000+7700+6010+8400+4130</f>
        <v>30240</v>
      </c>
      <c r="G38" s="108"/>
      <c r="H38" s="111"/>
      <c r="I38" s="119">
        <v>0</v>
      </c>
      <c r="J38" s="109"/>
      <c r="K38" s="108">
        <v>1</v>
      </c>
      <c r="L38" s="109">
        <v>8375</v>
      </c>
      <c r="M38" s="108"/>
      <c r="N38" s="111"/>
      <c r="O38" s="112">
        <v>3</v>
      </c>
      <c r="P38" s="109">
        <v>4500</v>
      </c>
      <c r="Q38" s="112">
        <v>0</v>
      </c>
      <c r="R38" s="109">
        <v>0</v>
      </c>
      <c r="S38" s="194">
        <v>6</v>
      </c>
      <c r="T38" s="114">
        <v>5624</v>
      </c>
    </row>
    <row r="39" spans="1:23" ht="18" customHeight="1" x14ac:dyDescent="0.4">
      <c r="A39" s="680" t="s">
        <v>144</v>
      </c>
      <c r="B39" s="195" t="s">
        <v>133</v>
      </c>
      <c r="C39" s="82">
        <f>2</f>
        <v>2</v>
      </c>
      <c r="D39" s="83">
        <f>17089</f>
        <v>17089</v>
      </c>
      <c r="E39" s="82">
        <v>1</v>
      </c>
      <c r="F39" s="83">
        <v>4600</v>
      </c>
      <c r="G39" s="82"/>
      <c r="H39" s="85"/>
      <c r="I39" s="82">
        <v>2</v>
      </c>
      <c r="J39" s="83"/>
      <c r="K39" s="82"/>
      <c r="L39" s="83"/>
      <c r="M39" s="82"/>
      <c r="N39" s="85"/>
      <c r="O39" s="86">
        <v>8</v>
      </c>
      <c r="P39" s="83">
        <v>18800</v>
      </c>
      <c r="Q39" s="87">
        <v>0</v>
      </c>
      <c r="R39" s="83">
        <v>0</v>
      </c>
      <c r="S39" s="68"/>
      <c r="T39" s="89"/>
    </row>
    <row r="40" spans="1:23" ht="18" customHeight="1" x14ac:dyDescent="0.4">
      <c r="A40" s="664"/>
      <c r="B40" s="196" t="s">
        <v>134</v>
      </c>
      <c r="C40" s="66"/>
      <c r="D40" s="65"/>
      <c r="E40" s="66"/>
      <c r="F40" s="65"/>
      <c r="G40" s="66"/>
      <c r="H40" s="67"/>
      <c r="I40" s="66">
        <v>10</v>
      </c>
      <c r="J40" s="65"/>
      <c r="K40" s="66"/>
      <c r="L40" s="65"/>
      <c r="M40" s="64"/>
      <c r="N40" s="67"/>
      <c r="O40" s="68">
        <v>0</v>
      </c>
      <c r="P40" s="65">
        <v>0</v>
      </c>
      <c r="Q40" s="69">
        <v>0</v>
      </c>
      <c r="R40" s="65">
        <v>0</v>
      </c>
      <c r="S40" s="68"/>
      <c r="T40" s="89"/>
    </row>
    <row r="41" spans="1:23" ht="18" customHeight="1" x14ac:dyDescent="0.4">
      <c r="A41" s="664"/>
      <c r="B41" s="196" t="s">
        <v>135</v>
      </c>
      <c r="C41" s="66">
        <f>20</f>
        <v>20</v>
      </c>
      <c r="D41" s="65">
        <f>25120</f>
        <v>25120</v>
      </c>
      <c r="E41" s="66">
        <v>2</v>
      </c>
      <c r="F41" s="65">
        <f>1500+3700</f>
        <v>5200</v>
      </c>
      <c r="G41" s="66">
        <v>1</v>
      </c>
      <c r="H41" s="67">
        <v>1500</v>
      </c>
      <c r="I41" s="66">
        <v>13</v>
      </c>
      <c r="J41" s="65"/>
      <c r="K41" s="66">
        <v>1</v>
      </c>
      <c r="L41" s="65">
        <v>1003</v>
      </c>
      <c r="M41" s="66">
        <v>2</v>
      </c>
      <c r="N41" s="67">
        <v>4000</v>
      </c>
      <c r="O41" s="68">
        <v>7</v>
      </c>
      <c r="P41" s="65">
        <v>8710</v>
      </c>
      <c r="Q41" s="69">
        <v>0</v>
      </c>
      <c r="R41" s="65">
        <v>0</v>
      </c>
      <c r="S41" s="68"/>
      <c r="T41" s="89"/>
    </row>
    <row r="42" spans="1:23" ht="18" customHeight="1" x14ac:dyDescent="0.4">
      <c r="A42" s="664"/>
      <c r="B42" s="196" t="s">
        <v>136</v>
      </c>
      <c r="C42" s="66">
        <f>3</f>
        <v>3</v>
      </c>
      <c r="D42" s="65">
        <f>14490</f>
        <v>14490</v>
      </c>
      <c r="E42" s="66">
        <v>3</v>
      </c>
      <c r="F42" s="65">
        <f>1700+3000+30250</f>
        <v>34950</v>
      </c>
      <c r="G42" s="66">
        <v>1</v>
      </c>
      <c r="H42" s="67">
        <v>1200</v>
      </c>
      <c r="I42" s="66">
        <v>23</v>
      </c>
      <c r="J42" s="65"/>
      <c r="K42" s="66"/>
      <c r="L42" s="65"/>
      <c r="M42" s="66">
        <v>2</v>
      </c>
      <c r="N42" s="67">
        <v>8425</v>
      </c>
      <c r="O42" s="68">
        <v>0</v>
      </c>
      <c r="P42" s="65">
        <v>0</v>
      </c>
      <c r="Q42" s="69">
        <v>0</v>
      </c>
      <c r="R42" s="65">
        <v>0</v>
      </c>
      <c r="S42" s="68"/>
      <c r="T42" s="89"/>
    </row>
    <row r="43" spans="1:23" ht="18" customHeight="1" x14ac:dyDescent="0.4">
      <c r="A43" s="664"/>
      <c r="B43" s="196" t="s">
        <v>137</v>
      </c>
      <c r="C43" s="66">
        <f>3</f>
        <v>3</v>
      </c>
      <c r="D43" s="66">
        <f>11300</f>
        <v>11300</v>
      </c>
      <c r="E43" s="66"/>
      <c r="F43" s="65"/>
      <c r="G43" s="66">
        <v>1</v>
      </c>
      <c r="H43" s="67">
        <v>4500</v>
      </c>
      <c r="I43" s="66">
        <v>0</v>
      </c>
      <c r="J43" s="65"/>
      <c r="K43" s="66"/>
      <c r="L43" s="65"/>
      <c r="M43" s="66"/>
      <c r="N43" s="67"/>
      <c r="O43" s="68">
        <v>11</v>
      </c>
      <c r="P43" s="65">
        <v>1426</v>
      </c>
      <c r="Q43" s="69">
        <v>0</v>
      </c>
      <c r="R43" s="65">
        <v>0</v>
      </c>
      <c r="S43" s="68"/>
      <c r="T43" s="89"/>
      <c r="W43" s="14">
        <f>4500*18%</f>
        <v>810</v>
      </c>
    </row>
    <row r="44" spans="1:23" ht="18" customHeight="1" x14ac:dyDescent="0.4">
      <c r="A44" s="664"/>
      <c r="B44" s="197" t="s">
        <v>138</v>
      </c>
      <c r="C44" s="70">
        <v>1</v>
      </c>
      <c r="D44" s="71">
        <f>10000</f>
        <v>10000</v>
      </c>
      <c r="E44" s="70"/>
      <c r="F44" s="71"/>
      <c r="G44" s="70"/>
      <c r="H44" s="72"/>
      <c r="I44" s="70">
        <v>24</v>
      </c>
      <c r="J44" s="71"/>
      <c r="K44" s="70">
        <v>1</v>
      </c>
      <c r="L44" s="71">
        <v>6900</v>
      </c>
      <c r="M44" s="70"/>
      <c r="N44" s="72"/>
      <c r="O44" s="73"/>
      <c r="P44" s="71"/>
      <c r="Q44" s="182">
        <v>5</v>
      </c>
      <c r="R44" s="71">
        <v>18890</v>
      </c>
      <c r="S44" s="73">
        <v>3</v>
      </c>
      <c r="T44" s="115">
        <v>4381</v>
      </c>
    </row>
    <row r="45" spans="1:23" ht="18" customHeight="1" x14ac:dyDescent="0.4">
      <c r="A45" s="676"/>
      <c r="B45" s="221" t="s">
        <v>139</v>
      </c>
      <c r="C45" s="92">
        <f>1+1</f>
        <v>2</v>
      </c>
      <c r="D45" s="93">
        <f>449+1500+998</f>
        <v>2947</v>
      </c>
      <c r="E45" s="92">
        <v>3</v>
      </c>
      <c r="F45" s="93">
        <f>13548+2000+4661</f>
        <v>20209</v>
      </c>
      <c r="G45" s="92"/>
      <c r="H45" s="94"/>
      <c r="I45" s="92">
        <v>1</v>
      </c>
      <c r="J45" s="93"/>
      <c r="K45" s="92"/>
      <c r="L45" s="93"/>
      <c r="M45" s="92">
        <v>2</v>
      </c>
      <c r="N45" s="94">
        <v>7800</v>
      </c>
      <c r="O45" s="95">
        <v>5</v>
      </c>
      <c r="P45" s="93">
        <v>22037</v>
      </c>
      <c r="Q45" s="96">
        <v>1</v>
      </c>
      <c r="R45" s="93">
        <v>2500</v>
      </c>
      <c r="S45" s="95">
        <v>2</v>
      </c>
      <c r="T45" s="97">
        <v>10150</v>
      </c>
      <c r="W45" s="14">
        <f>4500+W43</f>
        <v>5310</v>
      </c>
    </row>
    <row r="46" spans="1:23" ht="18" customHeight="1" x14ac:dyDescent="0.4">
      <c r="A46" s="668" t="s">
        <v>79</v>
      </c>
      <c r="B46" s="195" t="s">
        <v>133</v>
      </c>
      <c r="C46" s="99"/>
      <c r="D46" s="100"/>
      <c r="E46" s="99"/>
      <c r="F46" s="100"/>
      <c r="G46" s="99"/>
      <c r="H46" s="102"/>
      <c r="I46" s="99">
        <v>1</v>
      </c>
      <c r="J46" s="100"/>
      <c r="K46" s="99"/>
      <c r="L46" s="100"/>
      <c r="M46" s="99"/>
      <c r="N46" s="102"/>
      <c r="O46" s="104">
        <v>2</v>
      </c>
      <c r="P46" s="100">
        <v>10050</v>
      </c>
      <c r="Q46" s="104">
        <v>0</v>
      </c>
      <c r="R46" s="100">
        <v>0</v>
      </c>
      <c r="S46" s="103"/>
      <c r="T46" s="105"/>
    </row>
    <row r="47" spans="1:23" ht="18" customHeight="1" x14ac:dyDescent="0.4">
      <c r="A47" s="664"/>
      <c r="B47" s="196" t="s">
        <v>134</v>
      </c>
      <c r="C47" s="20"/>
      <c r="D47" s="41"/>
      <c r="E47" s="20"/>
      <c r="F47" s="41"/>
      <c r="G47" s="20"/>
      <c r="H47" s="44"/>
      <c r="I47" s="20">
        <v>19</v>
      </c>
      <c r="J47" s="41"/>
      <c r="K47" s="20"/>
      <c r="L47" s="41"/>
      <c r="M47" s="19"/>
      <c r="N47" s="44"/>
      <c r="O47" s="22"/>
      <c r="P47" s="41"/>
      <c r="Q47" s="22">
        <v>0</v>
      </c>
      <c r="R47" s="41">
        <v>0</v>
      </c>
      <c r="S47" s="17"/>
      <c r="T47" s="106"/>
    </row>
    <row r="48" spans="1:23" ht="18" customHeight="1" x14ac:dyDescent="0.4">
      <c r="A48" s="664"/>
      <c r="B48" s="196" t="s">
        <v>135</v>
      </c>
      <c r="C48" s="20">
        <v>31</v>
      </c>
      <c r="D48" s="41">
        <v>23970</v>
      </c>
      <c r="E48" s="20">
        <v>6</v>
      </c>
      <c r="F48" s="41">
        <f>9900+9800+3300+2600+2500+5980</f>
        <v>34080</v>
      </c>
      <c r="G48" s="20">
        <v>2</v>
      </c>
      <c r="H48" s="44">
        <f>3852+1500</f>
        <v>5352</v>
      </c>
      <c r="I48" s="20">
        <v>26</v>
      </c>
      <c r="J48" s="41"/>
      <c r="K48" s="20"/>
      <c r="L48" s="41"/>
      <c r="M48" s="20">
        <v>6</v>
      </c>
      <c r="N48" s="44">
        <v>7000</v>
      </c>
      <c r="O48" s="22">
        <v>7</v>
      </c>
      <c r="P48" s="41">
        <v>8240</v>
      </c>
      <c r="Q48" s="22">
        <v>1</v>
      </c>
      <c r="R48" s="41">
        <v>736</v>
      </c>
      <c r="S48" s="17"/>
      <c r="T48" s="106"/>
    </row>
    <row r="49" spans="1:20" ht="18" customHeight="1" x14ac:dyDescent="0.4">
      <c r="A49" s="664"/>
      <c r="B49" s="196" t="s">
        <v>136</v>
      </c>
      <c r="C49" s="20">
        <v>4</v>
      </c>
      <c r="D49" s="41">
        <v>4000</v>
      </c>
      <c r="E49" s="20">
        <v>1</v>
      </c>
      <c r="F49" s="41">
        <f>12036</f>
        <v>12036</v>
      </c>
      <c r="G49" s="20">
        <v>5</v>
      </c>
      <c r="H49" s="44">
        <f>3000+1600+2950+1100</f>
        <v>8650</v>
      </c>
      <c r="I49" s="20">
        <v>32</v>
      </c>
      <c r="J49" s="41"/>
      <c r="K49" s="20"/>
      <c r="L49" s="41"/>
      <c r="M49" s="20">
        <v>4</v>
      </c>
      <c r="N49" s="44">
        <v>9525</v>
      </c>
      <c r="O49" s="22">
        <v>1</v>
      </c>
      <c r="P49" s="41">
        <v>300</v>
      </c>
      <c r="Q49" s="22">
        <v>2</v>
      </c>
      <c r="R49" s="41">
        <v>7176</v>
      </c>
      <c r="S49" s="17"/>
      <c r="T49" s="106"/>
    </row>
    <row r="50" spans="1:20" ht="18" customHeight="1" x14ac:dyDescent="0.4">
      <c r="A50" s="664"/>
      <c r="B50" s="196" t="s">
        <v>137</v>
      </c>
      <c r="C50" s="20">
        <v>1</v>
      </c>
      <c r="D50" s="41">
        <v>1500</v>
      </c>
      <c r="E50" s="20">
        <v>1</v>
      </c>
      <c r="F50" s="41">
        <f>25000</f>
        <v>25000</v>
      </c>
      <c r="G50" s="20"/>
      <c r="H50" s="44"/>
      <c r="I50" s="20">
        <v>1</v>
      </c>
      <c r="J50" s="41"/>
      <c r="K50" s="20">
        <v>1</v>
      </c>
      <c r="L50" s="41">
        <v>2200</v>
      </c>
      <c r="M50" s="20"/>
      <c r="N50" s="44"/>
      <c r="O50" s="22">
        <v>2</v>
      </c>
      <c r="P50" s="41">
        <v>650</v>
      </c>
      <c r="Q50" s="22">
        <v>0</v>
      </c>
      <c r="R50" s="41">
        <v>0</v>
      </c>
      <c r="S50" s="17"/>
      <c r="T50" s="106"/>
    </row>
    <row r="51" spans="1:20" ht="18" customHeight="1" x14ac:dyDescent="0.4">
      <c r="A51" s="664"/>
      <c r="B51" s="197" t="s">
        <v>138</v>
      </c>
      <c r="C51" s="20"/>
      <c r="D51" s="41"/>
      <c r="E51" s="20"/>
      <c r="F51" s="41"/>
      <c r="G51" s="20"/>
      <c r="H51" s="44"/>
      <c r="I51" s="20">
        <v>39</v>
      </c>
      <c r="J51" s="41"/>
      <c r="K51" s="20">
        <v>1</v>
      </c>
      <c r="L51" s="41">
        <v>920</v>
      </c>
      <c r="M51" s="20"/>
      <c r="N51" s="44"/>
      <c r="O51" s="22"/>
      <c r="P51" s="41">
        <v>840</v>
      </c>
      <c r="Q51" s="22">
        <v>6</v>
      </c>
      <c r="R51" s="41">
        <v>9471</v>
      </c>
      <c r="S51" s="17">
        <v>1</v>
      </c>
      <c r="T51" s="106">
        <v>3000</v>
      </c>
    </row>
    <row r="52" spans="1:20" s="235" customFormat="1" ht="18" customHeight="1" x14ac:dyDescent="0.4">
      <c r="A52" s="664"/>
      <c r="B52" s="226" t="s">
        <v>139</v>
      </c>
      <c r="C52" s="108">
        <v>2</v>
      </c>
      <c r="D52" s="109">
        <v>1766</v>
      </c>
      <c r="E52" s="108"/>
      <c r="F52" s="109"/>
      <c r="G52" s="108"/>
      <c r="H52" s="111"/>
      <c r="I52" s="108">
        <v>2</v>
      </c>
      <c r="J52" s="109"/>
      <c r="K52" s="108"/>
      <c r="L52" s="109"/>
      <c r="M52" s="108">
        <v>5</v>
      </c>
      <c r="N52" s="111">
        <v>9250</v>
      </c>
      <c r="O52" s="113">
        <f>4+3</f>
        <v>7</v>
      </c>
      <c r="P52" s="109">
        <f>5375+5000+3304+4897</f>
        <v>18576</v>
      </c>
      <c r="Q52" s="113">
        <v>1</v>
      </c>
      <c r="R52" s="109">
        <v>850</v>
      </c>
      <c r="S52" s="112">
        <v>3</v>
      </c>
      <c r="T52" s="114">
        <v>20000</v>
      </c>
    </row>
    <row r="53" spans="1:20" ht="18" customHeight="1" x14ac:dyDescent="0.4">
      <c r="A53" s="677" t="s">
        <v>145</v>
      </c>
      <c r="B53" s="195" t="s">
        <v>133</v>
      </c>
      <c r="C53" s="227">
        <v>1</v>
      </c>
      <c r="D53" s="228">
        <v>8766</v>
      </c>
      <c r="E53" s="227"/>
      <c r="F53" s="228"/>
      <c r="G53" s="229"/>
      <c r="H53" s="230"/>
      <c r="I53" s="229">
        <v>5</v>
      </c>
      <c r="J53" s="228"/>
      <c r="K53" s="229"/>
      <c r="L53" s="228"/>
      <c r="M53" s="229">
        <v>1</v>
      </c>
      <c r="N53" s="230">
        <v>3500</v>
      </c>
      <c r="O53" s="231"/>
      <c r="P53" s="228"/>
      <c r="Q53" s="232">
        <v>0</v>
      </c>
      <c r="R53" s="228">
        <v>0</v>
      </c>
      <c r="S53" s="233"/>
      <c r="T53" s="234"/>
    </row>
    <row r="54" spans="1:20" ht="18" customHeight="1" x14ac:dyDescent="0.4">
      <c r="A54" s="664"/>
      <c r="B54" s="196" t="s">
        <v>134</v>
      </c>
      <c r="C54" s="66"/>
      <c r="D54" s="65"/>
      <c r="E54" s="77">
        <v>1</v>
      </c>
      <c r="F54" s="65">
        <f>4900</f>
        <v>4900</v>
      </c>
      <c r="G54" s="66"/>
      <c r="H54" s="67"/>
      <c r="I54" s="66">
        <v>6</v>
      </c>
      <c r="J54" s="65"/>
      <c r="K54" s="66"/>
      <c r="L54" s="65"/>
      <c r="M54" s="66"/>
      <c r="N54" s="67"/>
      <c r="O54" s="69"/>
      <c r="P54" s="65"/>
      <c r="Q54" s="78">
        <v>0</v>
      </c>
      <c r="R54" s="65">
        <v>0</v>
      </c>
      <c r="S54" s="68"/>
      <c r="T54" s="89"/>
    </row>
    <row r="55" spans="1:20" ht="18" customHeight="1" x14ac:dyDescent="0.4">
      <c r="A55" s="664"/>
      <c r="B55" s="196" t="s">
        <v>135</v>
      </c>
      <c r="C55" s="66">
        <v>1</v>
      </c>
      <c r="D55" s="65">
        <v>4840</v>
      </c>
      <c r="E55" s="77">
        <v>2</v>
      </c>
      <c r="F55" s="65">
        <f>2000+3800</f>
        <v>5800</v>
      </c>
      <c r="G55" s="66"/>
      <c r="H55" s="67"/>
      <c r="I55" s="66">
        <v>13</v>
      </c>
      <c r="J55" s="65"/>
      <c r="K55" s="66">
        <v>1</v>
      </c>
      <c r="L55" s="65">
        <v>962</v>
      </c>
      <c r="M55" s="66">
        <v>3</v>
      </c>
      <c r="N55" s="67">
        <v>6300</v>
      </c>
      <c r="O55" s="69">
        <v>3</v>
      </c>
      <c r="P55" s="65">
        <v>1400</v>
      </c>
      <c r="Q55" s="78">
        <v>2</v>
      </c>
      <c r="R55" s="65">
        <v>1800</v>
      </c>
      <c r="S55" s="68"/>
      <c r="T55" s="89"/>
    </row>
    <row r="56" spans="1:20" ht="18" customHeight="1" x14ac:dyDescent="0.4">
      <c r="A56" s="664"/>
      <c r="B56" s="196" t="s">
        <v>136</v>
      </c>
      <c r="C56" s="66">
        <v>4</v>
      </c>
      <c r="D56" s="65">
        <v>9200</v>
      </c>
      <c r="E56" s="79"/>
      <c r="F56" s="65"/>
      <c r="G56" s="66">
        <v>3</v>
      </c>
      <c r="H56" s="67">
        <f>2243+1600+1687</f>
        <v>5530</v>
      </c>
      <c r="I56" s="66">
        <v>27</v>
      </c>
      <c r="J56" s="65"/>
      <c r="K56" s="66"/>
      <c r="L56" s="65"/>
      <c r="M56" s="66">
        <v>3</v>
      </c>
      <c r="N56" s="67">
        <v>5150</v>
      </c>
      <c r="O56" s="69">
        <v>1</v>
      </c>
      <c r="P56" s="65">
        <v>400</v>
      </c>
      <c r="Q56" s="78">
        <v>0</v>
      </c>
      <c r="R56" s="65">
        <v>0</v>
      </c>
      <c r="S56" s="68"/>
      <c r="T56" s="89"/>
    </row>
    <row r="57" spans="1:20" ht="18" customHeight="1" x14ac:dyDescent="0.4">
      <c r="A57" s="664"/>
      <c r="B57" s="196" t="s">
        <v>137</v>
      </c>
      <c r="C57" s="70">
        <v>3</v>
      </c>
      <c r="D57" s="243">
        <v>10200</v>
      </c>
      <c r="E57" s="242">
        <v>1</v>
      </c>
      <c r="F57" s="240">
        <f>19900</f>
        <v>19900</v>
      </c>
      <c r="G57" s="66"/>
      <c r="H57" s="72"/>
      <c r="I57" s="66">
        <v>2</v>
      </c>
      <c r="J57" s="71"/>
      <c r="K57" s="70"/>
      <c r="L57" s="71"/>
      <c r="M57" s="66"/>
      <c r="N57" s="72"/>
      <c r="O57" s="182">
        <v>3</v>
      </c>
      <c r="P57" s="71">
        <v>1200</v>
      </c>
      <c r="Q57" s="80">
        <v>0</v>
      </c>
      <c r="R57" s="71">
        <v>0</v>
      </c>
      <c r="S57" s="73"/>
      <c r="T57" s="115"/>
    </row>
    <row r="58" spans="1:20" ht="18" customHeight="1" x14ac:dyDescent="0.4">
      <c r="A58" s="664"/>
      <c r="B58" s="197" t="s">
        <v>138</v>
      </c>
      <c r="C58" s="236">
        <v>2</v>
      </c>
      <c r="D58" s="71">
        <v>1080</v>
      </c>
      <c r="E58" s="77">
        <v>1</v>
      </c>
      <c r="F58" s="71">
        <v>14750</v>
      </c>
      <c r="G58" s="199"/>
      <c r="H58" s="72"/>
      <c r="I58" s="199">
        <v>26</v>
      </c>
      <c r="J58" s="243"/>
      <c r="K58" s="66"/>
      <c r="L58" s="240"/>
      <c r="M58" s="199">
        <v>1</v>
      </c>
      <c r="N58" s="239">
        <v>4520</v>
      </c>
      <c r="O58" s="69"/>
      <c r="P58" s="240">
        <f>1200+740+900+1400</f>
        <v>4240</v>
      </c>
      <c r="Q58" s="80">
        <v>2</v>
      </c>
      <c r="R58" s="71">
        <v>2920</v>
      </c>
      <c r="S58" s="73">
        <v>2</v>
      </c>
      <c r="T58" s="115">
        <v>21000</v>
      </c>
    </row>
    <row r="59" spans="1:20" ht="18" customHeight="1" x14ac:dyDescent="0.4">
      <c r="A59" s="676"/>
      <c r="B59" s="226" t="s">
        <v>139</v>
      </c>
      <c r="C59" s="237"/>
      <c r="D59" s="93"/>
      <c r="E59" s="241"/>
      <c r="F59" s="244"/>
      <c r="G59" s="248"/>
      <c r="H59" s="246"/>
      <c r="I59" s="248">
        <v>1</v>
      </c>
      <c r="J59" s="247"/>
      <c r="K59" s="116"/>
      <c r="L59" s="244"/>
      <c r="M59" s="248">
        <v>3</v>
      </c>
      <c r="N59" s="245">
        <v>8650</v>
      </c>
      <c r="O59" s="117">
        <v>4</v>
      </c>
      <c r="P59" s="93">
        <f>364+590+450+2320</f>
        <v>3724</v>
      </c>
      <c r="Q59" s="96">
        <v>0</v>
      </c>
      <c r="R59" s="93">
        <v>0</v>
      </c>
      <c r="S59" s="95">
        <v>2</v>
      </c>
      <c r="T59" s="97">
        <v>26000</v>
      </c>
    </row>
    <row r="60" spans="1:20" ht="18" customHeight="1" x14ac:dyDescent="0.4">
      <c r="A60" s="681" t="s">
        <v>146</v>
      </c>
      <c r="B60" s="195" t="s">
        <v>133</v>
      </c>
      <c r="C60" s="99"/>
      <c r="D60" s="100"/>
      <c r="E60" s="101">
        <v>2</v>
      </c>
      <c r="F60" s="100">
        <f>9700+25370</f>
        <v>35070</v>
      </c>
      <c r="G60" s="205"/>
      <c r="H60" s="102"/>
      <c r="I60" s="205">
        <v>0</v>
      </c>
      <c r="J60" s="100"/>
      <c r="K60" s="99"/>
      <c r="L60" s="100"/>
      <c r="M60" s="205">
        <v>1</v>
      </c>
      <c r="N60" s="102">
        <v>3200</v>
      </c>
      <c r="O60" s="103"/>
      <c r="P60" s="100"/>
      <c r="Q60" s="22">
        <v>0</v>
      </c>
      <c r="R60" s="100">
        <v>0</v>
      </c>
      <c r="S60" s="103"/>
      <c r="T60" s="114"/>
    </row>
    <row r="61" spans="1:20" ht="18" customHeight="1" x14ac:dyDescent="0.4">
      <c r="A61" s="666"/>
      <c r="B61" s="196" t="s">
        <v>134</v>
      </c>
      <c r="C61" s="20"/>
      <c r="D61" s="41"/>
      <c r="E61" s="25"/>
      <c r="F61" s="41"/>
      <c r="G61" s="20"/>
      <c r="H61" s="44"/>
      <c r="I61" s="20">
        <v>5</v>
      </c>
      <c r="J61" s="41"/>
      <c r="K61" s="20"/>
      <c r="L61" s="41"/>
      <c r="M61" s="19"/>
      <c r="N61" s="44"/>
      <c r="O61" s="17"/>
      <c r="P61" s="41"/>
      <c r="Q61" s="22">
        <v>0</v>
      </c>
      <c r="R61" s="41">
        <v>0</v>
      </c>
      <c r="S61" s="17"/>
      <c r="T61" s="106"/>
    </row>
    <row r="62" spans="1:20" ht="18" customHeight="1" x14ac:dyDescent="0.4">
      <c r="A62" s="666"/>
      <c r="B62" s="196" t="s">
        <v>135</v>
      </c>
      <c r="C62" s="20"/>
      <c r="D62" s="41"/>
      <c r="E62" s="25"/>
      <c r="F62" s="41"/>
      <c r="G62" s="20"/>
      <c r="H62" s="44"/>
      <c r="I62" s="20">
        <v>15</v>
      </c>
      <c r="J62" s="41"/>
      <c r="K62" s="20"/>
      <c r="L62" s="41"/>
      <c r="M62" s="20">
        <v>2</v>
      </c>
      <c r="N62" s="44">
        <v>4500</v>
      </c>
      <c r="O62" s="17"/>
      <c r="P62" s="41"/>
      <c r="Q62" s="22">
        <v>0</v>
      </c>
      <c r="R62" s="41">
        <v>0</v>
      </c>
      <c r="S62" s="17"/>
      <c r="T62" s="106"/>
    </row>
    <row r="63" spans="1:20" ht="18" customHeight="1" x14ac:dyDescent="0.4">
      <c r="A63" s="666"/>
      <c r="B63" s="196" t="s">
        <v>136</v>
      </c>
      <c r="C63" s="20"/>
      <c r="D63" s="41"/>
      <c r="E63" s="25">
        <v>1</v>
      </c>
      <c r="F63" s="41">
        <v>2170</v>
      </c>
      <c r="G63" s="20"/>
      <c r="H63" s="44"/>
      <c r="I63" s="20">
        <v>20</v>
      </c>
      <c r="J63" s="41"/>
      <c r="K63" s="20">
        <v>1</v>
      </c>
      <c r="L63" s="41">
        <v>2730</v>
      </c>
      <c r="M63" s="20">
        <v>2</v>
      </c>
      <c r="N63" s="44">
        <v>5150</v>
      </c>
      <c r="O63" s="17"/>
      <c r="P63" s="41"/>
      <c r="Q63" s="22">
        <v>0</v>
      </c>
      <c r="R63" s="41">
        <v>0</v>
      </c>
      <c r="S63" s="17"/>
      <c r="T63" s="106"/>
    </row>
    <row r="64" spans="1:20" ht="18" customHeight="1" x14ac:dyDescent="0.4">
      <c r="A64" s="666"/>
      <c r="B64" s="196" t="s">
        <v>137</v>
      </c>
      <c r="C64" s="20"/>
      <c r="D64" s="41"/>
      <c r="E64" s="25"/>
      <c r="F64" s="41"/>
      <c r="G64" s="20">
        <v>2</v>
      </c>
      <c r="H64" s="44">
        <v>2124</v>
      </c>
      <c r="I64" s="20">
        <v>8</v>
      </c>
      <c r="J64" s="41"/>
      <c r="K64" s="20"/>
      <c r="L64" s="41"/>
      <c r="M64" s="20"/>
      <c r="N64" s="44"/>
      <c r="O64" s="17"/>
      <c r="P64" s="41"/>
      <c r="Q64" s="22">
        <v>0</v>
      </c>
      <c r="R64" s="41">
        <v>0</v>
      </c>
      <c r="S64" s="17"/>
      <c r="T64" s="106"/>
    </row>
    <row r="65" spans="1:20" ht="18" customHeight="1" x14ac:dyDescent="0.4">
      <c r="A65" s="666"/>
      <c r="B65" s="197" t="s">
        <v>138</v>
      </c>
      <c r="C65" s="23"/>
      <c r="E65" s="25"/>
      <c r="F65" s="42"/>
      <c r="G65" s="23"/>
      <c r="H65" s="45"/>
      <c r="I65" s="23">
        <v>25</v>
      </c>
      <c r="J65" s="42"/>
      <c r="K65" s="23"/>
      <c r="L65" s="42"/>
      <c r="M65" s="23"/>
      <c r="N65" s="45"/>
      <c r="O65" s="194"/>
      <c r="P65" s="42"/>
      <c r="Q65" s="193">
        <v>3</v>
      </c>
      <c r="R65" s="42">
        <v>6020</v>
      </c>
      <c r="S65" s="194"/>
      <c r="T65" s="128"/>
    </row>
    <row r="66" spans="1:20" ht="18" customHeight="1" x14ac:dyDescent="0.4">
      <c r="A66" s="667"/>
      <c r="B66" s="226" t="s">
        <v>139</v>
      </c>
      <c r="C66" s="108"/>
      <c r="D66" s="109"/>
      <c r="E66" s="110"/>
      <c r="F66" s="109"/>
      <c r="G66" s="108">
        <v>2</v>
      </c>
      <c r="H66" s="111">
        <f>5664+1800</f>
        <v>7464</v>
      </c>
      <c r="I66" s="108">
        <v>3</v>
      </c>
      <c r="J66" s="109"/>
      <c r="K66" s="108"/>
      <c r="L66" s="109"/>
      <c r="M66" s="108">
        <v>4</v>
      </c>
      <c r="N66" s="111">
        <v>7300</v>
      </c>
      <c r="O66" s="112"/>
      <c r="P66" s="109"/>
      <c r="Q66" s="113">
        <v>0</v>
      </c>
      <c r="R66" s="109">
        <v>0</v>
      </c>
      <c r="S66" s="112"/>
      <c r="T66" s="114"/>
    </row>
    <row r="67" spans="1:20" ht="18" customHeight="1" x14ac:dyDescent="0.4">
      <c r="A67" s="670" t="s">
        <v>147</v>
      </c>
      <c r="B67" s="14"/>
      <c r="C67" s="82"/>
      <c r="D67" s="83"/>
      <c r="E67" s="84"/>
      <c r="F67" s="83"/>
      <c r="G67" s="82"/>
      <c r="H67" s="85"/>
      <c r="I67" s="82"/>
      <c r="J67" s="83"/>
      <c r="K67" s="82"/>
      <c r="L67" s="83"/>
      <c r="M67" s="82"/>
      <c r="N67" s="85"/>
      <c r="O67" s="86"/>
      <c r="P67" s="83"/>
      <c r="Q67" s="87"/>
      <c r="R67" s="83"/>
      <c r="S67" s="86"/>
      <c r="T67" s="88"/>
    </row>
    <row r="68" spans="1:20" ht="18" customHeight="1" x14ac:dyDescent="0.4">
      <c r="A68" s="666"/>
      <c r="B68" s="18"/>
      <c r="C68" s="66"/>
      <c r="D68" s="65"/>
      <c r="E68" s="77"/>
      <c r="F68" s="65"/>
      <c r="G68" s="66"/>
      <c r="H68" s="67"/>
      <c r="I68" s="66"/>
      <c r="J68" s="65"/>
      <c r="K68" s="66"/>
      <c r="L68" s="65"/>
      <c r="M68" s="66"/>
      <c r="N68" s="67"/>
      <c r="O68" s="68"/>
      <c r="P68" s="65"/>
      <c r="Q68" s="69"/>
      <c r="R68" s="65"/>
      <c r="S68" s="68"/>
      <c r="T68" s="89"/>
    </row>
    <row r="69" spans="1:20" ht="18" customHeight="1" x14ac:dyDescent="0.4">
      <c r="A69" s="666"/>
      <c r="B69" s="18"/>
      <c r="C69" s="66"/>
      <c r="D69" s="65"/>
      <c r="E69" s="66"/>
      <c r="F69" s="65"/>
      <c r="G69" s="66"/>
      <c r="H69" s="67"/>
      <c r="I69" s="66"/>
      <c r="J69" s="65"/>
      <c r="K69" s="66"/>
      <c r="L69" s="65"/>
      <c r="M69" s="66"/>
      <c r="N69" s="67"/>
      <c r="O69" s="68"/>
      <c r="P69" s="65"/>
      <c r="Q69" s="69"/>
      <c r="R69" s="65"/>
      <c r="S69" s="68"/>
      <c r="T69" s="89"/>
    </row>
    <row r="70" spans="1:20" ht="18" customHeight="1" x14ac:dyDescent="0.4">
      <c r="A70" s="666"/>
      <c r="B70" s="18"/>
      <c r="C70" s="66"/>
      <c r="D70" s="65"/>
      <c r="E70" s="66"/>
      <c r="F70" s="65"/>
      <c r="G70" s="66"/>
      <c r="H70" s="67"/>
      <c r="I70" s="66"/>
      <c r="J70" s="65"/>
      <c r="K70" s="66"/>
      <c r="L70" s="65"/>
      <c r="M70" s="66"/>
      <c r="N70" s="67"/>
      <c r="O70" s="68"/>
      <c r="P70" s="65"/>
      <c r="Q70" s="69"/>
      <c r="R70" s="65"/>
      <c r="S70" s="68"/>
      <c r="T70" s="89"/>
    </row>
    <row r="71" spans="1:20" ht="18" customHeight="1" x14ac:dyDescent="0.4">
      <c r="A71" s="666"/>
      <c r="B71" s="18"/>
      <c r="C71" s="66"/>
      <c r="D71" s="65"/>
      <c r="E71" s="66"/>
      <c r="F71" s="65"/>
      <c r="G71" s="66"/>
      <c r="H71" s="67"/>
      <c r="I71" s="66"/>
      <c r="J71" s="65"/>
      <c r="K71" s="66"/>
      <c r="L71" s="65"/>
      <c r="M71" s="66"/>
      <c r="N71" s="67"/>
      <c r="O71" s="68"/>
      <c r="P71" s="65"/>
      <c r="Q71" s="69"/>
      <c r="R71" s="65"/>
      <c r="S71" s="68"/>
      <c r="T71" s="89"/>
    </row>
    <row r="72" spans="1:20" ht="18" customHeight="1" x14ac:dyDescent="0.4">
      <c r="A72" s="667"/>
      <c r="B72" s="107"/>
      <c r="C72" s="92"/>
      <c r="D72" s="93"/>
      <c r="E72" s="92"/>
      <c r="F72" s="93"/>
      <c r="G72" s="92"/>
      <c r="H72" s="94"/>
      <c r="I72" s="92"/>
      <c r="J72" s="93"/>
      <c r="K72" s="92"/>
      <c r="L72" s="93"/>
      <c r="M72" s="92"/>
      <c r="N72" s="94"/>
      <c r="O72" s="95"/>
      <c r="P72" s="93"/>
      <c r="Q72" s="96"/>
      <c r="R72" s="93"/>
      <c r="S72" s="95"/>
      <c r="T72" s="97"/>
    </row>
    <row r="73" spans="1:20" ht="18" customHeight="1" x14ac:dyDescent="0.4">
      <c r="A73" s="665" t="s">
        <v>148</v>
      </c>
      <c r="B73" s="81"/>
      <c r="C73" s="99"/>
      <c r="D73" s="100"/>
      <c r="E73" s="101"/>
      <c r="F73" s="100"/>
      <c r="G73" s="99"/>
      <c r="H73" s="102"/>
      <c r="I73" s="99"/>
      <c r="J73" s="100"/>
      <c r="K73" s="99"/>
      <c r="L73" s="100"/>
      <c r="M73" s="99"/>
      <c r="N73" s="102"/>
      <c r="O73" s="103"/>
      <c r="P73" s="100"/>
      <c r="Q73" s="104"/>
      <c r="R73" s="100"/>
      <c r="S73" s="103"/>
      <c r="T73" s="105"/>
    </row>
    <row r="74" spans="1:20" ht="18" customHeight="1" x14ac:dyDescent="0.4">
      <c r="A74" s="666"/>
      <c r="B74" s="76"/>
      <c r="C74" s="20"/>
      <c r="D74" s="41"/>
      <c r="E74" s="25"/>
      <c r="F74" s="41"/>
      <c r="G74" s="20"/>
      <c r="H74" s="44"/>
      <c r="I74" s="20"/>
      <c r="J74" s="41"/>
      <c r="K74" s="20"/>
      <c r="L74" s="41"/>
      <c r="M74" s="20"/>
      <c r="N74" s="44"/>
      <c r="O74" s="17"/>
      <c r="P74" s="41"/>
      <c r="Q74" s="22"/>
      <c r="R74" s="41"/>
      <c r="S74" s="17"/>
      <c r="T74" s="106"/>
    </row>
    <row r="75" spans="1:20" ht="18" customHeight="1" x14ac:dyDescent="0.4">
      <c r="A75" s="666"/>
      <c r="B75" s="76"/>
      <c r="C75" s="20"/>
      <c r="D75" s="41"/>
      <c r="E75" s="25"/>
      <c r="F75" s="41"/>
      <c r="G75" s="20"/>
      <c r="H75" s="44"/>
      <c r="I75" s="20"/>
      <c r="J75" s="41"/>
      <c r="K75" s="20"/>
      <c r="L75" s="41"/>
      <c r="M75" s="20"/>
      <c r="N75" s="44"/>
      <c r="O75" s="17"/>
      <c r="P75" s="41"/>
      <c r="Q75" s="22"/>
      <c r="R75" s="41"/>
      <c r="S75" s="17"/>
      <c r="T75" s="106"/>
    </row>
    <row r="76" spans="1:20" ht="18" customHeight="1" x14ac:dyDescent="0.4">
      <c r="A76" s="666"/>
      <c r="B76" s="76"/>
      <c r="C76" s="20"/>
      <c r="D76" s="41"/>
      <c r="E76" s="25"/>
      <c r="F76" s="41"/>
      <c r="G76" s="20"/>
      <c r="H76" s="44"/>
      <c r="I76" s="20"/>
      <c r="J76" s="41"/>
      <c r="K76" s="20"/>
      <c r="L76" s="41"/>
      <c r="M76" s="20"/>
      <c r="N76" s="44"/>
      <c r="O76" s="17"/>
      <c r="P76" s="41"/>
      <c r="Q76" s="22"/>
      <c r="R76" s="41"/>
      <c r="S76" s="17"/>
      <c r="T76" s="106"/>
    </row>
    <row r="77" spans="1:20" ht="18" customHeight="1" x14ac:dyDescent="0.4">
      <c r="A77" s="666"/>
      <c r="B77" s="76"/>
      <c r="C77" s="20"/>
      <c r="D77" s="41"/>
      <c r="E77" s="25"/>
      <c r="F77" s="41"/>
      <c r="G77" s="20"/>
      <c r="H77" s="44"/>
      <c r="I77" s="20"/>
      <c r="J77" s="41"/>
      <c r="K77" s="20"/>
      <c r="L77" s="41"/>
      <c r="M77" s="20"/>
      <c r="N77" s="44"/>
      <c r="O77" s="17"/>
      <c r="P77" s="41"/>
      <c r="Q77" s="22"/>
      <c r="R77" s="41"/>
      <c r="S77" s="17"/>
      <c r="T77" s="106"/>
    </row>
    <row r="78" spans="1:20" ht="18" customHeight="1" x14ac:dyDescent="0.4">
      <c r="A78" s="667"/>
      <c r="B78" s="91"/>
      <c r="C78" s="108"/>
      <c r="D78" s="109"/>
      <c r="E78" s="110"/>
      <c r="F78" s="109"/>
      <c r="G78" s="108"/>
      <c r="H78" s="111"/>
      <c r="I78" s="108"/>
      <c r="J78" s="109"/>
      <c r="K78" s="108"/>
      <c r="L78" s="109"/>
      <c r="M78" s="108"/>
      <c r="N78" s="111"/>
      <c r="O78" s="112"/>
      <c r="P78" s="109"/>
      <c r="Q78" s="113"/>
      <c r="R78" s="109"/>
      <c r="S78" s="112"/>
      <c r="T78" s="114"/>
    </row>
    <row r="79" spans="1:20" ht="18" customHeight="1" x14ac:dyDescent="0.4">
      <c r="A79" s="670" t="s">
        <v>149</v>
      </c>
      <c r="B79" s="98"/>
      <c r="C79" s="82"/>
      <c r="D79" s="83"/>
      <c r="E79" s="84"/>
      <c r="F79" s="83"/>
      <c r="G79" s="82"/>
      <c r="H79" s="85"/>
      <c r="I79" s="82"/>
      <c r="J79" s="83"/>
      <c r="K79" s="82"/>
      <c r="L79" s="83"/>
      <c r="M79" s="82"/>
      <c r="N79" s="85"/>
      <c r="O79" s="86"/>
      <c r="P79" s="83"/>
      <c r="Q79" s="87"/>
      <c r="R79" s="83"/>
      <c r="S79" s="86"/>
      <c r="T79" s="88"/>
    </row>
    <row r="80" spans="1:20" ht="18" customHeight="1" x14ac:dyDescent="0.4">
      <c r="A80" s="666"/>
      <c r="B80" s="18"/>
      <c r="C80" s="66"/>
      <c r="D80" s="65"/>
      <c r="E80" s="77"/>
      <c r="F80" s="65"/>
      <c r="G80" s="66"/>
      <c r="H80" s="67"/>
      <c r="I80" s="66"/>
      <c r="J80" s="65"/>
      <c r="K80" s="66"/>
      <c r="L80" s="65"/>
      <c r="M80" s="66"/>
      <c r="N80" s="67"/>
      <c r="O80" s="68"/>
      <c r="P80" s="65"/>
      <c r="Q80" s="69"/>
      <c r="R80" s="65"/>
      <c r="S80" s="68"/>
      <c r="T80" s="89"/>
    </row>
    <row r="81" spans="1:20" ht="18" customHeight="1" x14ac:dyDescent="0.4">
      <c r="A81" s="666"/>
      <c r="B81" s="18"/>
      <c r="C81" s="66"/>
      <c r="D81" s="65"/>
      <c r="E81" s="77"/>
      <c r="F81" s="65"/>
      <c r="G81" s="90"/>
      <c r="H81" s="67"/>
      <c r="I81" s="66"/>
      <c r="J81" s="65"/>
      <c r="K81" s="66"/>
      <c r="L81" s="65"/>
      <c r="M81" s="66"/>
      <c r="N81" s="67"/>
      <c r="O81" s="68"/>
      <c r="P81" s="65"/>
      <c r="Q81" s="69"/>
      <c r="R81" s="65"/>
      <c r="S81" s="68"/>
      <c r="T81" s="89"/>
    </row>
    <row r="82" spans="1:20" ht="18" customHeight="1" x14ac:dyDescent="0.4">
      <c r="A82" s="666"/>
      <c r="B82" s="18"/>
      <c r="C82" s="66"/>
      <c r="D82" s="65"/>
      <c r="E82" s="77"/>
      <c r="F82" s="65"/>
      <c r="G82" s="66"/>
      <c r="H82" s="67"/>
      <c r="I82" s="66"/>
      <c r="J82" s="65"/>
      <c r="K82" s="66"/>
      <c r="L82" s="65"/>
      <c r="M82" s="66"/>
      <c r="N82" s="67"/>
      <c r="O82" s="68"/>
      <c r="P82" s="65"/>
      <c r="Q82" s="69"/>
      <c r="R82" s="65"/>
      <c r="S82" s="68"/>
      <c r="T82" s="89"/>
    </row>
    <row r="83" spans="1:20" ht="18" customHeight="1" x14ac:dyDescent="0.4">
      <c r="A83" s="666"/>
      <c r="B83" s="18"/>
      <c r="C83" s="66"/>
      <c r="D83" s="65"/>
      <c r="E83" s="77"/>
      <c r="F83" s="65"/>
      <c r="G83" s="66"/>
      <c r="H83" s="67"/>
      <c r="I83" s="66"/>
      <c r="J83" s="65"/>
      <c r="K83" s="66"/>
      <c r="L83" s="65"/>
      <c r="M83" s="66"/>
      <c r="N83" s="67"/>
      <c r="O83" s="68"/>
      <c r="P83" s="65"/>
      <c r="Q83" s="69"/>
      <c r="R83" s="65"/>
      <c r="S83" s="68"/>
      <c r="T83" s="89"/>
    </row>
    <row r="84" spans="1:20" ht="18" customHeight="1" x14ac:dyDescent="0.4">
      <c r="A84" s="666"/>
      <c r="B84" s="18"/>
      <c r="C84" s="70"/>
      <c r="D84" s="71"/>
      <c r="E84" s="77"/>
      <c r="F84" s="71"/>
      <c r="G84" s="70"/>
      <c r="H84" s="72"/>
      <c r="I84" s="70"/>
      <c r="J84" s="71"/>
      <c r="K84" s="70"/>
      <c r="L84" s="71"/>
      <c r="M84" s="70"/>
      <c r="N84" s="72"/>
      <c r="O84" s="73"/>
      <c r="P84" s="71"/>
      <c r="Q84" s="182"/>
      <c r="R84" s="71"/>
      <c r="S84" s="73"/>
      <c r="T84" s="115"/>
    </row>
    <row r="85" spans="1:20" ht="18" customHeight="1" x14ac:dyDescent="0.4">
      <c r="A85" s="667"/>
      <c r="B85" s="107"/>
      <c r="C85" s="92"/>
      <c r="D85" s="93"/>
      <c r="E85" s="93"/>
      <c r="F85" s="93"/>
      <c r="G85" s="92"/>
      <c r="H85" s="94"/>
      <c r="I85" s="92"/>
      <c r="J85" s="93"/>
      <c r="K85" s="92"/>
      <c r="L85" s="93"/>
      <c r="M85" s="92"/>
      <c r="N85" s="94"/>
      <c r="O85" s="95"/>
      <c r="P85" s="93"/>
      <c r="Q85" s="96"/>
      <c r="R85" s="93"/>
      <c r="S85" s="95"/>
      <c r="T85" s="97"/>
    </row>
    <row r="86" spans="1:20" ht="18" customHeight="1" x14ac:dyDescent="0.4">
      <c r="B86" s="76"/>
      <c r="D86" s="43"/>
      <c r="F86" s="43"/>
      <c r="G86" s="14"/>
      <c r="H86" s="46"/>
      <c r="J86" s="43"/>
      <c r="K86" s="14"/>
      <c r="L86" s="43"/>
      <c r="N86" s="46"/>
      <c r="P86" s="43"/>
      <c r="Q86" s="14"/>
      <c r="R86" s="43"/>
      <c r="S86" s="14"/>
      <c r="T86" s="43"/>
    </row>
    <row r="87" spans="1:20" ht="18" customHeight="1" x14ac:dyDescent="0.4">
      <c r="B87" s="76"/>
      <c r="D87" s="43"/>
      <c r="H87" s="47"/>
    </row>
    <row r="88" spans="1:20" ht="18" customHeight="1" x14ac:dyDescent="0.4">
      <c r="B88" s="76"/>
      <c r="D88" s="43"/>
      <c r="H88" s="47"/>
    </row>
    <row r="89" spans="1:20" ht="18" customHeight="1" x14ac:dyDescent="0.4">
      <c r="B89" s="76"/>
      <c r="D89" s="43"/>
      <c r="H89" s="47"/>
    </row>
    <row r="90" spans="1:20" ht="18" customHeight="1" x14ac:dyDescent="0.4">
      <c r="B90" s="76"/>
      <c r="H90" s="47"/>
    </row>
    <row r="91" spans="1:20" ht="18" customHeight="1" x14ac:dyDescent="0.4">
      <c r="B91" s="91"/>
    </row>
  </sheetData>
  <mergeCells count="24">
    <mergeCell ref="A79:A85"/>
    <mergeCell ref="A11:A17"/>
    <mergeCell ref="A39:A45"/>
    <mergeCell ref="O2:P2"/>
    <mergeCell ref="Q2:R2"/>
    <mergeCell ref="A60:A66"/>
    <mergeCell ref="A1:T1"/>
    <mergeCell ref="A32:A38"/>
    <mergeCell ref="M2:N2"/>
    <mergeCell ref="S2:T2"/>
    <mergeCell ref="A4:A10"/>
    <mergeCell ref="A2:A3"/>
    <mergeCell ref="C2:D2"/>
    <mergeCell ref="E2:F2"/>
    <mergeCell ref="K2:L2"/>
    <mergeCell ref="G2:H2"/>
    <mergeCell ref="A25:A31"/>
    <mergeCell ref="I2:J2"/>
    <mergeCell ref="A73:A78"/>
    <mergeCell ref="A46:A52"/>
    <mergeCell ref="B2:B3"/>
    <mergeCell ref="A67:A72"/>
    <mergeCell ref="A18:A24"/>
    <mergeCell ref="A53:A5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4"/>
  <sheetViews>
    <sheetView workbookViewId="0"/>
  </sheetViews>
  <sheetFormatPr defaultColWidth="9.140625" defaultRowHeight="15" x14ac:dyDescent="0.25"/>
  <cols>
    <col min="1" max="1" width="27.5703125" style="4" customWidth="1"/>
    <col min="2" max="4" width="9.7109375" style="4" customWidth="1"/>
    <col min="5" max="5" width="9.7109375" style="12" customWidth="1"/>
    <col min="6" max="7" width="9.7109375" style="3" customWidth="1"/>
    <col min="8" max="13" width="9.7109375" style="4" customWidth="1"/>
    <col min="14" max="14" width="10.28515625" style="4" customWidth="1"/>
    <col min="15" max="15" width="10.85546875" style="4" customWidth="1"/>
    <col min="16" max="16" width="9.140625" style="4" customWidth="1"/>
    <col min="17" max="16384" width="9.140625" style="4"/>
  </cols>
  <sheetData>
    <row r="1" spans="1:14" ht="18.75" customHeight="1" x14ac:dyDescent="0.3">
      <c r="A1" s="684" t="s">
        <v>150</v>
      </c>
      <c r="B1" s="547"/>
      <c r="C1" s="547"/>
      <c r="D1" s="547"/>
      <c r="E1" s="547"/>
      <c r="F1" s="547"/>
      <c r="G1" s="547"/>
      <c r="H1" s="547"/>
      <c r="I1" s="547"/>
      <c r="J1" s="547"/>
      <c r="K1" s="547"/>
      <c r="L1" s="547"/>
      <c r="M1" s="547"/>
    </row>
    <row r="2" spans="1:14" ht="5.0999999999999996" customHeight="1" x14ac:dyDescent="0.25"/>
    <row r="3" spans="1:14" ht="27" customHeight="1" x14ac:dyDescent="0.25">
      <c r="A3" s="138" t="s">
        <v>3</v>
      </c>
      <c r="B3" s="139">
        <v>46023</v>
      </c>
      <c r="C3" s="139">
        <v>46054</v>
      </c>
      <c r="D3" s="139">
        <v>46082</v>
      </c>
      <c r="E3" s="139">
        <v>46113</v>
      </c>
      <c r="F3" s="139">
        <v>46143</v>
      </c>
      <c r="G3" s="139">
        <v>46174</v>
      </c>
      <c r="H3" s="139">
        <v>46204</v>
      </c>
      <c r="I3" s="139">
        <v>46235</v>
      </c>
      <c r="J3" s="139">
        <v>46266</v>
      </c>
      <c r="K3" s="139">
        <v>46296</v>
      </c>
      <c r="L3" s="139">
        <v>46327</v>
      </c>
      <c r="M3" s="139">
        <v>46357</v>
      </c>
    </row>
    <row r="4" spans="1:14" x14ac:dyDescent="0.25">
      <c r="A4" s="130" t="s">
        <v>151</v>
      </c>
      <c r="B4" s="131"/>
      <c r="C4" s="131"/>
      <c r="D4" s="131"/>
      <c r="E4" s="132"/>
      <c r="F4" s="133"/>
      <c r="G4" s="133"/>
      <c r="H4" s="131"/>
      <c r="I4" s="131"/>
      <c r="J4" s="131"/>
      <c r="K4" s="131"/>
      <c r="L4" s="131"/>
      <c r="M4" s="134"/>
    </row>
    <row r="5" spans="1:14" x14ac:dyDescent="0.25">
      <c r="A5" s="135" t="s">
        <v>152</v>
      </c>
      <c r="B5" s="28">
        <v>20</v>
      </c>
      <c r="C5" s="28">
        <v>8</v>
      </c>
      <c r="D5" s="28">
        <v>21</v>
      </c>
      <c r="E5" s="29">
        <v>25</v>
      </c>
      <c r="F5" s="9">
        <v>23</v>
      </c>
      <c r="G5" s="28">
        <v>22</v>
      </c>
      <c r="H5" s="28">
        <v>28</v>
      </c>
      <c r="I5" s="28">
        <v>21</v>
      </c>
      <c r="J5" s="28"/>
      <c r="K5" s="28"/>
      <c r="L5" s="30"/>
      <c r="M5" s="136"/>
    </row>
    <row r="6" spans="1:14" x14ac:dyDescent="0.25">
      <c r="A6" s="135" t="s">
        <v>153</v>
      </c>
      <c r="B6" s="8">
        <v>21.89</v>
      </c>
      <c r="C6" s="5">
        <v>0</v>
      </c>
      <c r="D6" s="8">
        <v>21.89</v>
      </c>
      <c r="E6" s="2">
        <v>20</v>
      </c>
      <c r="F6" s="1">
        <v>20</v>
      </c>
      <c r="G6" s="1">
        <v>20</v>
      </c>
      <c r="H6" s="5">
        <v>40</v>
      </c>
      <c r="I6" s="5">
        <v>20</v>
      </c>
      <c r="J6" s="5">
        <v>20</v>
      </c>
      <c r="K6" s="5"/>
      <c r="L6" s="5"/>
      <c r="M6" s="137"/>
    </row>
    <row r="7" spans="1:14" x14ac:dyDescent="0.25">
      <c r="A7" s="135" t="s">
        <v>154</v>
      </c>
      <c r="B7" s="210">
        <v>10.5</v>
      </c>
      <c r="C7" s="210">
        <v>8</v>
      </c>
      <c r="D7" s="210">
        <v>12</v>
      </c>
      <c r="E7" s="210">
        <v>16</v>
      </c>
      <c r="F7" s="210">
        <v>13</v>
      </c>
      <c r="G7" s="210">
        <v>17</v>
      </c>
      <c r="H7" s="210">
        <v>32</v>
      </c>
      <c r="I7" s="210">
        <v>18</v>
      </c>
      <c r="J7" s="210">
        <v>18</v>
      </c>
      <c r="K7" s="210"/>
      <c r="L7" s="210"/>
      <c r="M7" s="210"/>
    </row>
    <row r="8" spans="1:14" x14ac:dyDescent="0.25">
      <c r="A8" s="135" t="s">
        <v>155</v>
      </c>
      <c r="B8" s="685">
        <f>SUM(B6:D6)</f>
        <v>43.78</v>
      </c>
      <c r="C8" s="623"/>
      <c r="D8" s="683"/>
      <c r="E8" s="682">
        <f>SUM(E6:G6)</f>
        <v>60</v>
      </c>
      <c r="F8" s="623"/>
      <c r="G8" s="683"/>
      <c r="H8" s="682">
        <f>SUM(H6:J6)</f>
        <v>80</v>
      </c>
      <c r="I8" s="623"/>
      <c r="J8" s="683"/>
      <c r="K8" s="682">
        <f>SUM(K6:M6)</f>
        <v>0</v>
      </c>
      <c r="L8" s="623"/>
      <c r="M8" s="683"/>
    </row>
    <row r="9" spans="1:14" x14ac:dyDescent="0.25">
      <c r="A9" s="142"/>
      <c r="B9" s="35"/>
      <c r="C9" s="36"/>
      <c r="D9" s="37"/>
      <c r="E9" s="143"/>
      <c r="F9" s="144"/>
      <c r="G9" s="37"/>
      <c r="H9" s="35"/>
      <c r="I9" s="36"/>
      <c r="J9" s="37"/>
      <c r="K9" s="162"/>
      <c r="L9" s="36"/>
      <c r="M9" s="145"/>
    </row>
    <row r="10" spans="1:14" x14ac:dyDescent="0.25">
      <c r="A10" s="130" t="s">
        <v>156</v>
      </c>
      <c r="B10" s="131"/>
      <c r="C10" s="131"/>
      <c r="D10" s="131"/>
      <c r="E10" s="132"/>
      <c r="F10" s="133"/>
      <c r="G10" s="133"/>
      <c r="H10" s="131"/>
      <c r="I10" s="131"/>
      <c r="J10" s="131"/>
      <c r="K10" s="131"/>
      <c r="L10" s="131"/>
      <c r="M10" s="134"/>
    </row>
    <row r="11" spans="1:14" x14ac:dyDescent="0.25">
      <c r="A11" s="135" t="s">
        <v>152</v>
      </c>
      <c r="B11" s="28">
        <v>50</v>
      </c>
      <c r="C11" s="28">
        <v>50</v>
      </c>
      <c r="D11" s="28">
        <v>70</v>
      </c>
      <c r="E11" s="29">
        <v>73</v>
      </c>
      <c r="F11" s="9">
        <v>75</v>
      </c>
      <c r="G11" s="9">
        <v>69</v>
      </c>
      <c r="H11" s="28">
        <v>141</v>
      </c>
      <c r="I11" s="28">
        <v>49</v>
      </c>
      <c r="J11" s="28"/>
      <c r="K11" s="28"/>
      <c r="L11" s="28"/>
      <c r="M11" s="136"/>
      <c r="N11" s="4">
        <f>50*9</f>
        <v>450</v>
      </c>
    </row>
    <row r="12" spans="1:14" x14ac:dyDescent="0.25">
      <c r="A12" s="135" t="s">
        <v>153</v>
      </c>
      <c r="B12" s="166">
        <v>80</v>
      </c>
      <c r="C12" s="166">
        <v>80</v>
      </c>
      <c r="D12" s="162">
        <v>100</v>
      </c>
      <c r="E12" s="31">
        <v>0</v>
      </c>
      <c r="F12" s="31">
        <v>0</v>
      </c>
      <c r="G12" s="31">
        <v>40</v>
      </c>
      <c r="H12" s="238">
        <v>203.38</v>
      </c>
      <c r="I12" s="31">
        <v>204.08</v>
      </c>
      <c r="J12" s="31">
        <v>0</v>
      </c>
      <c r="K12" s="31"/>
      <c r="L12" s="31"/>
      <c r="M12" s="140"/>
      <c r="N12" s="32"/>
    </row>
    <row r="13" spans="1:14" x14ac:dyDescent="0.25">
      <c r="A13" s="135" t="s">
        <v>154</v>
      </c>
      <c r="B13" s="203">
        <v>8</v>
      </c>
      <c r="C13" s="203">
        <v>8</v>
      </c>
      <c r="D13" s="203">
        <v>10</v>
      </c>
      <c r="E13" s="203">
        <v>11</v>
      </c>
      <c r="F13" s="203">
        <v>11</v>
      </c>
      <c r="G13" s="203">
        <v>10</v>
      </c>
      <c r="H13" s="203">
        <v>24</v>
      </c>
      <c r="I13" s="33">
        <v>8</v>
      </c>
      <c r="J13" s="33"/>
      <c r="K13" s="33"/>
      <c r="L13" s="33"/>
      <c r="M13" s="141"/>
      <c r="N13" s="34"/>
    </row>
    <row r="14" spans="1:14" ht="14.45" customHeight="1" x14ac:dyDescent="0.25">
      <c r="A14" s="135" t="s">
        <v>155</v>
      </c>
      <c r="B14" s="682">
        <f>SUM(B12:D12)</f>
        <v>260</v>
      </c>
      <c r="C14" s="623"/>
      <c r="D14" s="683"/>
      <c r="E14" s="682">
        <f>SUM(E12:G12)</f>
        <v>40</v>
      </c>
      <c r="F14" s="623"/>
      <c r="G14" s="683"/>
      <c r="H14" s="682">
        <f>SUM(H12:J12)</f>
        <v>407.46000000000004</v>
      </c>
      <c r="I14" s="623"/>
      <c r="J14" s="683"/>
      <c r="K14" s="682">
        <f>SUM(K12:M12)</f>
        <v>0</v>
      </c>
      <c r="L14" s="623"/>
      <c r="M14" s="683"/>
    </row>
    <row r="15" spans="1:14" x14ac:dyDescent="0.25">
      <c r="A15" s="159"/>
      <c r="B15" s="35"/>
      <c r="C15" s="36"/>
      <c r="D15" s="37"/>
      <c r="E15" s="143"/>
      <c r="F15" s="144"/>
      <c r="G15" s="37"/>
      <c r="H15" s="35"/>
      <c r="I15" s="36"/>
      <c r="J15" s="37"/>
      <c r="K15" s="35"/>
      <c r="L15" s="36"/>
      <c r="M15" s="145"/>
    </row>
    <row r="16" spans="1:14" x14ac:dyDescent="0.25">
      <c r="A16" s="146" t="s">
        <v>157</v>
      </c>
      <c r="B16" s="147"/>
      <c r="C16" s="147"/>
      <c r="D16" s="147"/>
      <c r="E16" s="148"/>
      <c r="F16" s="149"/>
      <c r="G16" s="149"/>
      <c r="H16" s="150"/>
      <c r="I16" s="150"/>
      <c r="J16" s="151"/>
      <c r="K16" s="150"/>
      <c r="L16" s="150"/>
      <c r="M16" s="152"/>
    </row>
    <row r="17" spans="1:16" x14ac:dyDescent="0.25">
      <c r="A17" s="153" t="s">
        <v>158</v>
      </c>
      <c r="B17" s="29">
        <v>75.7</v>
      </c>
      <c r="C17" s="29">
        <v>92.3</v>
      </c>
      <c r="D17" s="29">
        <v>472.2</v>
      </c>
      <c r="E17" s="29">
        <v>285</v>
      </c>
      <c r="F17" s="29">
        <v>261.5</v>
      </c>
      <c r="G17" s="9">
        <v>579</v>
      </c>
      <c r="H17" s="28">
        <v>467</v>
      </c>
      <c r="I17" s="28">
        <v>116</v>
      </c>
      <c r="J17" s="28">
        <v>149.1</v>
      </c>
      <c r="K17" s="28"/>
      <c r="L17" s="28"/>
      <c r="M17" s="136"/>
    </row>
    <row r="18" spans="1:16" x14ac:dyDescent="0.25">
      <c r="A18" s="153" t="s">
        <v>153</v>
      </c>
      <c r="B18" s="162">
        <v>70</v>
      </c>
      <c r="C18" s="162">
        <v>95</v>
      </c>
      <c r="D18" s="162">
        <v>160</v>
      </c>
      <c r="E18" s="162">
        <v>140</v>
      </c>
      <c r="F18" s="162">
        <v>120</v>
      </c>
      <c r="G18" s="162">
        <v>140</v>
      </c>
      <c r="H18" s="162">
        <v>200</v>
      </c>
      <c r="I18" s="162">
        <v>115</v>
      </c>
      <c r="J18" s="162">
        <v>40</v>
      </c>
      <c r="K18" s="162"/>
      <c r="L18" s="162"/>
      <c r="M18" s="162"/>
    </row>
    <row r="19" spans="1:16" x14ac:dyDescent="0.25">
      <c r="A19" s="153" t="s">
        <v>154</v>
      </c>
      <c r="B19" s="165">
        <v>5.18</v>
      </c>
      <c r="C19" s="165">
        <v>5.42</v>
      </c>
      <c r="D19" s="162">
        <v>29.35</v>
      </c>
      <c r="E19" s="214">
        <v>20.49</v>
      </c>
      <c r="F19" s="162">
        <v>26.49</v>
      </c>
      <c r="G19" s="162">
        <v>36</v>
      </c>
      <c r="H19" s="162">
        <v>36.700000000000003</v>
      </c>
      <c r="I19" s="167">
        <v>12</v>
      </c>
      <c r="J19" s="167">
        <v>11.06</v>
      </c>
      <c r="K19" s="162"/>
      <c r="L19" s="162"/>
      <c r="M19" s="162"/>
    </row>
    <row r="20" spans="1:16" ht="14.45" customHeight="1" x14ac:dyDescent="0.25">
      <c r="A20" s="135" t="s">
        <v>155</v>
      </c>
      <c r="B20" s="686">
        <f>SUM(B18:D18)</f>
        <v>325</v>
      </c>
      <c r="C20" s="623"/>
      <c r="D20" s="683"/>
      <c r="E20" s="686">
        <f>SUM(E18:G18)</f>
        <v>400</v>
      </c>
      <c r="F20" s="623"/>
      <c r="G20" s="683"/>
      <c r="H20" s="686">
        <f>SUM(H18:J18)</f>
        <v>355</v>
      </c>
      <c r="I20" s="623"/>
      <c r="J20" s="683"/>
      <c r="K20" s="686">
        <f>SUM(K18:M18)</f>
        <v>0</v>
      </c>
      <c r="L20" s="623"/>
      <c r="M20" s="683"/>
    </row>
    <row r="21" spans="1:16" x14ac:dyDescent="0.25">
      <c r="A21" s="154"/>
      <c r="B21" s="155"/>
      <c r="C21" s="155"/>
      <c r="D21" s="155"/>
      <c r="E21" s="156"/>
      <c r="F21" s="155"/>
      <c r="G21" s="155"/>
      <c r="H21" s="155"/>
      <c r="I21" s="155"/>
      <c r="J21" s="155"/>
      <c r="K21" s="157"/>
      <c r="L21" s="157"/>
      <c r="M21" s="158"/>
      <c r="P21" s="39"/>
    </row>
    <row r="23" spans="1:16" x14ac:dyDescent="0.25">
      <c r="L23"/>
    </row>
    <row r="24" spans="1:16" x14ac:dyDescent="0.25">
      <c r="B24" s="38"/>
    </row>
  </sheetData>
  <mergeCells count="13">
    <mergeCell ref="K20:M20"/>
    <mergeCell ref="E20:G20"/>
    <mergeCell ref="B20:D20"/>
    <mergeCell ref="H20:J20"/>
    <mergeCell ref="K8:M8"/>
    <mergeCell ref="B14:D14"/>
    <mergeCell ref="A1:M1"/>
    <mergeCell ref="E14:G14"/>
    <mergeCell ref="H14:J14"/>
    <mergeCell ref="B8:D8"/>
    <mergeCell ref="K14:M14"/>
    <mergeCell ref="E8:G8"/>
    <mergeCell ref="H8:J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35"/>
  <sheetViews>
    <sheetView workbookViewId="0"/>
  </sheetViews>
  <sheetFormatPr defaultColWidth="9.140625" defaultRowHeight="15" x14ac:dyDescent="0.25"/>
  <cols>
    <col min="1" max="1" width="18" style="6" customWidth="1"/>
    <col min="2" max="2" width="6.28515625" style="6" customWidth="1"/>
    <col min="3" max="3" width="25.5703125" style="6" customWidth="1"/>
    <col min="4" max="4" width="11" style="3" customWidth="1"/>
    <col min="5" max="6" width="10.5703125" style="3" customWidth="1"/>
    <col min="7" max="7" width="11.42578125" style="3" customWidth="1"/>
    <col min="8" max="8" width="11.140625" style="3" customWidth="1"/>
    <col min="9" max="9" width="14.28515625" style="3" customWidth="1"/>
    <col min="10" max="10" width="16" style="3" customWidth="1"/>
    <col min="11" max="11" width="12.5703125" style="3" customWidth="1"/>
    <col min="12" max="12" width="10.7109375" style="3" customWidth="1"/>
    <col min="13" max="13" width="11.140625" style="3" customWidth="1"/>
    <col min="14" max="14" width="9.140625" style="3" customWidth="1"/>
    <col min="15" max="15" width="12" style="3" customWidth="1"/>
    <col min="16" max="21" width="9.140625" style="3" customWidth="1"/>
    <col min="22" max="22" width="12.42578125" style="3" customWidth="1"/>
    <col min="23" max="23" width="11.42578125" style="3" customWidth="1"/>
    <col min="24" max="24" width="13.5703125" style="3" customWidth="1"/>
    <col min="25" max="25" width="9.140625" style="6" customWidth="1"/>
    <col min="26" max="16384" width="9.140625" style="6"/>
  </cols>
  <sheetData>
    <row r="1" spans="1:24" ht="27" customHeight="1" x14ac:dyDescent="0.25">
      <c r="A1" s="703" t="s">
        <v>159</v>
      </c>
      <c r="B1" s="547"/>
      <c r="C1" s="690"/>
      <c r="D1" s="696" t="s">
        <v>160</v>
      </c>
      <c r="E1" s="623"/>
      <c r="F1" s="623"/>
      <c r="G1" s="636"/>
      <c r="H1" s="691" t="s">
        <v>161</v>
      </c>
      <c r="I1" s="623"/>
      <c r="J1" s="623"/>
      <c r="K1" s="623"/>
      <c r="L1" s="623"/>
      <c r="M1" s="623"/>
      <c r="N1" s="623"/>
      <c r="O1" s="623"/>
      <c r="P1" s="623"/>
      <c r="Q1" s="623"/>
      <c r="R1" s="623"/>
      <c r="S1" s="623"/>
      <c r="T1" s="623"/>
      <c r="U1" s="636"/>
      <c r="V1" s="708" t="s">
        <v>162</v>
      </c>
      <c r="W1" s="623"/>
      <c r="X1" s="636"/>
    </row>
    <row r="2" spans="1:24" s="10" customFormat="1" ht="32.25" customHeight="1" x14ac:dyDescent="0.25">
      <c r="A2" s="694" t="s">
        <v>163</v>
      </c>
      <c r="B2" s="547"/>
      <c r="C2" s="690"/>
      <c r="D2" s="49" t="s">
        <v>164</v>
      </c>
      <c r="E2" s="49" t="s">
        <v>165</v>
      </c>
      <c r="F2" s="49" t="s">
        <v>166</v>
      </c>
      <c r="G2" s="49" t="s">
        <v>167</v>
      </c>
      <c r="H2" s="49" t="s">
        <v>168</v>
      </c>
      <c r="I2" s="49" t="s">
        <v>169</v>
      </c>
      <c r="J2" s="49" t="s">
        <v>170</v>
      </c>
      <c r="K2" s="49" t="s">
        <v>171</v>
      </c>
      <c r="L2" s="49" t="s">
        <v>172</v>
      </c>
      <c r="M2" s="49" t="s">
        <v>173</v>
      </c>
      <c r="N2" s="49" t="s">
        <v>174</v>
      </c>
      <c r="O2" s="49" t="s">
        <v>175</v>
      </c>
      <c r="P2" s="49" t="s">
        <v>176</v>
      </c>
      <c r="Q2" s="49" t="s">
        <v>177</v>
      </c>
      <c r="R2" s="49" t="s">
        <v>178</v>
      </c>
      <c r="S2" s="49" t="s">
        <v>179</v>
      </c>
      <c r="T2" s="49" t="s">
        <v>180</v>
      </c>
      <c r="U2" s="49" t="s">
        <v>181</v>
      </c>
      <c r="V2" s="49" t="s">
        <v>182</v>
      </c>
      <c r="W2" s="49" t="s">
        <v>183</v>
      </c>
      <c r="X2" s="49" t="s">
        <v>184</v>
      </c>
    </row>
    <row r="3" spans="1:24" s="3" customFormat="1" ht="17.25" customHeight="1" x14ac:dyDescent="0.25">
      <c r="A3" s="689" t="s">
        <v>185</v>
      </c>
      <c r="B3" s="547"/>
      <c r="C3" s="690"/>
      <c r="D3" s="50" t="s">
        <v>186</v>
      </c>
      <c r="E3" s="50" t="s">
        <v>187</v>
      </c>
      <c r="F3" s="50"/>
      <c r="G3" s="50" t="s">
        <v>188</v>
      </c>
      <c r="H3" s="51" t="s">
        <v>189</v>
      </c>
      <c r="I3" s="51" t="s">
        <v>189</v>
      </c>
      <c r="J3" s="51" t="s">
        <v>189</v>
      </c>
      <c r="K3" s="51" t="s">
        <v>189</v>
      </c>
      <c r="L3" s="51" t="s">
        <v>189</v>
      </c>
      <c r="M3" s="51" t="s">
        <v>189</v>
      </c>
      <c r="N3" s="52" t="s">
        <v>189</v>
      </c>
      <c r="O3" s="52" t="s">
        <v>189</v>
      </c>
      <c r="P3" s="52" t="s">
        <v>189</v>
      </c>
      <c r="Q3" s="52" t="s">
        <v>189</v>
      </c>
      <c r="R3" s="52" t="s">
        <v>189</v>
      </c>
      <c r="S3" s="52" t="s">
        <v>189</v>
      </c>
      <c r="T3" s="52" t="s">
        <v>189</v>
      </c>
      <c r="U3" s="52" t="s">
        <v>189</v>
      </c>
      <c r="V3" s="50" t="s">
        <v>190</v>
      </c>
      <c r="W3" s="50" t="s">
        <v>191</v>
      </c>
      <c r="X3" s="50"/>
    </row>
    <row r="4" spans="1:24" x14ac:dyDescent="0.25">
      <c r="A4" s="689" t="s">
        <v>192</v>
      </c>
      <c r="B4" s="547"/>
      <c r="C4" s="690"/>
      <c r="D4" s="53">
        <v>5</v>
      </c>
      <c r="E4" s="53">
        <v>1</v>
      </c>
      <c r="F4" s="53" t="s">
        <v>193</v>
      </c>
      <c r="G4" s="53" t="s">
        <v>194</v>
      </c>
      <c r="H4" s="53">
        <v>500</v>
      </c>
      <c r="I4" s="53">
        <v>200</v>
      </c>
      <c r="J4" s="53" t="s">
        <v>195</v>
      </c>
      <c r="K4" s="53">
        <v>200</v>
      </c>
      <c r="L4" s="53">
        <v>75</v>
      </c>
      <c r="M4" s="53">
        <v>30</v>
      </c>
      <c r="N4" s="53" t="s">
        <v>195</v>
      </c>
      <c r="O4" s="53" t="s">
        <v>195</v>
      </c>
      <c r="P4" s="53">
        <v>250</v>
      </c>
      <c r="Q4" s="53">
        <v>200</v>
      </c>
      <c r="R4" s="53">
        <v>45</v>
      </c>
      <c r="S4" s="54">
        <v>1</v>
      </c>
      <c r="T4" s="53">
        <v>0.3</v>
      </c>
      <c r="U4" s="55" t="s">
        <v>196</v>
      </c>
      <c r="V4" s="53" t="s">
        <v>195</v>
      </c>
      <c r="W4" s="53" t="s">
        <v>197</v>
      </c>
      <c r="X4" s="56" t="s">
        <v>198</v>
      </c>
    </row>
    <row r="5" spans="1:24" ht="18.75" customHeight="1" x14ac:dyDescent="0.25">
      <c r="A5" s="692" t="s">
        <v>85</v>
      </c>
      <c r="B5" s="687" t="s">
        <v>199</v>
      </c>
      <c r="C5" s="11" t="s">
        <v>200</v>
      </c>
      <c r="D5" s="1">
        <v>3</v>
      </c>
      <c r="E5" s="13" t="s">
        <v>201</v>
      </c>
      <c r="F5" s="1">
        <v>7.22</v>
      </c>
      <c r="G5" s="1" t="s">
        <v>202</v>
      </c>
      <c r="H5" s="1">
        <v>50</v>
      </c>
      <c r="I5" s="1">
        <v>10</v>
      </c>
      <c r="J5" s="1">
        <v>8</v>
      </c>
      <c r="K5" s="1"/>
      <c r="L5" s="1">
        <v>8.4</v>
      </c>
      <c r="M5" s="1"/>
      <c r="N5" s="1"/>
      <c r="O5" s="1"/>
      <c r="P5" s="1">
        <v>11.5</v>
      </c>
      <c r="Q5" s="1">
        <v>1.1299999999999999</v>
      </c>
      <c r="R5" s="1">
        <v>1.22</v>
      </c>
      <c r="S5" s="1" t="s">
        <v>203</v>
      </c>
      <c r="T5" s="1">
        <v>0.06</v>
      </c>
      <c r="U5" s="1"/>
      <c r="V5" s="1" t="s">
        <v>204</v>
      </c>
      <c r="W5" s="1" t="s">
        <v>204</v>
      </c>
      <c r="X5" s="1" t="s">
        <v>204</v>
      </c>
    </row>
    <row r="6" spans="1:24" ht="18.75" customHeight="1" x14ac:dyDescent="0.25">
      <c r="A6" s="651"/>
      <c r="B6" s="652"/>
      <c r="C6" s="11" t="s">
        <v>205</v>
      </c>
      <c r="D6" s="1">
        <v>3</v>
      </c>
      <c r="E6" s="13" t="s">
        <v>201</v>
      </c>
      <c r="F6" s="1">
        <v>7.13</v>
      </c>
      <c r="G6" s="1"/>
      <c r="H6" s="1">
        <v>55</v>
      </c>
      <c r="I6" s="1">
        <v>14</v>
      </c>
      <c r="J6" s="1">
        <v>10</v>
      </c>
      <c r="K6" s="1"/>
      <c r="L6" s="1">
        <v>10.5</v>
      </c>
      <c r="M6" s="1"/>
      <c r="N6" s="1"/>
      <c r="O6" s="1"/>
      <c r="P6" s="1">
        <v>12</v>
      </c>
      <c r="Q6" s="1">
        <v>1.17</v>
      </c>
      <c r="R6" s="1">
        <v>1.3</v>
      </c>
      <c r="S6" s="1" t="s">
        <v>203</v>
      </c>
      <c r="T6" s="1">
        <v>0.1</v>
      </c>
      <c r="U6" s="1"/>
      <c r="V6" s="1" t="s">
        <v>204</v>
      </c>
      <c r="W6" s="1" t="s">
        <v>204</v>
      </c>
      <c r="X6" s="1" t="s">
        <v>204</v>
      </c>
    </row>
    <row r="7" spans="1:24" ht="18.75" customHeight="1" x14ac:dyDescent="0.25">
      <c r="A7" s="651"/>
      <c r="B7" s="687" t="s">
        <v>206</v>
      </c>
      <c r="C7" s="11" t="s">
        <v>200</v>
      </c>
      <c r="D7" s="13">
        <v>3</v>
      </c>
      <c r="E7" s="13" t="s">
        <v>201</v>
      </c>
      <c r="F7" s="1">
        <v>6.87</v>
      </c>
      <c r="G7" s="1"/>
      <c r="H7" s="1">
        <v>85</v>
      </c>
      <c r="I7" s="1">
        <v>18</v>
      </c>
      <c r="J7" s="1">
        <v>12</v>
      </c>
      <c r="K7" s="1"/>
      <c r="L7" s="1">
        <v>12.6</v>
      </c>
      <c r="M7" s="1"/>
      <c r="N7" s="1"/>
      <c r="O7" s="1"/>
      <c r="P7" s="1">
        <v>27.5</v>
      </c>
      <c r="Q7" s="1">
        <v>1.85</v>
      </c>
      <c r="R7" s="1">
        <v>1.7</v>
      </c>
      <c r="S7" s="1" t="s">
        <v>203</v>
      </c>
      <c r="T7" s="1">
        <v>0.1</v>
      </c>
      <c r="U7" s="1"/>
      <c r="V7" s="1" t="s">
        <v>204</v>
      </c>
      <c r="W7" s="1" t="s">
        <v>204</v>
      </c>
      <c r="X7" s="1" t="s">
        <v>204</v>
      </c>
    </row>
    <row r="8" spans="1:24" ht="18.75" customHeight="1" x14ac:dyDescent="0.25">
      <c r="A8" s="651"/>
      <c r="B8" s="652"/>
      <c r="C8" s="11" t="s">
        <v>205</v>
      </c>
      <c r="D8" s="1">
        <v>3</v>
      </c>
      <c r="E8" s="13" t="s">
        <v>201</v>
      </c>
      <c r="F8" s="1">
        <v>6.9</v>
      </c>
      <c r="G8" s="1"/>
      <c r="H8" s="1">
        <v>80</v>
      </c>
      <c r="I8" s="1">
        <v>18</v>
      </c>
      <c r="J8" s="1">
        <v>12</v>
      </c>
      <c r="K8" s="1"/>
      <c r="L8" s="1">
        <v>12.6</v>
      </c>
      <c r="M8" s="1"/>
      <c r="N8" s="1"/>
      <c r="O8" s="1"/>
      <c r="P8" s="1">
        <v>24</v>
      </c>
      <c r="Q8" s="1">
        <v>1.8</v>
      </c>
      <c r="R8" s="1">
        <v>1.68</v>
      </c>
      <c r="S8" s="1" t="s">
        <v>203</v>
      </c>
      <c r="T8" s="1">
        <v>0.1</v>
      </c>
      <c r="U8" s="1"/>
      <c r="V8" s="1" t="s">
        <v>204</v>
      </c>
      <c r="W8" s="1" t="s">
        <v>204</v>
      </c>
      <c r="X8" s="1" t="s">
        <v>204</v>
      </c>
    </row>
    <row r="9" spans="1:24" ht="18.75" customHeight="1" x14ac:dyDescent="0.25">
      <c r="A9" s="651"/>
      <c r="B9" s="687" t="s">
        <v>207</v>
      </c>
      <c r="C9" s="11" t="s">
        <v>200</v>
      </c>
      <c r="D9" s="1"/>
      <c r="E9" s="13"/>
      <c r="F9" s="1"/>
      <c r="G9" s="1"/>
      <c r="H9" s="1"/>
      <c r="I9" s="1"/>
      <c r="J9" s="1"/>
      <c r="K9" s="1"/>
      <c r="L9" s="1"/>
      <c r="M9" s="1"/>
      <c r="N9" s="1"/>
      <c r="O9" s="1"/>
      <c r="P9" s="1"/>
      <c r="Q9" s="1"/>
      <c r="R9" s="1"/>
      <c r="S9" s="1"/>
      <c r="T9" s="1"/>
      <c r="U9" s="1"/>
      <c r="V9" s="1"/>
      <c r="W9" s="1"/>
      <c r="X9" s="1"/>
    </row>
    <row r="10" spans="1:24" ht="18.75" customHeight="1" x14ac:dyDescent="0.25">
      <c r="A10" s="651"/>
      <c r="B10" s="652"/>
      <c r="C10" s="11" t="s">
        <v>205</v>
      </c>
      <c r="D10" s="13"/>
      <c r="E10" s="13"/>
      <c r="F10" s="1"/>
      <c r="G10" s="1"/>
      <c r="H10" s="1"/>
      <c r="I10" s="1"/>
      <c r="J10" s="1"/>
      <c r="K10" s="1"/>
      <c r="L10" s="1"/>
      <c r="M10" s="1"/>
      <c r="N10" s="1"/>
      <c r="O10" s="1"/>
      <c r="P10" s="1"/>
      <c r="Q10" s="1"/>
      <c r="R10" s="1"/>
      <c r="S10" s="1"/>
      <c r="T10" s="1"/>
      <c r="U10" s="1"/>
      <c r="V10" s="1"/>
      <c r="W10" s="1"/>
      <c r="X10" s="1"/>
    </row>
    <row r="11" spans="1:24" ht="18.75" customHeight="1" x14ac:dyDescent="0.25">
      <c r="A11" s="651"/>
      <c r="B11" s="687" t="s">
        <v>208</v>
      </c>
      <c r="C11" s="11" t="s">
        <v>200</v>
      </c>
      <c r="D11" s="1"/>
      <c r="E11" s="13"/>
      <c r="F11" s="1"/>
      <c r="G11" s="1"/>
      <c r="H11" s="1"/>
      <c r="I11" s="1"/>
      <c r="J11" s="1"/>
      <c r="K11" s="1"/>
      <c r="L11" s="1"/>
      <c r="M11" s="1"/>
      <c r="N11" s="1"/>
      <c r="O11" s="1"/>
      <c r="P11" s="1"/>
      <c r="Q11" s="1"/>
      <c r="R11" s="1"/>
      <c r="S11" s="1"/>
      <c r="T11" s="1"/>
      <c r="U11" s="1"/>
      <c r="V11" s="1"/>
      <c r="W11" s="1"/>
      <c r="X11" s="1"/>
    </row>
    <row r="12" spans="1:24" ht="18.75" customHeight="1" x14ac:dyDescent="0.25">
      <c r="A12" s="652"/>
      <c r="B12" s="652"/>
      <c r="C12" s="11" t="s">
        <v>205</v>
      </c>
      <c r="D12" s="1"/>
      <c r="E12" s="13"/>
      <c r="F12" s="1"/>
      <c r="G12" s="1"/>
      <c r="H12" s="1"/>
      <c r="I12" s="1"/>
      <c r="J12" s="1"/>
      <c r="K12" s="1"/>
      <c r="L12" s="1"/>
      <c r="M12" s="1"/>
      <c r="N12" s="1"/>
      <c r="O12" s="1"/>
      <c r="P12" s="1"/>
      <c r="Q12" s="1"/>
      <c r="R12" s="1"/>
      <c r="S12" s="1"/>
      <c r="T12" s="1"/>
      <c r="U12" s="1"/>
      <c r="V12" s="1"/>
      <c r="W12" s="1"/>
      <c r="X12" s="1"/>
    </row>
    <row r="13" spans="1:24" ht="18.75" customHeight="1" x14ac:dyDescent="0.25">
      <c r="A13" s="693" t="s">
        <v>91</v>
      </c>
      <c r="B13" s="688" t="s">
        <v>199</v>
      </c>
      <c r="C13" s="59" t="s">
        <v>200</v>
      </c>
      <c r="D13" s="58">
        <v>3</v>
      </c>
      <c r="E13" s="58" t="s">
        <v>201</v>
      </c>
      <c r="F13" s="58">
        <v>7.16</v>
      </c>
      <c r="G13" s="58"/>
      <c r="H13" s="58">
        <v>86</v>
      </c>
      <c r="I13" s="58">
        <v>26</v>
      </c>
      <c r="J13" s="58">
        <v>16</v>
      </c>
      <c r="K13" s="58"/>
      <c r="L13" s="58">
        <v>16.8</v>
      </c>
      <c r="M13" s="58"/>
      <c r="N13" s="58"/>
      <c r="O13" s="58"/>
      <c r="P13" s="58">
        <v>15</v>
      </c>
      <c r="Q13" s="58">
        <v>1.72</v>
      </c>
      <c r="R13" s="58">
        <v>1.4</v>
      </c>
      <c r="S13" s="58" t="s">
        <v>203</v>
      </c>
      <c r="T13" s="58">
        <v>0.1</v>
      </c>
      <c r="U13" s="58"/>
      <c r="V13" s="58" t="s">
        <v>209</v>
      </c>
      <c r="W13" s="58" t="s">
        <v>209</v>
      </c>
      <c r="X13" s="58" t="s">
        <v>209</v>
      </c>
    </row>
    <row r="14" spans="1:24" ht="18.75" customHeight="1" x14ac:dyDescent="0.25">
      <c r="A14" s="651"/>
      <c r="B14" s="652"/>
      <c r="C14" s="59" t="s">
        <v>205</v>
      </c>
      <c r="D14" s="58">
        <v>3</v>
      </c>
      <c r="E14" s="58" t="s">
        <v>201</v>
      </c>
      <c r="F14" s="58">
        <v>7.14</v>
      </c>
      <c r="G14" s="58"/>
      <c r="H14" s="58">
        <v>84</v>
      </c>
      <c r="I14" s="58">
        <v>18</v>
      </c>
      <c r="J14" s="58">
        <v>12</v>
      </c>
      <c r="K14" s="58"/>
      <c r="L14" s="58">
        <v>12.6</v>
      </c>
      <c r="M14" s="58"/>
      <c r="N14" s="58"/>
      <c r="O14" s="58"/>
      <c r="P14" s="58">
        <v>14</v>
      </c>
      <c r="Q14" s="58">
        <v>1.6</v>
      </c>
      <c r="R14" s="58">
        <v>1.4</v>
      </c>
      <c r="S14" s="58" t="s">
        <v>203</v>
      </c>
      <c r="T14" s="58">
        <v>0.1</v>
      </c>
      <c r="U14" s="58"/>
      <c r="V14" s="58" t="s">
        <v>209</v>
      </c>
      <c r="W14" s="58" t="s">
        <v>209</v>
      </c>
      <c r="X14" s="58" t="s">
        <v>209</v>
      </c>
    </row>
    <row r="15" spans="1:24" ht="18.75" customHeight="1" x14ac:dyDescent="0.25">
      <c r="A15" s="651"/>
      <c r="B15" s="688" t="s">
        <v>206</v>
      </c>
      <c r="C15" s="59" t="s">
        <v>200</v>
      </c>
      <c r="D15" s="58">
        <v>3</v>
      </c>
      <c r="E15" s="58" t="s">
        <v>201</v>
      </c>
      <c r="F15" s="58">
        <v>6.8</v>
      </c>
      <c r="G15" s="58"/>
      <c r="H15" s="58">
        <v>90</v>
      </c>
      <c r="I15" s="58">
        <v>22</v>
      </c>
      <c r="J15" s="58">
        <v>14</v>
      </c>
      <c r="K15" s="58"/>
      <c r="L15" s="58">
        <v>14.7</v>
      </c>
      <c r="M15" s="58"/>
      <c r="N15" s="58"/>
      <c r="O15" s="58"/>
      <c r="P15" s="58">
        <v>35</v>
      </c>
      <c r="Q15" s="58">
        <v>1.85</v>
      </c>
      <c r="R15" s="58">
        <v>1.3</v>
      </c>
      <c r="S15" s="58" t="s">
        <v>203</v>
      </c>
      <c r="T15" s="58">
        <v>0.1</v>
      </c>
      <c r="U15" s="58"/>
      <c r="V15" s="58" t="s">
        <v>209</v>
      </c>
      <c r="W15" s="58" t="s">
        <v>209</v>
      </c>
      <c r="X15" s="58" t="s">
        <v>209</v>
      </c>
    </row>
    <row r="16" spans="1:24" ht="18.75" customHeight="1" x14ac:dyDescent="0.25">
      <c r="A16" s="651"/>
      <c r="B16" s="652"/>
      <c r="C16" s="59" t="s">
        <v>205</v>
      </c>
      <c r="D16" s="58">
        <v>3</v>
      </c>
      <c r="E16" s="58" t="s">
        <v>201</v>
      </c>
      <c r="F16" s="58">
        <v>6.78</v>
      </c>
      <c r="G16" s="58"/>
      <c r="H16" s="58">
        <v>80</v>
      </c>
      <c r="I16" s="58">
        <v>18</v>
      </c>
      <c r="J16" s="58">
        <v>12</v>
      </c>
      <c r="K16" s="58"/>
      <c r="L16" s="58">
        <v>12.6</v>
      </c>
      <c r="M16" s="58"/>
      <c r="N16" s="58"/>
      <c r="O16" s="58"/>
      <c r="P16" s="58">
        <v>35</v>
      </c>
      <c r="Q16" s="58">
        <v>1.8</v>
      </c>
      <c r="R16" s="58">
        <v>1.2</v>
      </c>
      <c r="S16" s="58" t="s">
        <v>203</v>
      </c>
      <c r="T16" s="58">
        <v>0.1</v>
      </c>
      <c r="U16" s="58"/>
      <c r="V16" s="58" t="s">
        <v>209</v>
      </c>
      <c r="W16" s="58" t="s">
        <v>209</v>
      </c>
      <c r="X16" s="58" t="s">
        <v>209</v>
      </c>
    </row>
    <row r="17" spans="1:24" ht="18.75" customHeight="1" x14ac:dyDescent="0.25">
      <c r="A17" s="651"/>
      <c r="B17" s="688" t="s">
        <v>207</v>
      </c>
      <c r="C17" s="59" t="s">
        <v>200</v>
      </c>
      <c r="D17" s="58"/>
      <c r="E17" s="58"/>
      <c r="F17" s="58"/>
      <c r="G17" s="58"/>
      <c r="H17" s="58"/>
      <c r="I17" s="58"/>
      <c r="J17" s="58"/>
      <c r="K17" s="58"/>
      <c r="L17" s="58"/>
      <c r="M17" s="58"/>
      <c r="N17" s="58"/>
      <c r="O17" s="58"/>
      <c r="P17" s="58"/>
      <c r="Q17" s="58"/>
      <c r="R17" s="58"/>
      <c r="S17" s="58"/>
      <c r="T17" s="58"/>
      <c r="U17" s="58"/>
      <c r="V17" s="58"/>
      <c r="W17" s="58"/>
      <c r="X17" s="58"/>
    </row>
    <row r="18" spans="1:24" ht="18.75" customHeight="1" x14ac:dyDescent="0.25">
      <c r="A18" s="651"/>
      <c r="B18" s="652"/>
      <c r="C18" s="59" t="s">
        <v>205</v>
      </c>
      <c r="D18" s="58"/>
      <c r="E18" s="58"/>
      <c r="F18" s="58"/>
      <c r="G18" s="58"/>
      <c r="H18" s="58"/>
      <c r="I18" s="58"/>
      <c r="J18" s="58"/>
      <c r="K18" s="58"/>
      <c r="L18" s="58"/>
      <c r="M18" s="58"/>
      <c r="N18" s="58"/>
      <c r="O18" s="58"/>
      <c r="P18" s="58"/>
      <c r="Q18" s="58"/>
      <c r="R18" s="58"/>
      <c r="S18" s="58"/>
      <c r="T18" s="58"/>
      <c r="U18" s="58"/>
      <c r="V18" s="58"/>
      <c r="W18" s="58"/>
      <c r="X18" s="58"/>
    </row>
    <row r="19" spans="1:24" ht="18.75" customHeight="1" x14ac:dyDescent="0.25">
      <c r="A19" s="651"/>
      <c r="B19" s="688" t="s">
        <v>208</v>
      </c>
      <c r="C19" s="59" t="s">
        <v>200</v>
      </c>
      <c r="D19" s="58"/>
      <c r="E19" s="58"/>
      <c r="F19" s="58"/>
      <c r="G19" s="58"/>
      <c r="H19" s="58"/>
      <c r="I19" s="58"/>
      <c r="J19" s="58"/>
      <c r="K19" s="58"/>
      <c r="L19" s="58"/>
      <c r="M19" s="58"/>
      <c r="N19" s="58"/>
      <c r="O19" s="58"/>
      <c r="P19" s="58"/>
      <c r="Q19" s="58"/>
      <c r="R19" s="58"/>
      <c r="S19" s="58"/>
      <c r="T19" s="58"/>
      <c r="U19" s="58"/>
      <c r="V19" s="58"/>
      <c r="W19" s="58"/>
      <c r="X19" s="58"/>
    </row>
    <row r="20" spans="1:24" ht="18.75" customHeight="1" x14ac:dyDescent="0.25">
      <c r="A20" s="652"/>
      <c r="B20" s="652"/>
      <c r="C20" s="59" t="s">
        <v>205</v>
      </c>
      <c r="D20" s="58"/>
      <c r="E20" s="58"/>
      <c r="F20" s="58"/>
      <c r="G20" s="58"/>
      <c r="H20" s="58"/>
      <c r="I20" s="58"/>
      <c r="J20" s="58"/>
      <c r="K20" s="58"/>
      <c r="L20" s="58"/>
      <c r="M20" s="58"/>
      <c r="N20" s="58"/>
      <c r="O20" s="58"/>
      <c r="P20" s="58"/>
      <c r="Q20" s="58"/>
      <c r="R20" s="58"/>
      <c r="S20" s="58"/>
      <c r="T20" s="58"/>
      <c r="U20" s="58"/>
      <c r="V20" s="58"/>
      <c r="W20" s="58"/>
      <c r="X20" s="58"/>
    </row>
    <row r="21" spans="1:24" ht="18.75" customHeight="1" x14ac:dyDescent="0.25">
      <c r="A21" s="692" t="s">
        <v>98</v>
      </c>
      <c r="B21" s="687" t="s">
        <v>199</v>
      </c>
      <c r="C21" s="11" t="s">
        <v>210</v>
      </c>
      <c r="D21" s="1">
        <v>2</v>
      </c>
      <c r="E21" s="1">
        <v>1.58</v>
      </c>
      <c r="F21" s="1">
        <v>7.78</v>
      </c>
      <c r="G21" s="1" t="s">
        <v>211</v>
      </c>
      <c r="H21" s="1">
        <v>918</v>
      </c>
      <c r="I21" s="1">
        <v>228</v>
      </c>
      <c r="J21" s="1">
        <v>296</v>
      </c>
      <c r="K21" s="1" t="s">
        <v>211</v>
      </c>
      <c r="L21" s="1">
        <v>62</v>
      </c>
      <c r="M21" s="1">
        <v>18</v>
      </c>
      <c r="N21" s="1" t="s">
        <v>211</v>
      </c>
      <c r="O21" s="1" t="s">
        <v>211</v>
      </c>
      <c r="P21" s="1">
        <v>272</v>
      </c>
      <c r="Q21" s="1">
        <v>70</v>
      </c>
      <c r="R21" s="1">
        <v>58.15</v>
      </c>
      <c r="S21" s="1">
        <v>1.99</v>
      </c>
      <c r="T21" s="1" t="s">
        <v>211</v>
      </c>
      <c r="U21" s="1" t="s">
        <v>211</v>
      </c>
      <c r="V21" s="1" t="s">
        <v>211</v>
      </c>
      <c r="W21" s="1" t="s">
        <v>211</v>
      </c>
      <c r="X21" s="1" t="s">
        <v>211</v>
      </c>
    </row>
    <row r="22" spans="1:24" ht="18.75" customHeight="1" x14ac:dyDescent="0.25">
      <c r="A22" s="651"/>
      <c r="B22" s="652"/>
      <c r="C22" s="11" t="s">
        <v>205</v>
      </c>
      <c r="D22" s="1">
        <v>1</v>
      </c>
      <c r="E22" s="1">
        <v>0.71</v>
      </c>
      <c r="F22" s="1">
        <v>7.83</v>
      </c>
      <c r="G22" s="1" t="s">
        <v>211</v>
      </c>
      <c r="H22" s="1">
        <v>310</v>
      </c>
      <c r="I22" s="1">
        <v>132</v>
      </c>
      <c r="J22" s="1">
        <v>84</v>
      </c>
      <c r="K22" s="1" t="s">
        <v>211</v>
      </c>
      <c r="L22" s="1">
        <v>34</v>
      </c>
      <c r="M22" s="1">
        <v>11</v>
      </c>
      <c r="N22" s="1" t="s">
        <v>211</v>
      </c>
      <c r="O22" s="1" t="s">
        <v>211</v>
      </c>
      <c r="P22" s="1">
        <v>64</v>
      </c>
      <c r="Q22" s="1">
        <v>15</v>
      </c>
      <c r="R22" s="1">
        <v>15.1</v>
      </c>
      <c r="S22" s="1">
        <v>0.18</v>
      </c>
      <c r="T22" s="1" t="s">
        <v>211</v>
      </c>
      <c r="U22" s="1" t="s">
        <v>211</v>
      </c>
      <c r="V22" s="1" t="s">
        <v>211</v>
      </c>
      <c r="W22" s="1" t="s">
        <v>211</v>
      </c>
      <c r="X22" s="1" t="s">
        <v>211</v>
      </c>
    </row>
    <row r="23" spans="1:24" ht="18.75" customHeight="1" x14ac:dyDescent="0.25">
      <c r="A23" s="651"/>
      <c r="B23" s="687" t="s">
        <v>206</v>
      </c>
      <c r="C23" s="11" t="s">
        <v>210</v>
      </c>
      <c r="D23" s="1">
        <v>2</v>
      </c>
      <c r="E23" s="1">
        <v>1.87</v>
      </c>
      <c r="F23" s="1">
        <v>7.52</v>
      </c>
      <c r="G23" s="1" t="s">
        <v>211</v>
      </c>
      <c r="H23" s="1">
        <v>1232</v>
      </c>
      <c r="I23" s="1">
        <v>480</v>
      </c>
      <c r="J23" s="1">
        <v>260</v>
      </c>
      <c r="K23" s="1" t="s">
        <v>211</v>
      </c>
      <c r="L23" s="1">
        <v>132</v>
      </c>
      <c r="M23" s="1">
        <v>36</v>
      </c>
      <c r="N23" s="1" t="s">
        <v>211</v>
      </c>
      <c r="O23" s="1" t="s">
        <v>211</v>
      </c>
      <c r="P23" s="1">
        <v>276</v>
      </c>
      <c r="Q23" s="1">
        <v>98</v>
      </c>
      <c r="R23" s="1">
        <v>150</v>
      </c>
      <c r="S23" s="1">
        <v>0.43</v>
      </c>
      <c r="T23" s="1" t="s">
        <v>211</v>
      </c>
      <c r="U23" s="1" t="s">
        <v>211</v>
      </c>
      <c r="V23" s="1" t="s">
        <v>211</v>
      </c>
      <c r="W23" s="1" t="s">
        <v>211</v>
      </c>
      <c r="X23" s="1" t="s">
        <v>211</v>
      </c>
    </row>
    <row r="24" spans="1:24" ht="18.75" customHeight="1" x14ac:dyDescent="0.25">
      <c r="A24" s="651"/>
      <c r="B24" s="652"/>
      <c r="C24" s="11" t="s">
        <v>205</v>
      </c>
      <c r="D24" s="1">
        <v>1</v>
      </c>
      <c r="E24" s="1">
        <v>1.23</v>
      </c>
      <c r="F24" s="1">
        <v>7.99</v>
      </c>
      <c r="G24" s="1" t="s">
        <v>211</v>
      </c>
      <c r="H24" s="1">
        <v>226</v>
      </c>
      <c r="I24" s="1">
        <v>76</v>
      </c>
      <c r="J24" s="1">
        <v>42</v>
      </c>
      <c r="K24" s="1" t="s">
        <v>211</v>
      </c>
      <c r="L24" s="1">
        <v>15</v>
      </c>
      <c r="M24" s="1">
        <v>9</v>
      </c>
      <c r="N24" s="1" t="s">
        <v>211</v>
      </c>
      <c r="O24" s="1" t="s">
        <v>211</v>
      </c>
      <c r="P24" s="1">
        <v>48</v>
      </c>
      <c r="Q24" s="1">
        <v>11</v>
      </c>
      <c r="R24" s="1">
        <v>56.9</v>
      </c>
      <c r="S24" s="1">
        <v>0.21</v>
      </c>
      <c r="T24" s="1" t="s">
        <v>211</v>
      </c>
      <c r="U24" s="1" t="s">
        <v>211</v>
      </c>
      <c r="V24" s="1" t="s">
        <v>211</v>
      </c>
      <c r="W24" s="1" t="s">
        <v>211</v>
      </c>
      <c r="X24" s="1" t="s">
        <v>211</v>
      </c>
    </row>
    <row r="25" spans="1:24" ht="18.75" customHeight="1" x14ac:dyDescent="0.25">
      <c r="A25" s="651"/>
      <c r="B25" s="687" t="s">
        <v>207</v>
      </c>
      <c r="C25" s="11" t="s">
        <v>210</v>
      </c>
      <c r="D25" s="1"/>
      <c r="E25" s="1"/>
      <c r="F25" s="1"/>
      <c r="G25" s="1"/>
      <c r="H25" s="1"/>
      <c r="I25" s="1"/>
      <c r="J25" s="1"/>
      <c r="K25" s="1"/>
      <c r="L25" s="1"/>
      <c r="M25" s="1"/>
      <c r="N25" s="1"/>
      <c r="O25" s="1"/>
      <c r="P25" s="1"/>
      <c r="Q25" s="1"/>
      <c r="R25" s="1"/>
      <c r="S25" s="1"/>
      <c r="T25" s="1"/>
      <c r="U25" s="1"/>
      <c r="V25" s="1"/>
      <c r="W25" s="1"/>
      <c r="X25" s="1"/>
    </row>
    <row r="26" spans="1:24" ht="18.75" customHeight="1" x14ac:dyDescent="0.25">
      <c r="A26" s="651"/>
      <c r="B26" s="652"/>
      <c r="C26" s="11" t="s">
        <v>205</v>
      </c>
      <c r="D26" s="1"/>
      <c r="E26" s="1"/>
      <c r="F26" s="1"/>
      <c r="G26" s="1"/>
      <c r="H26" s="1"/>
      <c r="I26" s="1"/>
      <c r="J26" s="1"/>
      <c r="K26" s="1"/>
      <c r="L26" s="1"/>
      <c r="M26" s="1"/>
      <c r="N26" s="1"/>
      <c r="O26" s="1"/>
      <c r="P26" s="1"/>
      <c r="Q26" s="1"/>
      <c r="R26" s="1"/>
      <c r="S26" s="1"/>
      <c r="T26" s="1"/>
      <c r="U26" s="1"/>
      <c r="V26" s="1"/>
      <c r="W26" s="1"/>
      <c r="X26" s="1"/>
    </row>
    <row r="27" spans="1:24" ht="18.75" customHeight="1" x14ac:dyDescent="0.25">
      <c r="A27" s="651"/>
      <c r="B27" s="687" t="s">
        <v>208</v>
      </c>
      <c r="C27" s="11" t="s">
        <v>210</v>
      </c>
      <c r="D27" s="1"/>
      <c r="E27" s="1"/>
      <c r="F27" s="1"/>
      <c r="G27" s="1"/>
      <c r="H27" s="1"/>
      <c r="I27" s="1"/>
      <c r="J27" s="1"/>
      <c r="K27" s="1"/>
      <c r="L27" s="1"/>
      <c r="M27" s="1"/>
      <c r="N27" s="1"/>
      <c r="O27" s="1"/>
      <c r="P27" s="1"/>
      <c r="Q27" s="1"/>
      <c r="R27" s="1"/>
      <c r="S27" s="1"/>
      <c r="T27" s="1"/>
      <c r="U27" s="1"/>
      <c r="V27" s="1"/>
      <c r="W27" s="1"/>
      <c r="X27" s="1"/>
    </row>
    <row r="28" spans="1:24" ht="18.75" customHeight="1" x14ac:dyDescent="0.25">
      <c r="A28" s="652"/>
      <c r="B28" s="652"/>
      <c r="C28" s="11" t="s">
        <v>205</v>
      </c>
      <c r="D28" s="1"/>
      <c r="E28" s="1"/>
      <c r="F28" s="1"/>
      <c r="G28" s="1"/>
      <c r="H28" s="1"/>
      <c r="I28" s="1"/>
      <c r="J28" s="1"/>
      <c r="K28" s="1"/>
      <c r="L28" s="1"/>
      <c r="M28" s="1"/>
      <c r="N28" s="1"/>
      <c r="O28" s="1"/>
      <c r="P28" s="1"/>
      <c r="Q28" s="1"/>
      <c r="R28" s="1"/>
      <c r="S28" s="1"/>
      <c r="T28" s="1"/>
      <c r="U28" s="1"/>
      <c r="V28" s="1"/>
      <c r="W28" s="1"/>
      <c r="X28" s="1"/>
    </row>
    <row r="29" spans="1:24" ht="18.75" customHeight="1" x14ac:dyDescent="0.25">
      <c r="A29" s="693" t="s">
        <v>100</v>
      </c>
      <c r="B29" s="688" t="s">
        <v>199</v>
      </c>
      <c r="C29" s="59" t="s">
        <v>200</v>
      </c>
      <c r="D29" s="58"/>
      <c r="E29" s="58"/>
      <c r="F29" s="58"/>
      <c r="G29" s="58"/>
      <c r="H29" s="58"/>
      <c r="I29" s="58"/>
      <c r="J29" s="58"/>
      <c r="K29" s="58"/>
      <c r="L29" s="58"/>
      <c r="M29" s="58"/>
      <c r="N29" s="58"/>
      <c r="O29" s="58"/>
      <c r="P29" s="58"/>
      <c r="Q29" s="58"/>
      <c r="R29" s="58"/>
      <c r="S29" s="58"/>
      <c r="T29" s="58"/>
      <c r="U29" s="58"/>
      <c r="V29" s="58"/>
      <c r="W29" s="58"/>
      <c r="X29" s="58"/>
    </row>
    <row r="30" spans="1:24" ht="18.75" customHeight="1" x14ac:dyDescent="0.25">
      <c r="A30" s="651"/>
      <c r="B30" s="652"/>
      <c r="C30" s="59" t="s">
        <v>205</v>
      </c>
      <c r="D30" s="58"/>
      <c r="E30" s="58"/>
      <c r="F30" s="58"/>
      <c r="G30" s="58"/>
      <c r="H30" s="58"/>
      <c r="I30" s="58"/>
      <c r="J30" s="58"/>
      <c r="K30" s="58"/>
      <c r="L30" s="58"/>
      <c r="M30" s="58"/>
      <c r="N30" s="58"/>
      <c r="O30" s="58"/>
      <c r="P30" s="58"/>
      <c r="Q30" s="58"/>
      <c r="R30" s="58"/>
      <c r="S30" s="58"/>
      <c r="T30" s="58"/>
      <c r="U30" s="58"/>
      <c r="V30" s="58"/>
      <c r="W30" s="58"/>
      <c r="X30" s="58"/>
    </row>
    <row r="31" spans="1:24" ht="18.75" customHeight="1" x14ac:dyDescent="0.25">
      <c r="A31" s="651"/>
      <c r="B31" s="688" t="s">
        <v>206</v>
      </c>
      <c r="C31" s="59" t="s">
        <v>200</v>
      </c>
      <c r="D31" s="58"/>
      <c r="E31" s="58"/>
      <c r="F31" s="58"/>
      <c r="G31" s="58"/>
      <c r="H31" s="58"/>
      <c r="I31" s="58"/>
      <c r="J31" s="58"/>
      <c r="K31" s="58"/>
      <c r="L31" s="58"/>
      <c r="M31" s="58"/>
      <c r="N31" s="58"/>
      <c r="O31" s="58"/>
      <c r="P31" s="58"/>
      <c r="Q31" s="58"/>
      <c r="R31" s="58"/>
      <c r="S31" s="58"/>
      <c r="T31" s="58"/>
      <c r="U31" s="58"/>
      <c r="V31" s="58"/>
      <c r="W31" s="58"/>
      <c r="X31" s="58"/>
    </row>
    <row r="32" spans="1:24" ht="18.75" customHeight="1" x14ac:dyDescent="0.25">
      <c r="A32" s="651"/>
      <c r="B32" s="652"/>
      <c r="C32" s="59" t="s">
        <v>205</v>
      </c>
      <c r="D32" s="58"/>
      <c r="E32" s="58"/>
      <c r="F32" s="58"/>
      <c r="G32" s="58"/>
      <c r="H32" s="58"/>
      <c r="I32" s="58"/>
      <c r="J32" s="58"/>
      <c r="K32" s="58"/>
      <c r="L32" s="58"/>
      <c r="M32" s="58"/>
      <c r="N32" s="58"/>
      <c r="O32" s="58"/>
      <c r="P32" s="58"/>
      <c r="Q32" s="58"/>
      <c r="R32" s="58"/>
      <c r="S32" s="58"/>
      <c r="T32" s="58"/>
      <c r="U32" s="58"/>
      <c r="V32" s="58"/>
      <c r="W32" s="58"/>
      <c r="X32" s="58"/>
    </row>
    <row r="33" spans="1:24" ht="18.75" customHeight="1" x14ac:dyDescent="0.25">
      <c r="A33" s="651"/>
      <c r="B33" s="688" t="s">
        <v>207</v>
      </c>
      <c r="C33" s="59" t="s">
        <v>212</v>
      </c>
      <c r="D33" s="58"/>
      <c r="E33" s="58"/>
      <c r="F33" s="58"/>
      <c r="G33" s="58"/>
      <c r="H33" s="58"/>
      <c r="I33" s="58"/>
      <c r="J33" s="58"/>
      <c r="K33" s="58"/>
      <c r="L33" s="58"/>
      <c r="M33" s="58"/>
      <c r="N33" s="58"/>
      <c r="O33" s="58"/>
      <c r="P33" s="58"/>
      <c r="Q33" s="58"/>
      <c r="R33" s="58"/>
      <c r="S33" s="58"/>
      <c r="T33" s="58"/>
      <c r="U33" s="58"/>
      <c r="V33" s="58"/>
      <c r="W33" s="58"/>
      <c r="X33" s="58"/>
    </row>
    <row r="34" spans="1:24" ht="18.75" customHeight="1" x14ac:dyDescent="0.25">
      <c r="A34" s="651"/>
      <c r="B34" s="652"/>
      <c r="C34" s="59" t="s">
        <v>205</v>
      </c>
      <c r="D34" s="58"/>
      <c r="E34" s="58"/>
      <c r="F34" s="58"/>
      <c r="G34" s="58"/>
      <c r="H34" s="58"/>
      <c r="I34" s="58"/>
      <c r="J34" s="58"/>
      <c r="K34" s="58"/>
      <c r="L34" s="58"/>
      <c r="M34" s="58"/>
      <c r="N34" s="58"/>
      <c r="O34" s="58"/>
      <c r="P34" s="58"/>
      <c r="Q34" s="58"/>
      <c r="R34" s="58"/>
      <c r="S34" s="58"/>
      <c r="T34" s="58"/>
      <c r="U34" s="58"/>
      <c r="V34" s="58"/>
      <c r="W34" s="58"/>
      <c r="X34" s="58"/>
    </row>
    <row r="35" spans="1:24" ht="18.75" customHeight="1" x14ac:dyDescent="0.25">
      <c r="A35" s="651"/>
      <c r="B35" s="688" t="s">
        <v>208</v>
      </c>
      <c r="C35" s="59" t="s">
        <v>200</v>
      </c>
      <c r="D35" s="58"/>
      <c r="E35" s="58"/>
      <c r="F35" s="58"/>
      <c r="G35" s="58"/>
      <c r="H35" s="58"/>
      <c r="I35" s="58"/>
      <c r="J35" s="58"/>
      <c r="K35" s="58"/>
      <c r="L35" s="58"/>
      <c r="M35" s="58"/>
      <c r="N35" s="58"/>
      <c r="O35" s="58"/>
      <c r="P35" s="58"/>
      <c r="Q35" s="58"/>
      <c r="R35" s="58"/>
      <c r="S35" s="58"/>
      <c r="T35" s="58"/>
      <c r="U35" s="58"/>
      <c r="V35" s="58"/>
      <c r="W35" s="58"/>
      <c r="X35" s="58"/>
    </row>
    <row r="36" spans="1:24" ht="18.75" customHeight="1" x14ac:dyDescent="0.25">
      <c r="A36" s="652"/>
      <c r="B36" s="652"/>
      <c r="C36" s="59" t="s">
        <v>205</v>
      </c>
      <c r="D36" s="58"/>
      <c r="E36" s="58"/>
      <c r="F36" s="58"/>
      <c r="G36" s="58"/>
      <c r="H36" s="58"/>
      <c r="I36" s="58"/>
      <c r="J36" s="58"/>
      <c r="K36" s="58"/>
      <c r="L36" s="58"/>
      <c r="M36" s="58"/>
      <c r="N36" s="58"/>
      <c r="O36" s="58"/>
      <c r="P36" s="58"/>
      <c r="Q36" s="58"/>
      <c r="R36" s="58"/>
      <c r="S36" s="58"/>
      <c r="T36" s="58"/>
      <c r="U36" s="58"/>
      <c r="V36" s="58"/>
      <c r="W36" s="58"/>
      <c r="X36" s="58"/>
    </row>
    <row r="37" spans="1:24" ht="18.75" customHeight="1" x14ac:dyDescent="0.25">
      <c r="A37" s="692" t="s">
        <v>93</v>
      </c>
      <c r="B37" s="687" t="s">
        <v>199</v>
      </c>
      <c r="C37" s="11" t="s">
        <v>213</v>
      </c>
      <c r="D37" s="1">
        <v>1</v>
      </c>
      <c r="E37" s="1">
        <v>1.87</v>
      </c>
      <c r="F37" s="1">
        <v>7.85</v>
      </c>
      <c r="G37" s="1">
        <v>0</v>
      </c>
      <c r="H37" s="1">
        <v>1856</v>
      </c>
      <c r="I37" s="1">
        <v>496</v>
      </c>
      <c r="J37" s="1">
        <v>476</v>
      </c>
      <c r="K37" s="1">
        <v>0</v>
      </c>
      <c r="L37" s="1">
        <v>115</v>
      </c>
      <c r="M37" s="1">
        <v>51</v>
      </c>
      <c r="N37" s="1">
        <v>0</v>
      </c>
      <c r="O37" s="1">
        <v>0</v>
      </c>
      <c r="P37" s="1">
        <v>660</v>
      </c>
      <c r="Q37" s="1">
        <v>202</v>
      </c>
      <c r="R37" s="1">
        <v>6.65</v>
      </c>
      <c r="S37" s="1">
        <v>0.68</v>
      </c>
      <c r="T37" s="1">
        <v>0</v>
      </c>
      <c r="U37" s="1">
        <v>0</v>
      </c>
      <c r="V37" s="58" t="s">
        <v>209</v>
      </c>
      <c r="W37" s="58" t="s">
        <v>209</v>
      </c>
      <c r="X37" s="58" t="s">
        <v>209</v>
      </c>
    </row>
    <row r="38" spans="1:24" ht="18.75" customHeight="1" x14ac:dyDescent="0.25">
      <c r="A38" s="651"/>
      <c r="B38" s="651"/>
      <c r="C38" s="11" t="s">
        <v>212</v>
      </c>
      <c r="D38" s="1">
        <v>1</v>
      </c>
      <c r="E38" s="1">
        <v>1.56</v>
      </c>
      <c r="F38" s="1">
        <v>7.25</v>
      </c>
      <c r="G38" s="1">
        <v>0</v>
      </c>
      <c r="H38" s="1">
        <v>2410</v>
      </c>
      <c r="I38" s="1">
        <v>660</v>
      </c>
      <c r="J38" s="1">
        <v>620</v>
      </c>
      <c r="K38" s="1">
        <v>0</v>
      </c>
      <c r="L38" s="1">
        <v>160</v>
      </c>
      <c r="M38" s="1">
        <v>63</v>
      </c>
      <c r="N38" s="1">
        <v>0</v>
      </c>
      <c r="O38" s="1">
        <v>0</v>
      </c>
      <c r="P38" s="1">
        <v>808</v>
      </c>
      <c r="Q38" s="1">
        <v>268</v>
      </c>
      <c r="R38" s="1">
        <v>6.65</v>
      </c>
      <c r="S38" s="1">
        <v>0.61</v>
      </c>
      <c r="T38" s="1">
        <v>0</v>
      </c>
      <c r="U38" s="1">
        <v>0</v>
      </c>
      <c r="V38" s="58" t="s">
        <v>209</v>
      </c>
      <c r="W38" s="58" t="s">
        <v>209</v>
      </c>
      <c r="X38" s="58" t="s">
        <v>209</v>
      </c>
    </row>
    <row r="39" spans="1:24" ht="18.75" customHeight="1" x14ac:dyDescent="0.25">
      <c r="A39" s="651"/>
      <c r="B39" s="652"/>
      <c r="C39" s="11" t="s">
        <v>214</v>
      </c>
      <c r="D39" s="1">
        <v>1</v>
      </c>
      <c r="E39" s="1">
        <v>0.18</v>
      </c>
      <c r="F39" s="1">
        <v>7.02</v>
      </c>
      <c r="G39" s="1">
        <v>0</v>
      </c>
      <c r="H39" s="1">
        <v>162</v>
      </c>
      <c r="I39" s="1">
        <v>32</v>
      </c>
      <c r="J39" s="1">
        <v>68</v>
      </c>
      <c r="K39" s="1">
        <v>0</v>
      </c>
      <c r="L39" s="1">
        <v>8</v>
      </c>
      <c r="M39" s="1">
        <v>3</v>
      </c>
      <c r="N39" s="1">
        <v>0</v>
      </c>
      <c r="O39" s="1">
        <v>0</v>
      </c>
      <c r="P39" s="1">
        <v>40</v>
      </c>
      <c r="Q39" s="1">
        <v>10</v>
      </c>
      <c r="R39" s="1">
        <v>2.2200000000000002</v>
      </c>
      <c r="S39" s="1">
        <v>0.12</v>
      </c>
      <c r="T39" s="1">
        <v>0</v>
      </c>
      <c r="U39" s="1">
        <v>0</v>
      </c>
      <c r="V39" s="58" t="s">
        <v>209</v>
      </c>
      <c r="W39" s="58" t="s">
        <v>209</v>
      </c>
      <c r="X39" s="58" t="s">
        <v>209</v>
      </c>
    </row>
    <row r="40" spans="1:24" ht="18.75" customHeight="1" x14ac:dyDescent="0.25">
      <c r="A40" s="651"/>
      <c r="B40" s="687" t="s">
        <v>206</v>
      </c>
      <c r="C40" s="11" t="s">
        <v>213</v>
      </c>
      <c r="D40" s="1"/>
      <c r="E40" s="1"/>
      <c r="F40" s="1"/>
      <c r="G40" s="1"/>
      <c r="H40" s="1"/>
      <c r="I40" s="1"/>
      <c r="J40" s="1"/>
      <c r="K40" s="1"/>
      <c r="L40" s="1"/>
      <c r="M40" s="1"/>
      <c r="N40" s="1"/>
      <c r="O40" s="1"/>
      <c r="P40" s="1"/>
      <c r="Q40" s="1"/>
      <c r="R40" s="1"/>
      <c r="S40" s="1"/>
      <c r="T40" s="1"/>
      <c r="U40" s="1"/>
      <c r="V40" s="1"/>
      <c r="W40" s="1"/>
      <c r="X40" s="1"/>
    </row>
    <row r="41" spans="1:24" ht="18.75" customHeight="1" x14ac:dyDescent="0.25">
      <c r="A41" s="651"/>
      <c r="B41" s="651"/>
      <c r="C41" s="11" t="s">
        <v>212</v>
      </c>
      <c r="D41" s="1">
        <v>5</v>
      </c>
      <c r="E41" s="1">
        <v>1.28</v>
      </c>
      <c r="F41" s="1">
        <v>7.47</v>
      </c>
      <c r="G41" s="1">
        <v>0</v>
      </c>
      <c r="H41" s="1">
        <v>1932</v>
      </c>
      <c r="I41" s="1">
        <v>460</v>
      </c>
      <c r="J41" s="1">
        <v>328</v>
      </c>
      <c r="K41" s="1">
        <v>0</v>
      </c>
      <c r="L41" s="1">
        <v>103</v>
      </c>
      <c r="M41" s="1">
        <v>49</v>
      </c>
      <c r="N41" s="1">
        <v>0</v>
      </c>
      <c r="O41" s="1">
        <v>0</v>
      </c>
      <c r="P41" s="1">
        <v>668</v>
      </c>
      <c r="Q41" s="1">
        <v>172</v>
      </c>
      <c r="R41" s="1">
        <v>6.65</v>
      </c>
      <c r="S41" s="7">
        <v>0.52</v>
      </c>
      <c r="T41" s="1">
        <v>0</v>
      </c>
      <c r="U41" s="1">
        <v>0</v>
      </c>
      <c r="V41" s="1"/>
      <c r="W41" s="1"/>
      <c r="X41" s="1"/>
    </row>
    <row r="42" spans="1:24" ht="18.75" customHeight="1" x14ac:dyDescent="0.25">
      <c r="A42" s="651"/>
      <c r="B42" s="651"/>
      <c r="C42" s="11" t="s">
        <v>215</v>
      </c>
      <c r="D42" s="1">
        <v>5</v>
      </c>
      <c r="E42" s="1">
        <v>0.44</v>
      </c>
      <c r="F42" s="1">
        <v>7.42</v>
      </c>
      <c r="G42" s="1">
        <v>0</v>
      </c>
      <c r="H42" s="1">
        <v>124</v>
      </c>
      <c r="I42" s="1">
        <v>8</v>
      </c>
      <c r="J42" s="1">
        <v>44</v>
      </c>
      <c r="K42" s="1">
        <v>0</v>
      </c>
      <c r="L42" s="1">
        <v>2</v>
      </c>
      <c r="M42" s="1">
        <v>1</v>
      </c>
      <c r="N42" s="1">
        <v>0</v>
      </c>
      <c r="O42" s="1">
        <v>0</v>
      </c>
      <c r="P42" s="1">
        <v>32</v>
      </c>
      <c r="Q42" s="1">
        <v>6</v>
      </c>
      <c r="R42" s="1">
        <v>0</v>
      </c>
      <c r="S42" s="7">
        <v>0.1</v>
      </c>
      <c r="T42" s="1">
        <v>0</v>
      </c>
      <c r="U42" s="1">
        <v>0</v>
      </c>
      <c r="V42" s="1"/>
      <c r="W42" s="1"/>
      <c r="X42" s="1"/>
    </row>
    <row r="43" spans="1:24" ht="18.75" customHeight="1" x14ac:dyDescent="0.25">
      <c r="A43" s="651"/>
      <c r="B43" s="652"/>
      <c r="C43" s="11" t="s">
        <v>216</v>
      </c>
      <c r="D43" s="1">
        <v>1</v>
      </c>
      <c r="E43" s="1">
        <v>0.63</v>
      </c>
      <c r="F43" s="1">
        <v>6.57</v>
      </c>
      <c r="G43" s="50">
        <v>0</v>
      </c>
      <c r="H43" s="50">
        <v>182</v>
      </c>
      <c r="I43" s="50">
        <v>32</v>
      </c>
      <c r="J43" s="1">
        <v>40</v>
      </c>
      <c r="K43" s="1">
        <v>0</v>
      </c>
      <c r="L43" s="50">
        <v>8</v>
      </c>
      <c r="M43" s="50">
        <v>3</v>
      </c>
      <c r="N43" s="1">
        <v>0</v>
      </c>
      <c r="O43" s="1">
        <v>0</v>
      </c>
      <c r="P43" s="50">
        <v>64</v>
      </c>
      <c r="Q43" s="50">
        <v>10</v>
      </c>
      <c r="R43" s="50">
        <v>2.2200000000000002</v>
      </c>
      <c r="S43" s="1">
        <v>0.12</v>
      </c>
      <c r="T43" s="1">
        <v>0</v>
      </c>
      <c r="U43" s="1">
        <v>0</v>
      </c>
      <c r="V43" s="1"/>
      <c r="W43" s="1"/>
      <c r="X43" s="1"/>
    </row>
    <row r="44" spans="1:24" ht="18.75" customHeight="1" x14ac:dyDescent="0.25">
      <c r="A44" s="651"/>
      <c r="B44" s="687" t="s">
        <v>207</v>
      </c>
      <c r="C44" s="11" t="s">
        <v>200</v>
      </c>
      <c r="D44" s="1"/>
      <c r="E44" s="1"/>
      <c r="F44" s="1"/>
      <c r="G44" s="1"/>
      <c r="H44" s="1"/>
      <c r="I44" s="1"/>
      <c r="J44" s="1"/>
      <c r="K44" s="1"/>
      <c r="L44" s="1"/>
      <c r="M44" s="1"/>
      <c r="N44" s="1"/>
      <c r="O44" s="1"/>
      <c r="P44" s="1"/>
      <c r="Q44" s="1"/>
      <c r="R44" s="1"/>
      <c r="S44" s="1"/>
      <c r="T44" s="1"/>
      <c r="U44" s="1"/>
      <c r="V44" s="1"/>
      <c r="W44" s="1"/>
      <c r="X44" s="1"/>
    </row>
    <row r="45" spans="1:24" ht="18.75" customHeight="1" x14ac:dyDescent="0.25">
      <c r="A45" s="651"/>
      <c r="B45" s="652"/>
      <c r="C45" s="11" t="s">
        <v>205</v>
      </c>
      <c r="D45" s="1"/>
      <c r="E45" s="1"/>
      <c r="F45" s="1"/>
      <c r="G45" s="1"/>
      <c r="H45" s="1"/>
      <c r="I45" s="1"/>
      <c r="J45" s="1"/>
      <c r="K45" s="1"/>
      <c r="L45" s="1"/>
      <c r="M45" s="1"/>
      <c r="N45" s="1"/>
      <c r="O45" s="1"/>
      <c r="P45" s="1"/>
      <c r="Q45" s="1"/>
      <c r="R45" s="1"/>
      <c r="S45" s="1"/>
      <c r="T45" s="1"/>
      <c r="U45" s="1"/>
      <c r="V45" s="1"/>
      <c r="W45" s="1"/>
      <c r="X45" s="1"/>
    </row>
    <row r="46" spans="1:24" ht="18.75" customHeight="1" x14ac:dyDescent="0.25">
      <c r="A46" s="651"/>
      <c r="B46" s="687" t="s">
        <v>208</v>
      </c>
      <c r="C46" s="11" t="s">
        <v>217</v>
      </c>
      <c r="D46" s="1"/>
      <c r="E46" s="1"/>
      <c r="F46" s="1"/>
      <c r="G46" s="1"/>
      <c r="H46" s="1"/>
      <c r="I46" s="1"/>
      <c r="J46" s="1"/>
      <c r="K46" s="1"/>
      <c r="L46" s="1"/>
      <c r="M46" s="1"/>
      <c r="N46" s="1"/>
      <c r="O46" s="1"/>
      <c r="P46" s="1"/>
      <c r="Q46" s="1"/>
      <c r="R46" s="1"/>
      <c r="S46" s="1"/>
      <c r="T46" s="1"/>
      <c r="U46" s="1"/>
      <c r="V46" s="1"/>
      <c r="W46" s="1"/>
      <c r="X46" s="1"/>
    </row>
    <row r="47" spans="1:24" ht="18.75" customHeight="1" x14ac:dyDescent="0.25">
      <c r="A47" s="651"/>
      <c r="B47" s="651"/>
      <c r="C47" s="11" t="s">
        <v>212</v>
      </c>
      <c r="D47" s="1"/>
      <c r="E47" s="1"/>
      <c r="F47" s="1"/>
      <c r="G47" s="1"/>
      <c r="H47" s="1"/>
      <c r="I47" s="1"/>
      <c r="J47" s="1"/>
      <c r="K47" s="1"/>
      <c r="L47" s="1"/>
      <c r="M47" s="1"/>
      <c r="N47" s="1"/>
      <c r="O47" s="1"/>
      <c r="P47" s="1"/>
      <c r="Q47" s="1"/>
      <c r="R47" s="1"/>
      <c r="S47" s="1"/>
      <c r="T47" s="1"/>
      <c r="U47" s="1"/>
      <c r="V47" s="1"/>
      <c r="W47" s="1"/>
      <c r="X47" s="1"/>
    </row>
    <row r="48" spans="1:24" ht="18.75" customHeight="1" x14ac:dyDescent="0.25">
      <c r="A48" s="652"/>
      <c r="B48" s="652"/>
      <c r="C48" s="11" t="s">
        <v>214</v>
      </c>
      <c r="D48" s="1"/>
      <c r="E48" s="1"/>
      <c r="F48" s="1"/>
      <c r="G48" s="1"/>
      <c r="H48" s="1"/>
      <c r="I48" s="1"/>
      <c r="J48" s="1"/>
      <c r="K48" s="1"/>
      <c r="L48" s="1"/>
      <c r="M48" s="1"/>
      <c r="N48" s="1"/>
      <c r="O48" s="1"/>
      <c r="P48" s="1"/>
      <c r="Q48" s="1"/>
      <c r="R48" s="1"/>
      <c r="S48" s="1"/>
      <c r="T48" s="1"/>
      <c r="U48" s="1"/>
      <c r="V48" s="1"/>
      <c r="W48" s="1"/>
      <c r="X48" s="1"/>
    </row>
    <row r="49" spans="1:24" ht="18.75" customHeight="1" x14ac:dyDescent="0.25">
      <c r="A49" s="693" t="s">
        <v>108</v>
      </c>
      <c r="B49" s="688" t="s">
        <v>199</v>
      </c>
      <c r="C49" s="59" t="s">
        <v>218</v>
      </c>
      <c r="D49" s="58">
        <v>5</v>
      </c>
      <c r="E49" s="58" t="s">
        <v>211</v>
      </c>
      <c r="F49" s="58">
        <v>7</v>
      </c>
      <c r="G49" s="58">
        <v>2000</v>
      </c>
      <c r="H49" s="58">
        <v>1300</v>
      </c>
      <c r="I49" s="58">
        <v>280</v>
      </c>
      <c r="J49" s="58" t="s">
        <v>219</v>
      </c>
      <c r="K49" s="58" t="s">
        <v>211</v>
      </c>
      <c r="L49" s="58" t="s">
        <v>211</v>
      </c>
      <c r="M49" s="58">
        <v>60</v>
      </c>
      <c r="N49" s="58" t="s">
        <v>211</v>
      </c>
      <c r="O49" s="58" t="s">
        <v>211</v>
      </c>
      <c r="P49" s="58">
        <v>240</v>
      </c>
      <c r="Q49" s="58" t="s">
        <v>211</v>
      </c>
      <c r="R49" s="58" t="s">
        <v>211</v>
      </c>
      <c r="S49" s="58">
        <v>0.54</v>
      </c>
      <c r="T49" s="58" t="s">
        <v>211</v>
      </c>
      <c r="U49" s="58" t="s">
        <v>211</v>
      </c>
      <c r="V49" s="58" t="s">
        <v>209</v>
      </c>
      <c r="W49" s="58" t="s">
        <v>209</v>
      </c>
      <c r="X49" s="58" t="s">
        <v>209</v>
      </c>
    </row>
    <row r="50" spans="1:24" ht="18.75" customHeight="1" x14ac:dyDescent="0.25">
      <c r="A50" s="651"/>
      <c r="B50" s="651"/>
      <c r="C50" s="59" t="s">
        <v>220</v>
      </c>
      <c r="D50" s="58">
        <v>5</v>
      </c>
      <c r="E50" s="58" t="s">
        <v>211</v>
      </c>
      <c r="F50" s="58">
        <v>7</v>
      </c>
      <c r="G50" s="58">
        <v>2000</v>
      </c>
      <c r="H50" s="58">
        <v>1300</v>
      </c>
      <c r="I50" s="58">
        <v>280</v>
      </c>
      <c r="J50" s="58" t="s">
        <v>219</v>
      </c>
      <c r="K50" s="58" t="s">
        <v>211</v>
      </c>
      <c r="L50" s="58" t="s">
        <v>211</v>
      </c>
      <c r="M50" s="58">
        <v>60</v>
      </c>
      <c r="N50" s="58" t="s">
        <v>211</v>
      </c>
      <c r="O50" s="58" t="s">
        <v>211</v>
      </c>
      <c r="P50" s="58">
        <v>240</v>
      </c>
      <c r="Q50" s="58" t="s">
        <v>211</v>
      </c>
      <c r="R50" s="58" t="s">
        <v>211</v>
      </c>
      <c r="S50" s="58">
        <v>0.54</v>
      </c>
      <c r="T50" s="58" t="s">
        <v>211</v>
      </c>
      <c r="U50" s="58" t="s">
        <v>211</v>
      </c>
      <c r="V50" s="58" t="s">
        <v>209</v>
      </c>
      <c r="W50" s="58" t="s">
        <v>209</v>
      </c>
      <c r="X50" s="58" t="s">
        <v>209</v>
      </c>
    </row>
    <row r="51" spans="1:24" ht="18.75" customHeight="1" x14ac:dyDescent="0.25">
      <c r="A51" s="651"/>
      <c r="B51" s="651"/>
      <c r="C51" s="59" t="s">
        <v>215</v>
      </c>
      <c r="D51" s="58">
        <v>5</v>
      </c>
      <c r="E51" s="58" t="s">
        <v>211</v>
      </c>
      <c r="F51" s="58">
        <v>7.2</v>
      </c>
      <c r="G51" s="58">
        <v>4100</v>
      </c>
      <c r="H51" s="58">
        <v>2665</v>
      </c>
      <c r="I51" s="58">
        <v>300</v>
      </c>
      <c r="J51" s="58" t="s">
        <v>219</v>
      </c>
      <c r="K51" s="58" t="s">
        <v>211</v>
      </c>
      <c r="L51" s="58" t="s">
        <v>211</v>
      </c>
      <c r="M51" s="58">
        <v>60</v>
      </c>
      <c r="N51" s="58" t="s">
        <v>211</v>
      </c>
      <c r="O51" s="58" t="s">
        <v>211</v>
      </c>
      <c r="P51" s="58">
        <v>720</v>
      </c>
      <c r="Q51" s="58" t="s">
        <v>211</v>
      </c>
      <c r="R51" s="58" t="s">
        <v>211</v>
      </c>
      <c r="S51" s="58">
        <v>0.14000000000000001</v>
      </c>
      <c r="T51" s="58" t="s">
        <v>211</v>
      </c>
      <c r="U51" s="58" t="s">
        <v>211</v>
      </c>
      <c r="V51" s="58" t="s">
        <v>209</v>
      </c>
      <c r="W51" s="58" t="s">
        <v>209</v>
      </c>
      <c r="X51" s="58" t="s">
        <v>209</v>
      </c>
    </row>
    <row r="52" spans="1:24" ht="18.75" customHeight="1" x14ac:dyDescent="0.25">
      <c r="A52" s="651"/>
      <c r="B52" s="652"/>
      <c r="C52" s="59" t="s">
        <v>221</v>
      </c>
      <c r="D52" s="58">
        <v>5</v>
      </c>
      <c r="E52" s="58" t="s">
        <v>211</v>
      </c>
      <c r="F52" s="58">
        <v>7.1</v>
      </c>
      <c r="G52" s="58">
        <v>600</v>
      </c>
      <c r="H52" s="58">
        <v>390</v>
      </c>
      <c r="I52" s="58">
        <v>55</v>
      </c>
      <c r="J52" s="58" t="s">
        <v>219</v>
      </c>
      <c r="K52" s="58" t="s">
        <v>211</v>
      </c>
      <c r="L52" s="58" t="s">
        <v>211</v>
      </c>
      <c r="M52" s="58">
        <v>7</v>
      </c>
      <c r="N52" s="58" t="s">
        <v>211</v>
      </c>
      <c r="O52" s="58" t="s">
        <v>211</v>
      </c>
      <c r="P52" s="58">
        <v>40</v>
      </c>
      <c r="Q52" s="58" t="s">
        <v>211</v>
      </c>
      <c r="R52" s="58" t="s">
        <v>211</v>
      </c>
      <c r="S52" s="58">
        <v>0.38</v>
      </c>
      <c r="T52" s="58" t="s">
        <v>211</v>
      </c>
      <c r="U52" s="58" t="s">
        <v>211</v>
      </c>
      <c r="V52" s="58" t="s">
        <v>209</v>
      </c>
      <c r="W52" s="58" t="s">
        <v>209</v>
      </c>
      <c r="X52" s="58" t="s">
        <v>209</v>
      </c>
    </row>
    <row r="53" spans="1:24" ht="18.75" customHeight="1" x14ac:dyDescent="0.25">
      <c r="A53" s="651"/>
      <c r="B53" s="688" t="s">
        <v>206</v>
      </c>
      <c r="C53" s="59" t="s">
        <v>218</v>
      </c>
      <c r="D53" s="58">
        <v>5</v>
      </c>
      <c r="E53" s="58" t="s">
        <v>211</v>
      </c>
      <c r="F53" s="58">
        <v>7</v>
      </c>
      <c r="G53" s="58">
        <v>1330</v>
      </c>
      <c r="H53" s="58">
        <v>860</v>
      </c>
      <c r="I53" s="58">
        <v>180</v>
      </c>
      <c r="J53" s="58" t="s">
        <v>219</v>
      </c>
      <c r="K53" s="58" t="s">
        <v>211</v>
      </c>
      <c r="L53" s="58">
        <v>112</v>
      </c>
      <c r="M53" s="58">
        <v>68</v>
      </c>
      <c r="N53" s="58" t="s">
        <v>211</v>
      </c>
      <c r="O53" s="58" t="s">
        <v>211</v>
      </c>
      <c r="P53" s="58">
        <v>80</v>
      </c>
      <c r="Q53" s="58" t="s">
        <v>211</v>
      </c>
      <c r="R53" s="58" t="s">
        <v>211</v>
      </c>
      <c r="S53" s="58">
        <v>0.48</v>
      </c>
      <c r="T53" s="58" t="s">
        <v>211</v>
      </c>
      <c r="U53" s="58" t="s">
        <v>211</v>
      </c>
      <c r="V53" s="58" t="s">
        <v>209</v>
      </c>
      <c r="W53" s="58" t="s">
        <v>209</v>
      </c>
      <c r="X53" s="58" t="s">
        <v>209</v>
      </c>
    </row>
    <row r="54" spans="1:24" ht="18.75" customHeight="1" x14ac:dyDescent="0.25">
      <c r="A54" s="651"/>
      <c r="B54" s="651"/>
      <c r="C54" s="59" t="s">
        <v>220</v>
      </c>
      <c r="D54" s="58">
        <v>5</v>
      </c>
      <c r="E54" s="58" t="s">
        <v>211</v>
      </c>
      <c r="F54" s="58">
        <v>6.9</v>
      </c>
      <c r="G54" s="58">
        <v>1250</v>
      </c>
      <c r="H54" s="58">
        <v>812</v>
      </c>
      <c r="I54" s="58">
        <v>200</v>
      </c>
      <c r="J54" s="58" t="s">
        <v>219</v>
      </c>
      <c r="K54" s="58" t="s">
        <v>211</v>
      </c>
      <c r="L54" s="58">
        <v>120</v>
      </c>
      <c r="M54" s="58">
        <v>80</v>
      </c>
      <c r="N54" s="58" t="s">
        <v>211</v>
      </c>
      <c r="O54" s="58" t="s">
        <v>211</v>
      </c>
      <c r="P54" s="58">
        <v>88</v>
      </c>
      <c r="Q54" s="58" t="s">
        <v>211</v>
      </c>
      <c r="R54" s="58" t="s">
        <v>211</v>
      </c>
      <c r="S54" s="58">
        <v>0.49</v>
      </c>
      <c r="T54" s="58" t="s">
        <v>211</v>
      </c>
      <c r="U54" s="58" t="s">
        <v>211</v>
      </c>
      <c r="V54" s="58" t="s">
        <v>209</v>
      </c>
      <c r="W54" s="58" t="s">
        <v>209</v>
      </c>
      <c r="X54" s="58" t="s">
        <v>209</v>
      </c>
    </row>
    <row r="55" spans="1:24" ht="18.75" customHeight="1" x14ac:dyDescent="0.25">
      <c r="A55" s="651"/>
      <c r="B55" s="651"/>
      <c r="C55" s="59" t="s">
        <v>215</v>
      </c>
      <c r="D55" s="58">
        <v>5</v>
      </c>
      <c r="E55" s="58" t="s">
        <v>211</v>
      </c>
      <c r="F55" s="58">
        <v>7</v>
      </c>
      <c r="G55" s="58">
        <v>1160</v>
      </c>
      <c r="H55" s="58">
        <v>266</v>
      </c>
      <c r="I55" s="58">
        <v>192</v>
      </c>
      <c r="J55" s="58" t="s">
        <v>219</v>
      </c>
      <c r="K55" s="58" t="s">
        <v>211</v>
      </c>
      <c r="L55" s="58">
        <v>100</v>
      </c>
      <c r="M55" s="58">
        <v>92</v>
      </c>
      <c r="N55" s="58" t="s">
        <v>211</v>
      </c>
      <c r="O55" s="58" t="s">
        <v>211</v>
      </c>
      <c r="P55" s="58">
        <v>80</v>
      </c>
      <c r="Q55" s="58" t="s">
        <v>211</v>
      </c>
      <c r="R55" s="58" t="s">
        <v>211</v>
      </c>
      <c r="S55" s="58">
        <v>0.3</v>
      </c>
      <c r="T55" s="58" t="s">
        <v>211</v>
      </c>
      <c r="U55" s="58" t="s">
        <v>211</v>
      </c>
      <c r="V55" s="58" t="s">
        <v>209</v>
      </c>
      <c r="W55" s="58" t="s">
        <v>209</v>
      </c>
      <c r="X55" s="58" t="s">
        <v>209</v>
      </c>
    </row>
    <row r="56" spans="1:24" ht="18.75" customHeight="1" x14ac:dyDescent="0.25">
      <c r="A56" s="651"/>
      <c r="B56" s="652"/>
      <c r="C56" s="59" t="s">
        <v>221</v>
      </c>
      <c r="D56" s="58">
        <v>5</v>
      </c>
      <c r="E56" s="58" t="s">
        <v>211</v>
      </c>
      <c r="F56" s="58">
        <v>6.9</v>
      </c>
      <c r="G56" s="58">
        <v>410</v>
      </c>
      <c r="H56" s="58">
        <v>754</v>
      </c>
      <c r="I56" s="58">
        <v>50</v>
      </c>
      <c r="J56" s="58" t="s">
        <v>219</v>
      </c>
      <c r="K56" s="58" t="s">
        <v>211</v>
      </c>
      <c r="L56" s="58">
        <v>32</v>
      </c>
      <c r="M56" s="58">
        <v>18</v>
      </c>
      <c r="N56" s="58" t="s">
        <v>211</v>
      </c>
      <c r="O56" s="58" t="s">
        <v>211</v>
      </c>
      <c r="P56" s="58">
        <v>25</v>
      </c>
      <c r="Q56" s="58" t="s">
        <v>211</v>
      </c>
      <c r="R56" s="58" t="s">
        <v>211</v>
      </c>
      <c r="S56" s="58">
        <v>0.23</v>
      </c>
      <c r="T56" s="58" t="s">
        <v>211</v>
      </c>
      <c r="U56" s="58" t="s">
        <v>211</v>
      </c>
      <c r="V56" s="58" t="s">
        <v>209</v>
      </c>
      <c r="W56" s="58" t="s">
        <v>209</v>
      </c>
      <c r="X56" s="58" t="s">
        <v>209</v>
      </c>
    </row>
    <row r="57" spans="1:24" ht="18.75" customHeight="1" x14ac:dyDescent="0.25">
      <c r="A57" s="651"/>
      <c r="B57" s="688" t="s">
        <v>207</v>
      </c>
      <c r="C57" s="59" t="s">
        <v>218</v>
      </c>
      <c r="D57" s="58"/>
      <c r="E57" s="58"/>
      <c r="F57" s="58"/>
      <c r="G57" s="58"/>
      <c r="H57" s="58"/>
      <c r="I57" s="58"/>
      <c r="J57" s="58"/>
      <c r="K57" s="58"/>
      <c r="L57" s="58"/>
      <c r="M57" s="58"/>
      <c r="N57" s="58"/>
      <c r="O57" s="58"/>
      <c r="P57" s="58"/>
      <c r="Q57" s="58"/>
      <c r="R57" s="58"/>
      <c r="S57" s="58"/>
      <c r="T57" s="58"/>
      <c r="U57" s="58"/>
      <c r="V57" s="58"/>
      <c r="W57" s="58"/>
      <c r="X57" s="58"/>
    </row>
    <row r="58" spans="1:24" ht="18.75" customHeight="1" x14ac:dyDescent="0.25">
      <c r="A58" s="651"/>
      <c r="B58" s="651"/>
      <c r="C58" s="59" t="s">
        <v>220</v>
      </c>
      <c r="D58" s="58"/>
      <c r="E58" s="58"/>
      <c r="F58" s="58"/>
      <c r="G58" s="58"/>
      <c r="H58" s="58"/>
      <c r="I58" s="58"/>
      <c r="J58" s="58"/>
      <c r="K58" s="58"/>
      <c r="L58" s="58"/>
      <c r="M58" s="58"/>
      <c r="N58" s="58"/>
      <c r="O58" s="58"/>
      <c r="P58" s="58"/>
      <c r="Q58" s="58"/>
      <c r="R58" s="58"/>
      <c r="S58" s="58"/>
      <c r="T58" s="58"/>
      <c r="U58" s="58"/>
      <c r="V58" s="58"/>
      <c r="W58" s="58"/>
      <c r="X58" s="58"/>
    </row>
    <row r="59" spans="1:24" ht="18.75" customHeight="1" x14ac:dyDescent="0.25">
      <c r="A59" s="651"/>
      <c r="B59" s="651"/>
      <c r="C59" s="59" t="s">
        <v>215</v>
      </c>
      <c r="D59" s="58"/>
      <c r="E59" s="58"/>
      <c r="F59" s="58"/>
      <c r="G59" s="58"/>
      <c r="H59" s="58"/>
      <c r="I59" s="58"/>
      <c r="J59" s="58"/>
      <c r="K59" s="58"/>
      <c r="L59" s="58"/>
      <c r="M59" s="58"/>
      <c r="N59" s="58"/>
      <c r="O59" s="58"/>
      <c r="P59" s="58"/>
      <c r="Q59" s="58"/>
      <c r="R59" s="58"/>
      <c r="S59" s="60"/>
      <c r="T59" s="58"/>
      <c r="U59" s="58"/>
      <c r="V59" s="58"/>
      <c r="W59" s="58"/>
      <c r="X59" s="58"/>
    </row>
    <row r="60" spans="1:24" ht="18.75" customHeight="1" x14ac:dyDescent="0.25">
      <c r="A60" s="651"/>
      <c r="B60" s="652"/>
      <c r="C60" s="59" t="s">
        <v>221</v>
      </c>
      <c r="D60" s="58"/>
      <c r="E60" s="58"/>
      <c r="F60" s="58"/>
      <c r="G60" s="58"/>
      <c r="H60" s="58"/>
      <c r="I60" s="58"/>
      <c r="J60" s="58"/>
      <c r="K60" s="58"/>
      <c r="L60" s="58"/>
      <c r="M60" s="58"/>
      <c r="N60" s="58"/>
      <c r="O60" s="58"/>
      <c r="P60" s="58"/>
      <c r="Q60" s="58"/>
      <c r="R60" s="58"/>
      <c r="S60" s="58"/>
      <c r="T60" s="58"/>
      <c r="U60" s="58"/>
      <c r="V60" s="58"/>
      <c r="W60" s="58"/>
      <c r="X60" s="58"/>
    </row>
    <row r="61" spans="1:24" ht="18.75" customHeight="1" x14ac:dyDescent="0.25">
      <c r="A61" s="651"/>
      <c r="B61" s="688" t="s">
        <v>208</v>
      </c>
      <c r="C61" s="59" t="s">
        <v>218</v>
      </c>
      <c r="D61" s="58"/>
      <c r="E61" s="58"/>
      <c r="F61" s="58"/>
      <c r="G61" s="58"/>
      <c r="H61" s="58"/>
      <c r="I61" s="58"/>
      <c r="J61" s="58"/>
      <c r="K61" s="58"/>
      <c r="L61" s="58"/>
      <c r="M61" s="58"/>
      <c r="N61" s="58"/>
      <c r="O61" s="58"/>
      <c r="P61" s="58"/>
      <c r="Q61" s="58"/>
      <c r="R61" s="58"/>
      <c r="S61" s="58"/>
      <c r="T61" s="58"/>
      <c r="U61" s="58"/>
      <c r="V61" s="58"/>
      <c r="W61" s="58"/>
      <c r="X61" s="58"/>
    </row>
    <row r="62" spans="1:24" ht="18.75" customHeight="1" x14ac:dyDescent="0.25">
      <c r="A62" s="651"/>
      <c r="B62" s="651"/>
      <c r="C62" s="59" t="s">
        <v>220</v>
      </c>
      <c r="D62" s="58"/>
      <c r="E62" s="58"/>
      <c r="F62" s="58"/>
      <c r="G62" s="58"/>
      <c r="H62" s="58"/>
      <c r="I62" s="58"/>
      <c r="J62" s="58"/>
      <c r="K62" s="58"/>
      <c r="L62" s="58"/>
      <c r="M62" s="58"/>
      <c r="N62" s="58"/>
      <c r="O62" s="58"/>
      <c r="P62" s="58"/>
      <c r="Q62" s="58"/>
      <c r="R62" s="58"/>
      <c r="S62" s="58"/>
      <c r="T62" s="58"/>
      <c r="U62" s="58"/>
      <c r="V62" s="58"/>
      <c r="W62" s="58"/>
      <c r="X62" s="58"/>
    </row>
    <row r="63" spans="1:24" ht="18.75" customHeight="1" x14ac:dyDescent="0.25">
      <c r="A63" s="651"/>
      <c r="B63" s="651"/>
      <c r="C63" s="59" t="s">
        <v>215</v>
      </c>
      <c r="D63" s="58"/>
      <c r="E63" s="58"/>
      <c r="F63" s="58"/>
      <c r="G63" s="58"/>
      <c r="H63" s="58"/>
      <c r="I63" s="58"/>
      <c r="J63" s="58"/>
      <c r="K63" s="58"/>
      <c r="L63" s="58"/>
      <c r="M63" s="58"/>
      <c r="N63" s="58"/>
      <c r="O63" s="58"/>
      <c r="P63" s="58"/>
      <c r="Q63" s="58"/>
      <c r="R63" s="58"/>
      <c r="S63" s="58"/>
      <c r="T63" s="58"/>
      <c r="U63" s="58"/>
      <c r="V63" s="58"/>
      <c r="W63" s="58"/>
      <c r="X63" s="58"/>
    </row>
    <row r="64" spans="1:24" ht="18.75" customHeight="1" x14ac:dyDescent="0.25">
      <c r="A64" s="652"/>
      <c r="B64" s="652"/>
      <c r="C64" s="59" t="s">
        <v>221</v>
      </c>
      <c r="D64" s="58"/>
      <c r="E64" s="58"/>
      <c r="F64" s="58"/>
      <c r="G64" s="58"/>
      <c r="H64" s="58"/>
      <c r="I64" s="58"/>
      <c r="J64" s="58"/>
      <c r="K64" s="58"/>
      <c r="L64" s="58"/>
      <c r="M64" s="58"/>
      <c r="N64" s="58"/>
      <c r="O64" s="58"/>
      <c r="P64" s="58"/>
      <c r="Q64" s="58"/>
      <c r="R64" s="58"/>
      <c r="S64" s="58"/>
      <c r="T64" s="58"/>
      <c r="U64" s="58"/>
      <c r="V64" s="58"/>
      <c r="W64" s="58"/>
      <c r="X64" s="58"/>
    </row>
    <row r="65" spans="1:24" ht="18.75" customHeight="1" x14ac:dyDescent="0.25">
      <c r="A65" s="692" t="s">
        <v>110</v>
      </c>
      <c r="B65" s="687" t="s">
        <v>199</v>
      </c>
      <c r="C65" s="11" t="s">
        <v>222</v>
      </c>
      <c r="D65" s="1" t="s">
        <v>201</v>
      </c>
      <c r="E65" s="1">
        <v>1.5</v>
      </c>
      <c r="F65" s="1">
        <v>7.46</v>
      </c>
      <c r="G65" s="1">
        <v>1221</v>
      </c>
      <c r="H65" s="1">
        <v>787</v>
      </c>
      <c r="I65" s="1">
        <v>390</v>
      </c>
      <c r="J65" s="1" t="s">
        <v>201</v>
      </c>
      <c r="K65" s="1">
        <v>350</v>
      </c>
      <c r="L65" s="1">
        <v>112</v>
      </c>
      <c r="M65" s="1">
        <v>26.4</v>
      </c>
      <c r="N65" s="1">
        <v>98.4</v>
      </c>
      <c r="O65" s="1">
        <v>3.9</v>
      </c>
      <c r="P65" s="1">
        <v>105</v>
      </c>
      <c r="Q65" s="1">
        <v>98.9</v>
      </c>
      <c r="R65" s="1">
        <v>9.4</v>
      </c>
      <c r="S65" s="1">
        <v>0.6</v>
      </c>
      <c r="T65" s="1">
        <v>0.14000000000000001</v>
      </c>
      <c r="U65" s="1">
        <v>5.7</v>
      </c>
      <c r="V65" s="1">
        <v>27</v>
      </c>
      <c r="W65" s="1" t="s">
        <v>223</v>
      </c>
      <c r="X65" s="1" t="s">
        <v>223</v>
      </c>
    </row>
    <row r="66" spans="1:24" ht="18.75" customHeight="1" x14ac:dyDescent="0.25">
      <c r="A66" s="651"/>
      <c r="B66" s="652"/>
      <c r="C66" s="11" t="s">
        <v>221</v>
      </c>
      <c r="D66" s="1" t="s">
        <v>201</v>
      </c>
      <c r="E66" s="1" t="s">
        <v>201</v>
      </c>
      <c r="F66" s="1">
        <v>6.6</v>
      </c>
      <c r="G66" s="1">
        <v>194</v>
      </c>
      <c r="H66" s="1">
        <v>121</v>
      </c>
      <c r="I66" s="1">
        <v>30</v>
      </c>
      <c r="J66" s="1" t="s">
        <v>201</v>
      </c>
      <c r="K66" s="1">
        <v>30</v>
      </c>
      <c r="L66" s="1">
        <v>8</v>
      </c>
      <c r="M66" s="1">
        <v>2.4</v>
      </c>
      <c r="N66" s="1">
        <v>29.6</v>
      </c>
      <c r="O66" s="1">
        <v>0.8</v>
      </c>
      <c r="P66" s="1">
        <v>30</v>
      </c>
      <c r="Q66" s="1">
        <v>21.8</v>
      </c>
      <c r="R66" s="1">
        <v>1.2</v>
      </c>
      <c r="S66" s="1">
        <v>0.1</v>
      </c>
      <c r="T66" s="1">
        <v>0.04</v>
      </c>
      <c r="U66" s="1">
        <v>0.02</v>
      </c>
      <c r="V66" s="1" t="s">
        <v>223</v>
      </c>
      <c r="W66" s="1" t="s">
        <v>223</v>
      </c>
      <c r="X66" s="1" t="s">
        <v>223</v>
      </c>
    </row>
    <row r="67" spans="1:24" ht="18.75" customHeight="1" x14ac:dyDescent="0.25">
      <c r="A67" s="651"/>
      <c r="B67" s="687" t="s">
        <v>206</v>
      </c>
      <c r="C67" s="11" t="s">
        <v>222</v>
      </c>
      <c r="D67" s="1"/>
      <c r="E67" s="1"/>
      <c r="F67" s="1"/>
      <c r="G67" s="1"/>
      <c r="H67" s="1"/>
      <c r="I67" s="1"/>
      <c r="J67" s="1"/>
      <c r="K67" s="1"/>
      <c r="L67" s="1"/>
      <c r="M67" s="1"/>
      <c r="N67" s="1"/>
      <c r="O67" s="1"/>
      <c r="P67" s="1"/>
      <c r="Q67" s="1"/>
      <c r="R67" s="1"/>
      <c r="S67" s="1"/>
      <c r="T67" s="1"/>
      <c r="U67" s="1"/>
      <c r="V67" s="1"/>
      <c r="W67" s="1"/>
      <c r="X67" s="1"/>
    </row>
    <row r="68" spans="1:24" ht="18.75" customHeight="1" x14ac:dyDescent="0.25">
      <c r="A68" s="651"/>
      <c r="B68" s="652"/>
      <c r="C68" s="11" t="s">
        <v>221</v>
      </c>
      <c r="D68" s="1"/>
      <c r="E68" s="1"/>
      <c r="F68" s="1"/>
      <c r="G68" s="1"/>
      <c r="H68" s="1"/>
      <c r="I68" s="1"/>
      <c r="J68" s="1"/>
      <c r="K68" s="1"/>
      <c r="L68" s="1"/>
      <c r="M68" s="1"/>
      <c r="N68" s="1"/>
      <c r="O68" s="1"/>
      <c r="P68" s="1"/>
      <c r="Q68" s="1"/>
      <c r="R68" s="1"/>
      <c r="S68" s="1"/>
      <c r="T68" s="1"/>
      <c r="U68" s="1"/>
      <c r="V68" s="1"/>
      <c r="W68" s="1"/>
      <c r="X68" s="1"/>
    </row>
    <row r="69" spans="1:24" ht="18.75" customHeight="1" x14ac:dyDescent="0.25">
      <c r="A69" s="651"/>
      <c r="B69" s="687" t="s">
        <v>207</v>
      </c>
      <c r="C69" s="11" t="s">
        <v>222</v>
      </c>
      <c r="D69" s="1"/>
      <c r="E69" s="1"/>
      <c r="F69" s="1"/>
      <c r="G69" s="1"/>
      <c r="H69" s="1"/>
      <c r="I69" s="1"/>
      <c r="J69" s="1"/>
      <c r="K69" s="1"/>
      <c r="L69" s="1"/>
      <c r="M69" s="1"/>
      <c r="N69" s="1"/>
      <c r="O69" s="1"/>
      <c r="P69" s="1"/>
      <c r="Q69" s="1"/>
      <c r="R69" s="1"/>
      <c r="S69" s="1"/>
      <c r="T69" s="1"/>
      <c r="U69" s="1"/>
      <c r="V69" s="1"/>
      <c r="W69" s="1"/>
      <c r="X69" s="1"/>
    </row>
    <row r="70" spans="1:24" ht="18.75" customHeight="1" x14ac:dyDescent="0.25">
      <c r="A70" s="651"/>
      <c r="B70" s="652"/>
      <c r="C70" s="11" t="s">
        <v>221</v>
      </c>
      <c r="D70" s="1"/>
      <c r="E70" s="1"/>
      <c r="F70" s="1"/>
      <c r="G70" s="1"/>
      <c r="H70" s="1"/>
      <c r="I70" s="1"/>
      <c r="J70" s="1"/>
      <c r="K70" s="1"/>
      <c r="L70" s="1"/>
      <c r="M70" s="1"/>
      <c r="N70" s="1"/>
      <c r="O70" s="1"/>
      <c r="P70" s="1"/>
      <c r="Q70" s="1"/>
      <c r="R70" s="1"/>
      <c r="S70" s="1"/>
      <c r="T70" s="1"/>
      <c r="U70" s="1"/>
      <c r="V70" s="1"/>
      <c r="W70" s="1"/>
      <c r="X70" s="1"/>
    </row>
    <row r="71" spans="1:24" ht="18.75" customHeight="1" x14ac:dyDescent="0.25">
      <c r="A71" s="651"/>
      <c r="B71" s="687"/>
      <c r="C71" s="11" t="s">
        <v>222</v>
      </c>
      <c r="D71" s="1"/>
      <c r="E71" s="1"/>
      <c r="F71" s="1"/>
      <c r="G71" s="1"/>
      <c r="H71" s="1"/>
      <c r="I71" s="1"/>
      <c r="J71" s="1"/>
      <c r="K71" s="1"/>
      <c r="L71" s="1"/>
      <c r="M71" s="1"/>
      <c r="N71" s="1"/>
      <c r="O71" s="1"/>
      <c r="P71" s="1"/>
      <c r="Q71" s="1"/>
      <c r="R71" s="1"/>
      <c r="S71" s="1"/>
      <c r="T71" s="1"/>
      <c r="U71" s="1"/>
      <c r="V71" s="1"/>
      <c r="W71" s="1"/>
      <c r="X71" s="1"/>
    </row>
    <row r="72" spans="1:24" ht="18.75" customHeight="1" x14ac:dyDescent="0.25">
      <c r="A72" s="652"/>
      <c r="B72" s="652"/>
      <c r="C72" s="11" t="s">
        <v>221</v>
      </c>
      <c r="D72" s="1"/>
      <c r="E72" s="1"/>
      <c r="F72" s="1"/>
      <c r="G72" s="1"/>
      <c r="H72" s="1"/>
      <c r="I72" s="1"/>
      <c r="J72" s="1"/>
      <c r="K72" s="1"/>
      <c r="L72" s="1"/>
      <c r="M72" s="1"/>
      <c r="N72" s="1"/>
      <c r="O72" s="1"/>
      <c r="P72" s="1"/>
      <c r="Q72" s="1"/>
      <c r="R72" s="1"/>
      <c r="S72" s="1"/>
      <c r="T72" s="1"/>
      <c r="U72" s="1"/>
      <c r="V72" s="1"/>
      <c r="W72" s="1"/>
      <c r="X72" s="1"/>
    </row>
    <row r="73" spans="1:24" ht="18.75" customHeight="1" x14ac:dyDescent="0.25">
      <c r="A73" s="693" t="s">
        <v>224</v>
      </c>
      <c r="B73" s="688" t="s">
        <v>199</v>
      </c>
      <c r="C73" s="59" t="s">
        <v>200</v>
      </c>
      <c r="D73" s="58" t="s">
        <v>201</v>
      </c>
      <c r="E73" s="58" t="s">
        <v>201</v>
      </c>
      <c r="F73" s="58">
        <v>7.66</v>
      </c>
      <c r="G73" s="58">
        <v>555</v>
      </c>
      <c r="H73" s="58">
        <v>357</v>
      </c>
      <c r="I73" s="58">
        <v>190</v>
      </c>
      <c r="J73" s="58" t="s">
        <v>201</v>
      </c>
      <c r="K73" s="58">
        <v>140</v>
      </c>
      <c r="L73" s="58">
        <v>40</v>
      </c>
      <c r="M73" s="58">
        <v>21.6</v>
      </c>
      <c r="N73" s="58">
        <v>37.700000000000003</v>
      </c>
      <c r="O73" s="58">
        <v>2.7</v>
      </c>
      <c r="P73" s="58">
        <v>55</v>
      </c>
      <c r="Q73" s="58">
        <v>52.8</v>
      </c>
      <c r="R73" s="58">
        <v>4.9000000000000004</v>
      </c>
      <c r="S73" s="58">
        <v>0.28999999999999998</v>
      </c>
      <c r="T73" s="58">
        <v>0.09</v>
      </c>
      <c r="U73" s="58">
        <v>2.7</v>
      </c>
      <c r="V73" s="58" t="s">
        <v>223</v>
      </c>
      <c r="W73" s="58" t="s">
        <v>223</v>
      </c>
      <c r="X73" s="58" t="s">
        <v>223</v>
      </c>
    </row>
    <row r="74" spans="1:24" ht="18.75" customHeight="1" x14ac:dyDescent="0.25">
      <c r="A74" s="651"/>
      <c r="B74" s="652"/>
      <c r="C74" s="59" t="s">
        <v>205</v>
      </c>
      <c r="D74" s="58"/>
      <c r="E74" s="58"/>
      <c r="F74" s="60"/>
      <c r="G74" s="58"/>
      <c r="H74" s="58"/>
      <c r="I74" s="58"/>
      <c r="J74" s="58"/>
      <c r="K74" s="58"/>
      <c r="L74" s="58"/>
      <c r="M74" s="58"/>
      <c r="N74" s="58"/>
      <c r="O74" s="58"/>
      <c r="P74" s="58"/>
      <c r="Q74" s="58"/>
      <c r="R74" s="58"/>
      <c r="S74" s="58"/>
      <c r="T74" s="58"/>
      <c r="U74" s="58"/>
      <c r="V74" s="58"/>
      <c r="W74" s="58"/>
      <c r="X74" s="58"/>
    </row>
    <row r="75" spans="1:24" ht="18.75" customHeight="1" x14ac:dyDescent="0.25">
      <c r="A75" s="651"/>
      <c r="B75" s="58"/>
      <c r="C75" s="59" t="s">
        <v>225</v>
      </c>
      <c r="D75" s="58"/>
      <c r="E75" s="58"/>
      <c r="F75" s="60"/>
      <c r="G75" s="58"/>
      <c r="H75" s="58"/>
      <c r="I75" s="58"/>
      <c r="J75" s="58"/>
      <c r="K75" s="58"/>
      <c r="L75" s="58"/>
      <c r="M75" s="58"/>
      <c r="N75" s="58"/>
      <c r="O75" s="58"/>
      <c r="P75" s="58"/>
      <c r="Q75" s="58"/>
      <c r="R75" s="58"/>
      <c r="S75" s="58"/>
      <c r="T75" s="58"/>
      <c r="U75" s="58"/>
      <c r="V75" s="58"/>
      <c r="W75" s="58"/>
      <c r="X75" s="58"/>
    </row>
    <row r="76" spans="1:24" ht="18.75" customHeight="1" x14ac:dyDescent="0.25">
      <c r="A76" s="651"/>
      <c r="B76" s="688" t="s">
        <v>206</v>
      </c>
      <c r="C76" s="59" t="s">
        <v>200</v>
      </c>
      <c r="D76" s="58"/>
      <c r="E76" s="58"/>
      <c r="F76" s="58"/>
      <c r="G76" s="58"/>
      <c r="H76" s="58"/>
      <c r="I76" s="58"/>
      <c r="J76" s="58"/>
      <c r="K76" s="58"/>
      <c r="L76" s="58"/>
      <c r="M76" s="58"/>
      <c r="N76" s="58"/>
      <c r="O76" s="58"/>
      <c r="P76" s="58"/>
      <c r="Q76" s="58"/>
      <c r="R76" s="58"/>
      <c r="S76" s="58"/>
      <c r="T76" s="58"/>
      <c r="U76" s="58"/>
      <c r="V76" s="58"/>
      <c r="W76" s="58"/>
      <c r="X76" s="58"/>
    </row>
    <row r="77" spans="1:24" ht="18.75" customHeight="1" x14ac:dyDescent="0.25">
      <c r="A77" s="651"/>
      <c r="B77" s="652"/>
      <c r="C77" s="59" t="s">
        <v>205</v>
      </c>
      <c r="D77" s="58"/>
      <c r="E77" s="58"/>
      <c r="F77" s="58"/>
      <c r="G77" s="58"/>
      <c r="H77" s="58"/>
      <c r="I77" s="58"/>
      <c r="J77" s="58"/>
      <c r="K77" s="58"/>
      <c r="L77" s="58"/>
      <c r="M77" s="58"/>
      <c r="N77" s="58"/>
      <c r="O77" s="58"/>
      <c r="P77" s="58"/>
      <c r="Q77" s="58"/>
      <c r="R77" s="58"/>
      <c r="S77" s="58"/>
      <c r="T77" s="58"/>
      <c r="U77" s="58"/>
      <c r="V77" s="58"/>
      <c r="W77" s="58"/>
      <c r="X77" s="58"/>
    </row>
    <row r="78" spans="1:24" ht="18.75" customHeight="1" x14ac:dyDescent="0.25">
      <c r="A78" s="651"/>
      <c r="B78" s="58"/>
      <c r="C78" s="59" t="s">
        <v>225</v>
      </c>
      <c r="D78" s="58"/>
      <c r="E78" s="58"/>
      <c r="F78" s="58"/>
      <c r="G78" s="58"/>
      <c r="H78" s="58"/>
      <c r="I78" s="58"/>
      <c r="J78" s="58"/>
      <c r="K78" s="58"/>
      <c r="L78" s="58"/>
      <c r="M78" s="58"/>
      <c r="N78" s="58"/>
      <c r="O78" s="58"/>
      <c r="P78" s="58"/>
      <c r="Q78" s="58"/>
      <c r="R78" s="58"/>
      <c r="S78" s="58"/>
      <c r="T78" s="58"/>
      <c r="U78" s="58"/>
      <c r="V78" s="58"/>
      <c r="W78" s="58"/>
      <c r="X78" s="58"/>
    </row>
    <row r="79" spans="1:24" ht="18.75" customHeight="1" x14ac:dyDescent="0.25">
      <c r="A79" s="651"/>
      <c r="B79" s="688" t="s">
        <v>207</v>
      </c>
      <c r="C79" s="59" t="s">
        <v>200</v>
      </c>
      <c r="D79" s="58"/>
      <c r="E79" s="58"/>
      <c r="F79" s="58"/>
      <c r="G79" s="58"/>
      <c r="H79" s="58"/>
      <c r="I79" s="58"/>
      <c r="J79" s="58"/>
      <c r="K79" s="58"/>
      <c r="L79" s="58"/>
      <c r="M79" s="58"/>
      <c r="N79" s="58"/>
      <c r="O79" s="58"/>
      <c r="P79" s="58"/>
      <c r="Q79" s="58"/>
      <c r="R79" s="58"/>
      <c r="S79" s="58"/>
      <c r="T79" s="58"/>
      <c r="U79" s="58"/>
      <c r="V79" s="58"/>
      <c r="W79" s="58"/>
      <c r="X79" s="58"/>
    </row>
    <row r="80" spans="1:24" ht="18.75" customHeight="1" x14ac:dyDescent="0.25">
      <c r="A80" s="651"/>
      <c r="B80" s="652"/>
      <c r="C80" s="59" t="s">
        <v>205</v>
      </c>
      <c r="D80" s="58" t="s">
        <v>201</v>
      </c>
      <c r="E80" s="58" t="s">
        <v>226</v>
      </c>
      <c r="F80" s="58">
        <v>7.8</v>
      </c>
      <c r="G80" s="58">
        <v>587</v>
      </c>
      <c r="H80" s="58">
        <v>701</v>
      </c>
      <c r="I80" s="58">
        <v>170</v>
      </c>
      <c r="J80" s="58" t="s">
        <v>227</v>
      </c>
      <c r="K80" s="58">
        <v>140</v>
      </c>
      <c r="L80" s="58">
        <v>36</v>
      </c>
      <c r="M80" s="58">
        <v>19.2</v>
      </c>
      <c r="N80" s="58">
        <v>54.2</v>
      </c>
      <c r="O80" s="58">
        <v>2.7</v>
      </c>
      <c r="P80" s="58">
        <v>110</v>
      </c>
      <c r="Q80" s="58">
        <v>46.4</v>
      </c>
      <c r="R80" s="58">
        <v>6.2</v>
      </c>
      <c r="S80" s="58">
        <v>0.4</v>
      </c>
      <c r="T80" s="58">
        <v>7.0000000000000007E-2</v>
      </c>
      <c r="U80" s="58">
        <v>4</v>
      </c>
      <c r="V80" s="58" t="s">
        <v>223</v>
      </c>
      <c r="W80" s="58" t="s">
        <v>228</v>
      </c>
      <c r="X80" s="58" t="s">
        <v>228</v>
      </c>
    </row>
    <row r="81" spans="1:24" ht="18.75" customHeight="1" x14ac:dyDescent="0.25">
      <c r="A81" s="651"/>
      <c r="B81" s="58"/>
      <c r="C81" s="59" t="s">
        <v>225</v>
      </c>
      <c r="D81" s="58" t="s">
        <v>201</v>
      </c>
      <c r="E81" s="58" t="s">
        <v>226</v>
      </c>
      <c r="F81" s="58">
        <v>7.21</v>
      </c>
      <c r="G81" s="58">
        <v>1095</v>
      </c>
      <c r="H81" s="58">
        <v>701</v>
      </c>
      <c r="I81" s="58">
        <v>440</v>
      </c>
      <c r="J81" s="58" t="s">
        <v>227</v>
      </c>
      <c r="K81" s="58">
        <v>290</v>
      </c>
      <c r="L81" s="58">
        <v>120</v>
      </c>
      <c r="M81" s="58">
        <v>33.6</v>
      </c>
      <c r="N81" s="58">
        <v>46.1</v>
      </c>
      <c r="O81" s="58">
        <v>3.5</v>
      </c>
      <c r="P81" s="58">
        <v>110</v>
      </c>
      <c r="Q81" s="58">
        <v>89.4</v>
      </c>
      <c r="R81" s="58">
        <v>10.5</v>
      </c>
      <c r="S81" s="58">
        <v>0.5</v>
      </c>
      <c r="T81" s="58">
        <v>0.11</v>
      </c>
      <c r="U81" s="58">
        <v>7.1</v>
      </c>
      <c r="V81" s="58" t="s">
        <v>223</v>
      </c>
      <c r="W81" s="58" t="s">
        <v>228</v>
      </c>
      <c r="X81" s="58" t="s">
        <v>229</v>
      </c>
    </row>
    <row r="82" spans="1:24" ht="18.75" customHeight="1" x14ac:dyDescent="0.25">
      <c r="A82" s="651"/>
      <c r="B82" s="688" t="s">
        <v>208</v>
      </c>
      <c r="C82" s="59" t="s">
        <v>200</v>
      </c>
      <c r="D82" s="58"/>
      <c r="E82" s="58"/>
      <c r="F82" s="58"/>
      <c r="G82" s="58"/>
      <c r="H82" s="58"/>
      <c r="I82" s="58"/>
      <c r="J82" s="58"/>
      <c r="K82" s="58"/>
      <c r="L82" s="58"/>
      <c r="M82" s="58"/>
      <c r="N82" s="58"/>
      <c r="O82" s="58"/>
      <c r="P82" s="58"/>
      <c r="Q82" s="58"/>
      <c r="R82" s="58"/>
      <c r="S82" s="58"/>
      <c r="T82" s="58"/>
      <c r="U82" s="58"/>
      <c r="V82" s="58"/>
      <c r="W82" s="58"/>
      <c r="X82" s="58"/>
    </row>
    <row r="83" spans="1:24" ht="18.75" customHeight="1" x14ac:dyDescent="0.25">
      <c r="A83" s="651"/>
      <c r="B83" s="652"/>
      <c r="C83" s="59" t="s">
        <v>205</v>
      </c>
      <c r="D83" s="58"/>
      <c r="E83" s="58"/>
      <c r="F83" s="58"/>
      <c r="G83" s="58"/>
      <c r="H83" s="58"/>
      <c r="I83" s="58"/>
      <c r="J83" s="58"/>
      <c r="K83" s="58"/>
      <c r="L83" s="58"/>
      <c r="M83" s="58"/>
      <c r="N83" s="58"/>
      <c r="O83" s="58"/>
      <c r="P83" s="58"/>
      <c r="Q83" s="58"/>
      <c r="R83" s="58"/>
      <c r="S83" s="58"/>
      <c r="T83" s="58"/>
      <c r="U83" s="58"/>
      <c r="V83" s="58"/>
      <c r="W83" s="58"/>
      <c r="X83" s="58"/>
    </row>
    <row r="84" spans="1:24" ht="18.75" customHeight="1" x14ac:dyDescent="0.25">
      <c r="A84" s="652"/>
      <c r="B84" s="58"/>
      <c r="C84" s="59" t="s">
        <v>225</v>
      </c>
      <c r="D84" s="58"/>
      <c r="E84" s="58"/>
      <c r="F84" s="58"/>
      <c r="G84" s="58"/>
      <c r="H84" s="58"/>
      <c r="I84" s="58"/>
      <c r="J84" s="58"/>
      <c r="K84" s="58"/>
      <c r="L84" s="58"/>
      <c r="M84" s="58"/>
      <c r="N84" s="58"/>
      <c r="O84" s="58"/>
      <c r="P84" s="58"/>
      <c r="Q84" s="58"/>
      <c r="R84" s="58"/>
      <c r="S84" s="58"/>
      <c r="T84" s="58"/>
      <c r="U84" s="58"/>
      <c r="V84" s="58"/>
      <c r="W84" s="58"/>
      <c r="X84" s="58"/>
    </row>
    <row r="85" spans="1:24" ht="18.75" customHeight="1" x14ac:dyDescent="0.25">
      <c r="A85" s="692" t="s">
        <v>230</v>
      </c>
      <c r="B85" s="687" t="s">
        <v>199</v>
      </c>
      <c r="C85" s="11" t="s">
        <v>200</v>
      </c>
      <c r="D85" s="1" t="s">
        <v>201</v>
      </c>
      <c r="E85" s="1" t="s">
        <v>201</v>
      </c>
      <c r="F85" s="1">
        <v>7.14</v>
      </c>
      <c r="G85" s="1">
        <v>574</v>
      </c>
      <c r="H85" s="1">
        <v>369</v>
      </c>
      <c r="I85" s="1">
        <v>180</v>
      </c>
      <c r="J85" s="1" t="s">
        <v>201</v>
      </c>
      <c r="K85" s="1">
        <v>140</v>
      </c>
      <c r="L85" s="1">
        <v>36</v>
      </c>
      <c r="M85" s="1">
        <v>21.6</v>
      </c>
      <c r="N85" s="1">
        <v>47.1</v>
      </c>
      <c r="O85" s="1">
        <v>2.4</v>
      </c>
      <c r="P85" s="1">
        <v>60</v>
      </c>
      <c r="Q85" s="1">
        <v>55.6</v>
      </c>
      <c r="R85" s="1">
        <v>4.4000000000000004</v>
      </c>
      <c r="S85" s="1">
        <v>0.27</v>
      </c>
      <c r="T85" s="1">
        <v>0.08</v>
      </c>
      <c r="U85" s="1">
        <v>2.1</v>
      </c>
      <c r="V85" s="1" t="s">
        <v>223</v>
      </c>
      <c r="W85" s="1" t="s">
        <v>223</v>
      </c>
      <c r="X85" s="1" t="s">
        <v>223</v>
      </c>
    </row>
    <row r="86" spans="1:24" ht="24.75" customHeight="1" x14ac:dyDescent="0.25">
      <c r="A86" s="651"/>
      <c r="B86" s="652"/>
      <c r="C86" s="11" t="s">
        <v>205</v>
      </c>
      <c r="D86" s="1"/>
      <c r="E86" s="1"/>
      <c r="F86" s="1"/>
      <c r="G86" s="1"/>
      <c r="H86" s="1"/>
      <c r="I86" s="1"/>
      <c r="J86" s="1"/>
      <c r="K86" s="1"/>
      <c r="L86" s="1"/>
      <c r="M86" s="1"/>
      <c r="N86" s="1"/>
      <c r="O86" s="1"/>
      <c r="P86" s="1"/>
      <c r="Q86" s="1"/>
      <c r="R86" s="1"/>
      <c r="S86" s="1"/>
      <c r="T86" s="1"/>
      <c r="U86" s="1"/>
      <c r="V86" s="1"/>
      <c r="W86" s="1"/>
      <c r="X86" s="1"/>
    </row>
    <row r="87" spans="1:24" ht="18.75" customHeight="1" x14ac:dyDescent="0.25">
      <c r="A87" s="651"/>
      <c r="B87" s="687" t="s">
        <v>206</v>
      </c>
      <c r="C87" s="11" t="s">
        <v>200</v>
      </c>
      <c r="D87" s="1"/>
      <c r="E87" s="1"/>
      <c r="F87" s="1"/>
      <c r="G87" s="1"/>
      <c r="H87" s="1"/>
      <c r="I87" s="1"/>
      <c r="J87" s="1"/>
      <c r="K87" s="1"/>
      <c r="L87" s="1"/>
      <c r="M87" s="1"/>
      <c r="N87" s="1"/>
      <c r="O87" s="1"/>
      <c r="P87" s="1"/>
      <c r="Q87" s="1"/>
      <c r="R87" s="1"/>
      <c r="S87" s="1"/>
      <c r="T87" s="1"/>
      <c r="U87" s="1"/>
      <c r="V87" s="1"/>
      <c r="W87" s="1"/>
      <c r="X87" s="1"/>
    </row>
    <row r="88" spans="1:24" ht="25.5" customHeight="1" x14ac:dyDescent="0.25">
      <c r="A88" s="651"/>
      <c r="B88" s="652"/>
      <c r="C88" s="11" t="s">
        <v>205</v>
      </c>
      <c r="D88" s="1"/>
      <c r="E88" s="1"/>
      <c r="F88" s="1"/>
      <c r="G88" s="1"/>
      <c r="H88" s="1"/>
      <c r="I88" s="1"/>
      <c r="J88" s="1"/>
      <c r="K88" s="1"/>
      <c r="L88" s="1"/>
      <c r="M88" s="1"/>
      <c r="N88" s="1"/>
      <c r="O88" s="1"/>
      <c r="P88" s="1"/>
      <c r="Q88" s="1"/>
      <c r="R88" s="1"/>
      <c r="S88" s="1"/>
      <c r="T88" s="1"/>
      <c r="U88" s="1"/>
      <c r="V88" s="1"/>
      <c r="W88" s="1"/>
      <c r="X88" s="1"/>
    </row>
    <row r="89" spans="1:24" ht="18.75" customHeight="1" x14ac:dyDescent="0.25">
      <c r="A89" s="651"/>
      <c r="B89" s="687" t="s">
        <v>207</v>
      </c>
      <c r="C89" s="11" t="s">
        <v>200</v>
      </c>
      <c r="D89" s="1" t="s">
        <v>201</v>
      </c>
      <c r="E89" s="1" t="s">
        <v>226</v>
      </c>
      <c r="F89" s="1">
        <v>7.74</v>
      </c>
      <c r="G89" s="1">
        <v>729</v>
      </c>
      <c r="H89" s="1">
        <v>461</v>
      </c>
      <c r="I89" s="1">
        <v>190</v>
      </c>
      <c r="J89" s="1" t="s">
        <v>227</v>
      </c>
      <c r="K89" s="1">
        <v>180</v>
      </c>
      <c r="L89" s="1">
        <v>40</v>
      </c>
      <c r="M89" s="1">
        <v>21</v>
      </c>
      <c r="N89" s="1">
        <v>77.7</v>
      </c>
      <c r="O89" s="1">
        <v>3.1</v>
      </c>
      <c r="P89" s="1">
        <v>75</v>
      </c>
      <c r="Q89" s="1">
        <v>69.400000000000006</v>
      </c>
      <c r="R89" s="1">
        <v>6.8</v>
      </c>
      <c r="S89" s="1">
        <v>0.41</v>
      </c>
      <c r="T89" s="1">
        <v>0.09</v>
      </c>
      <c r="U89" s="1">
        <v>4.5</v>
      </c>
      <c r="V89" s="1" t="s">
        <v>223</v>
      </c>
      <c r="W89" s="1" t="s">
        <v>228</v>
      </c>
      <c r="X89" s="1" t="s">
        <v>228</v>
      </c>
    </row>
    <row r="90" spans="1:24" ht="18.75" customHeight="1" x14ac:dyDescent="0.25">
      <c r="A90" s="651"/>
      <c r="B90" s="652"/>
      <c r="C90" s="11" t="s">
        <v>205</v>
      </c>
      <c r="D90" s="1"/>
      <c r="E90" s="1"/>
      <c r="F90" s="1"/>
      <c r="G90" s="1"/>
      <c r="H90" s="1"/>
      <c r="I90" s="1"/>
      <c r="J90" s="1"/>
      <c r="K90" s="1"/>
      <c r="L90" s="1"/>
      <c r="M90" s="1"/>
      <c r="N90" s="1"/>
      <c r="O90" s="1"/>
      <c r="P90" s="1"/>
      <c r="Q90" s="1"/>
      <c r="R90" s="1"/>
      <c r="S90" s="1"/>
      <c r="T90" s="1"/>
      <c r="U90" s="1"/>
      <c r="V90" s="1"/>
      <c r="W90" s="1"/>
      <c r="X90" s="1"/>
    </row>
    <row r="91" spans="1:24" ht="18.75" customHeight="1" x14ac:dyDescent="0.25">
      <c r="A91" s="651"/>
      <c r="B91" s="1"/>
      <c r="C91" s="11" t="s">
        <v>225</v>
      </c>
      <c r="D91" s="1">
        <v>5</v>
      </c>
      <c r="E91" s="1">
        <v>4.0999999999999996</v>
      </c>
      <c r="F91" s="1">
        <v>7.05</v>
      </c>
      <c r="G91" s="1">
        <v>1069</v>
      </c>
      <c r="H91" s="1">
        <v>689</v>
      </c>
      <c r="I91" s="1">
        <v>330</v>
      </c>
      <c r="J91" s="1">
        <v>1</v>
      </c>
      <c r="K91" s="1">
        <v>340</v>
      </c>
      <c r="L91" s="1">
        <v>84</v>
      </c>
      <c r="M91" s="1">
        <v>28.8</v>
      </c>
      <c r="N91" s="1">
        <v>91</v>
      </c>
      <c r="O91" s="1">
        <v>3.9</v>
      </c>
      <c r="P91" s="1">
        <v>95</v>
      </c>
      <c r="Q91" s="1">
        <v>50.1</v>
      </c>
      <c r="R91" s="1">
        <v>9.4</v>
      </c>
      <c r="S91" s="1">
        <v>0.51</v>
      </c>
      <c r="T91" s="1">
        <v>0.14000000000000001</v>
      </c>
      <c r="U91" s="1">
        <v>5.7</v>
      </c>
      <c r="V91" s="1">
        <v>49</v>
      </c>
      <c r="W91" s="1" t="s">
        <v>223</v>
      </c>
      <c r="X91" s="1" t="s">
        <v>223</v>
      </c>
    </row>
    <row r="92" spans="1:24" ht="18.75" customHeight="1" x14ac:dyDescent="0.25">
      <c r="A92" s="651"/>
      <c r="B92" s="687" t="s">
        <v>208</v>
      </c>
      <c r="C92" s="11" t="s">
        <v>200</v>
      </c>
      <c r="D92" s="1"/>
      <c r="E92" s="1"/>
      <c r="F92" s="1"/>
      <c r="G92" s="1"/>
      <c r="H92" s="1"/>
      <c r="I92" s="1"/>
      <c r="J92" s="1"/>
      <c r="K92" s="1"/>
      <c r="L92" s="1"/>
      <c r="M92" s="1"/>
      <c r="N92" s="1"/>
      <c r="O92" s="1"/>
      <c r="P92" s="1"/>
      <c r="Q92" s="1"/>
      <c r="R92" s="1"/>
      <c r="S92" s="1"/>
      <c r="T92" s="1"/>
      <c r="U92" s="1"/>
      <c r="V92" s="1"/>
      <c r="W92" s="1"/>
      <c r="X92" s="1"/>
    </row>
    <row r="93" spans="1:24" ht="30" customHeight="1" x14ac:dyDescent="0.25">
      <c r="A93" s="652"/>
      <c r="B93" s="652"/>
      <c r="C93" s="11" t="s">
        <v>205</v>
      </c>
      <c r="D93" s="1"/>
      <c r="E93" s="1"/>
      <c r="F93" s="1"/>
      <c r="G93" s="1"/>
      <c r="H93" s="1"/>
      <c r="I93" s="1"/>
      <c r="J93" s="1"/>
      <c r="K93" s="1"/>
      <c r="L93" s="1"/>
      <c r="M93" s="1"/>
      <c r="N93" s="1"/>
      <c r="O93" s="1"/>
      <c r="P93" s="1"/>
      <c r="Q93" s="1"/>
      <c r="R93" s="1"/>
      <c r="S93" s="1"/>
      <c r="T93" s="1"/>
      <c r="U93" s="1"/>
      <c r="V93" s="1"/>
      <c r="W93" s="1"/>
      <c r="X93" s="1"/>
    </row>
    <row r="94" spans="1:24" ht="18.75" customHeight="1" x14ac:dyDescent="0.25">
      <c r="A94" s="693" t="s">
        <v>112</v>
      </c>
      <c r="B94" s="688" t="s">
        <v>199</v>
      </c>
      <c r="C94" s="59" t="s">
        <v>200</v>
      </c>
      <c r="D94" s="58"/>
      <c r="E94" s="58"/>
      <c r="F94" s="58"/>
      <c r="G94" s="58"/>
      <c r="H94" s="58"/>
      <c r="I94" s="58"/>
      <c r="J94" s="58"/>
      <c r="K94" s="58"/>
      <c r="L94" s="58"/>
      <c r="M94" s="58"/>
      <c r="N94" s="58"/>
      <c r="O94" s="58"/>
      <c r="P94" s="58"/>
      <c r="Q94" s="58"/>
      <c r="R94" s="58"/>
      <c r="S94" s="58"/>
      <c r="T94" s="58"/>
      <c r="U94" s="58"/>
      <c r="V94" s="58"/>
      <c r="W94" s="58"/>
      <c r="X94" s="58"/>
    </row>
    <row r="95" spans="1:24" ht="18.75" customHeight="1" x14ac:dyDescent="0.25">
      <c r="A95" s="651"/>
      <c r="B95" s="651"/>
      <c r="C95" s="59" t="s">
        <v>231</v>
      </c>
      <c r="D95" s="58" t="s">
        <v>201</v>
      </c>
      <c r="E95" s="58" t="s">
        <v>227</v>
      </c>
      <c r="F95" s="58">
        <v>6.92</v>
      </c>
      <c r="G95" s="58">
        <v>1429</v>
      </c>
      <c r="H95" s="58">
        <v>929</v>
      </c>
      <c r="I95" s="58">
        <v>540</v>
      </c>
      <c r="J95" s="58" t="s">
        <v>227</v>
      </c>
      <c r="K95" s="58">
        <v>330</v>
      </c>
      <c r="L95" s="58">
        <v>188</v>
      </c>
      <c r="M95" s="58">
        <v>16.8</v>
      </c>
      <c r="N95" s="58">
        <v>76.8</v>
      </c>
      <c r="O95" s="58">
        <v>4.3</v>
      </c>
      <c r="P95" s="58">
        <v>90</v>
      </c>
      <c r="Q95" s="58">
        <v>221.9</v>
      </c>
      <c r="R95" s="58">
        <v>31.6</v>
      </c>
      <c r="S95" s="58">
        <v>0.55000000000000004</v>
      </c>
      <c r="T95" s="58">
        <v>0.18</v>
      </c>
      <c r="U95" s="58">
        <v>18.600000000000001</v>
      </c>
      <c r="V95" s="58">
        <v>45100</v>
      </c>
      <c r="W95" s="58">
        <v>39</v>
      </c>
      <c r="X95" s="58">
        <v>2</v>
      </c>
    </row>
    <row r="96" spans="1:24" ht="18.75" customHeight="1" x14ac:dyDescent="0.25">
      <c r="A96" s="651"/>
      <c r="B96" s="651"/>
      <c r="C96" s="59" t="s">
        <v>232</v>
      </c>
      <c r="D96" s="58" t="s">
        <v>201</v>
      </c>
      <c r="E96" s="58" t="s">
        <v>227</v>
      </c>
      <c r="F96" s="58">
        <v>7.24</v>
      </c>
      <c r="G96" s="58">
        <v>1463</v>
      </c>
      <c r="H96" s="58">
        <v>952</v>
      </c>
      <c r="I96" s="58">
        <v>580</v>
      </c>
      <c r="J96" s="58" t="s">
        <v>227</v>
      </c>
      <c r="K96" s="58">
        <v>330</v>
      </c>
      <c r="L96" s="58">
        <v>132</v>
      </c>
      <c r="M96" s="58">
        <v>60</v>
      </c>
      <c r="N96" s="58">
        <v>65.8</v>
      </c>
      <c r="O96" s="58">
        <v>5.0999999999999996</v>
      </c>
      <c r="P96" s="58">
        <v>145</v>
      </c>
      <c r="Q96" s="58">
        <v>163.4</v>
      </c>
      <c r="R96" s="58">
        <v>32.200000000000003</v>
      </c>
      <c r="S96" s="58">
        <v>0.5</v>
      </c>
      <c r="T96" s="58">
        <v>0.24</v>
      </c>
      <c r="U96" s="58">
        <v>16.2</v>
      </c>
      <c r="V96" s="58">
        <v>39600</v>
      </c>
      <c r="W96" s="58">
        <v>21</v>
      </c>
      <c r="X96" s="58">
        <v>2</v>
      </c>
    </row>
    <row r="97" spans="1:24" ht="18.75" customHeight="1" x14ac:dyDescent="0.25">
      <c r="A97" s="651"/>
      <c r="B97" s="651"/>
      <c r="C97" s="59" t="s">
        <v>233</v>
      </c>
      <c r="D97" s="58" t="s">
        <v>201</v>
      </c>
      <c r="E97" s="58" t="s">
        <v>227</v>
      </c>
      <c r="F97" s="58">
        <v>7.04</v>
      </c>
      <c r="G97" s="58">
        <v>1593</v>
      </c>
      <c r="H97" s="58">
        <v>1035</v>
      </c>
      <c r="I97" s="58">
        <v>630</v>
      </c>
      <c r="J97" s="58" t="s">
        <v>227</v>
      </c>
      <c r="K97" s="58">
        <v>330</v>
      </c>
      <c r="L97" s="58">
        <v>156</v>
      </c>
      <c r="M97" s="58">
        <v>57.6</v>
      </c>
      <c r="N97" s="58">
        <v>72.8</v>
      </c>
      <c r="O97" s="58">
        <v>4.9000000000000004</v>
      </c>
      <c r="P97" s="58">
        <v>195</v>
      </c>
      <c r="Q97" s="58">
        <v>160.1</v>
      </c>
      <c r="R97" s="58">
        <v>29.8</v>
      </c>
      <c r="S97" s="58">
        <v>0.55000000000000004</v>
      </c>
      <c r="T97" s="58">
        <v>0.2</v>
      </c>
      <c r="U97" s="58">
        <v>15.2</v>
      </c>
      <c r="V97" s="58">
        <v>32400</v>
      </c>
      <c r="W97" s="58">
        <v>17</v>
      </c>
      <c r="X97" s="58">
        <v>2</v>
      </c>
    </row>
    <row r="98" spans="1:24" ht="18.75" customHeight="1" x14ac:dyDescent="0.25">
      <c r="A98" s="651"/>
      <c r="B98" s="651"/>
      <c r="C98" s="59" t="s">
        <v>234</v>
      </c>
      <c r="D98" s="58" t="s">
        <v>201</v>
      </c>
      <c r="E98" s="58" t="s">
        <v>227</v>
      </c>
      <c r="F98" s="58">
        <v>6.74</v>
      </c>
      <c r="G98" s="58">
        <v>180</v>
      </c>
      <c r="H98" s="58">
        <v>118</v>
      </c>
      <c r="I98" s="58">
        <v>50</v>
      </c>
      <c r="J98" s="58" t="s">
        <v>227</v>
      </c>
      <c r="K98" s="58">
        <v>30</v>
      </c>
      <c r="L98" s="58">
        <v>12</v>
      </c>
      <c r="M98" s="58">
        <v>4.8</v>
      </c>
      <c r="N98" s="58">
        <v>16.8</v>
      </c>
      <c r="O98" s="58">
        <v>2</v>
      </c>
      <c r="P98" s="58">
        <v>20</v>
      </c>
      <c r="Q98" s="58">
        <v>26.2</v>
      </c>
      <c r="R98" s="58">
        <v>5.6</v>
      </c>
      <c r="S98" s="58">
        <v>0.15</v>
      </c>
      <c r="T98" s="58">
        <v>0.05</v>
      </c>
      <c r="U98" s="58">
        <v>2.2000000000000002</v>
      </c>
      <c r="V98" s="58" t="s">
        <v>223</v>
      </c>
      <c r="W98" s="58" t="s">
        <v>223</v>
      </c>
      <c r="X98" s="58" t="s">
        <v>223</v>
      </c>
    </row>
    <row r="99" spans="1:24" ht="18.75" customHeight="1" x14ac:dyDescent="0.25">
      <c r="A99" s="651"/>
      <c r="B99" s="651"/>
      <c r="C99" s="59" t="s">
        <v>235</v>
      </c>
      <c r="D99" s="58" t="s">
        <v>201</v>
      </c>
      <c r="E99" s="58" t="s">
        <v>227</v>
      </c>
      <c r="F99" s="58">
        <v>6.56</v>
      </c>
      <c r="G99" s="58">
        <v>177</v>
      </c>
      <c r="H99" s="58">
        <v>115</v>
      </c>
      <c r="I99" s="58">
        <v>50</v>
      </c>
      <c r="J99" s="58" t="s">
        <v>227</v>
      </c>
      <c r="K99" s="58">
        <v>30</v>
      </c>
      <c r="L99" s="58">
        <v>12</v>
      </c>
      <c r="M99" s="58">
        <v>4.8</v>
      </c>
      <c r="N99" s="58">
        <v>15.9</v>
      </c>
      <c r="O99" s="58">
        <v>1.6</v>
      </c>
      <c r="P99" s="58">
        <v>20</v>
      </c>
      <c r="Q99" s="58">
        <v>24.3</v>
      </c>
      <c r="R99" s="58">
        <v>5</v>
      </c>
      <c r="S99" s="58">
        <v>0.18</v>
      </c>
      <c r="T99" s="58">
        <v>0.06</v>
      </c>
      <c r="U99" s="58">
        <v>2.6</v>
      </c>
      <c r="V99" s="58" t="s">
        <v>223</v>
      </c>
      <c r="W99" s="58" t="s">
        <v>223</v>
      </c>
      <c r="X99" s="58" t="s">
        <v>223</v>
      </c>
    </row>
    <row r="100" spans="1:24" ht="18.75" customHeight="1" x14ac:dyDescent="0.25">
      <c r="A100" s="651"/>
      <c r="B100" s="652"/>
      <c r="C100" s="59" t="s">
        <v>215</v>
      </c>
      <c r="D100" s="58" t="s">
        <v>201</v>
      </c>
      <c r="E100" s="58" t="s">
        <v>227</v>
      </c>
      <c r="F100" s="58">
        <v>7.36</v>
      </c>
      <c r="G100" s="58">
        <v>1432</v>
      </c>
      <c r="H100" s="58">
        <v>930</v>
      </c>
      <c r="I100" s="58">
        <v>560</v>
      </c>
      <c r="J100" s="58" t="s">
        <v>227</v>
      </c>
      <c r="K100" s="58">
        <v>340</v>
      </c>
      <c r="L100" s="58">
        <v>156</v>
      </c>
      <c r="M100" s="58">
        <v>40.799999999999997</v>
      </c>
      <c r="N100" s="58">
        <v>67.900000000000006</v>
      </c>
      <c r="O100" s="58">
        <v>4.8</v>
      </c>
      <c r="P100" s="58">
        <v>115</v>
      </c>
      <c r="Q100" s="58">
        <v>182.8</v>
      </c>
      <c r="R100" s="58">
        <v>27.3</v>
      </c>
      <c r="S100" s="58">
        <v>0.52</v>
      </c>
      <c r="T100" s="58">
        <v>0.16</v>
      </c>
      <c r="U100" s="58">
        <v>12.4</v>
      </c>
      <c r="V100" s="58">
        <v>91000</v>
      </c>
      <c r="W100" s="58">
        <v>239</v>
      </c>
      <c r="X100" s="58">
        <v>32</v>
      </c>
    </row>
    <row r="101" spans="1:24" ht="18.75" customHeight="1" x14ac:dyDescent="0.25">
      <c r="A101" s="651"/>
      <c r="B101" s="707" t="s">
        <v>206</v>
      </c>
      <c r="C101" s="249" t="s">
        <v>200</v>
      </c>
      <c r="D101" s="58"/>
      <c r="E101" s="58"/>
      <c r="F101" s="58"/>
      <c r="G101" s="58"/>
      <c r="H101" s="58"/>
      <c r="I101" s="58"/>
      <c r="J101" s="58"/>
      <c r="K101" s="58"/>
      <c r="L101" s="58"/>
      <c r="M101" s="58"/>
      <c r="N101" s="58"/>
      <c r="O101" s="58"/>
      <c r="P101" s="58"/>
      <c r="Q101" s="58"/>
      <c r="R101" s="58"/>
      <c r="S101" s="58"/>
      <c r="T101" s="58"/>
      <c r="U101" s="58"/>
      <c r="V101" s="58"/>
      <c r="W101" s="58"/>
      <c r="X101" s="58"/>
    </row>
    <row r="102" spans="1:24" ht="18.75" customHeight="1" x14ac:dyDescent="0.25">
      <c r="A102" s="651"/>
      <c r="B102" s="655"/>
      <c r="C102" s="249" t="s">
        <v>231</v>
      </c>
      <c r="D102" s="58"/>
      <c r="E102" s="58"/>
      <c r="F102" s="58"/>
      <c r="G102" s="58"/>
      <c r="H102" s="58"/>
      <c r="I102" s="58"/>
      <c r="J102" s="58"/>
      <c r="K102" s="58"/>
      <c r="L102" s="58"/>
      <c r="M102" s="58"/>
      <c r="N102" s="58"/>
      <c r="O102" s="58"/>
      <c r="P102" s="58"/>
      <c r="Q102" s="58"/>
      <c r="R102" s="58"/>
      <c r="S102" s="58"/>
      <c r="T102" s="58"/>
      <c r="U102" s="58"/>
      <c r="V102" s="58"/>
      <c r="W102" s="58"/>
      <c r="X102" s="58"/>
    </row>
    <row r="103" spans="1:24" ht="18.75" customHeight="1" x14ac:dyDescent="0.25">
      <c r="A103" s="651"/>
      <c r="B103" s="655"/>
      <c r="C103" s="249" t="s">
        <v>232</v>
      </c>
      <c r="D103" s="58"/>
      <c r="E103" s="58"/>
      <c r="F103" s="58"/>
      <c r="G103" s="58"/>
      <c r="H103" s="58"/>
      <c r="I103" s="58"/>
      <c r="J103" s="58"/>
      <c r="K103" s="58"/>
      <c r="L103" s="58"/>
      <c r="M103" s="58"/>
      <c r="N103" s="58"/>
      <c r="O103" s="58"/>
      <c r="P103" s="58"/>
      <c r="Q103" s="58"/>
      <c r="R103" s="58"/>
      <c r="S103" s="58"/>
      <c r="T103" s="58"/>
      <c r="U103" s="58"/>
      <c r="V103" s="58"/>
      <c r="W103" s="58"/>
      <c r="X103" s="58"/>
    </row>
    <row r="104" spans="1:24" ht="18.75" customHeight="1" x14ac:dyDescent="0.25">
      <c r="A104" s="651"/>
      <c r="B104" s="655"/>
      <c r="C104" s="249" t="s">
        <v>233</v>
      </c>
      <c r="D104" s="58"/>
      <c r="E104" s="58"/>
      <c r="F104" s="58"/>
      <c r="G104" s="58"/>
      <c r="H104" s="58"/>
      <c r="I104" s="58"/>
      <c r="J104" s="58"/>
      <c r="K104" s="58"/>
      <c r="L104" s="58"/>
      <c r="M104" s="58"/>
      <c r="N104" s="58"/>
      <c r="O104" s="58"/>
      <c r="P104" s="58"/>
      <c r="Q104" s="58"/>
      <c r="R104" s="58"/>
      <c r="S104" s="58"/>
      <c r="T104" s="58"/>
      <c r="U104" s="58"/>
      <c r="V104" s="58"/>
      <c r="W104" s="58"/>
      <c r="X104" s="58"/>
    </row>
    <row r="105" spans="1:24" ht="18.75" customHeight="1" x14ac:dyDescent="0.25">
      <c r="A105" s="651"/>
      <c r="B105" s="655"/>
      <c r="C105" s="249" t="s">
        <v>234</v>
      </c>
      <c r="D105" s="58"/>
      <c r="E105" s="58"/>
      <c r="F105" s="58"/>
      <c r="G105" s="58"/>
      <c r="H105" s="58"/>
      <c r="I105" s="58"/>
      <c r="J105" s="58"/>
      <c r="K105" s="58"/>
      <c r="L105" s="58"/>
      <c r="M105" s="58"/>
      <c r="N105" s="58"/>
      <c r="O105" s="58"/>
      <c r="P105" s="58"/>
      <c r="Q105" s="58"/>
      <c r="R105" s="58"/>
      <c r="S105" s="58"/>
      <c r="T105" s="58"/>
      <c r="U105" s="58"/>
      <c r="V105" s="58"/>
      <c r="W105" s="58"/>
      <c r="X105" s="58"/>
    </row>
    <row r="106" spans="1:24" ht="18.75" customHeight="1" x14ac:dyDescent="0.25">
      <c r="A106" s="651"/>
      <c r="B106" s="655"/>
      <c r="C106" s="249" t="s">
        <v>235</v>
      </c>
      <c r="D106" s="58"/>
      <c r="E106" s="58"/>
      <c r="F106" s="58"/>
      <c r="G106" s="58"/>
      <c r="H106" s="58"/>
      <c r="I106" s="58"/>
      <c r="J106" s="58"/>
      <c r="K106" s="58"/>
      <c r="L106" s="58"/>
      <c r="M106" s="58"/>
      <c r="N106" s="58"/>
      <c r="O106" s="58"/>
      <c r="P106" s="58"/>
      <c r="Q106" s="58"/>
      <c r="R106" s="58"/>
      <c r="S106" s="58"/>
      <c r="T106" s="58"/>
      <c r="U106" s="58"/>
      <c r="V106" s="58"/>
      <c r="W106" s="58"/>
      <c r="X106" s="58"/>
    </row>
    <row r="107" spans="1:24" ht="18.75" customHeight="1" x14ac:dyDescent="0.25">
      <c r="A107" s="651"/>
      <c r="B107" s="656"/>
      <c r="C107" s="249" t="s">
        <v>215</v>
      </c>
      <c r="D107" s="58"/>
      <c r="E107" s="58"/>
      <c r="F107" s="58"/>
      <c r="G107" s="58"/>
      <c r="H107" s="58"/>
      <c r="I107" s="58"/>
      <c r="J107" s="58"/>
      <c r="K107" s="58"/>
      <c r="L107" s="58"/>
      <c r="M107" s="58"/>
      <c r="N107" s="58"/>
      <c r="O107" s="58"/>
      <c r="P107" s="58"/>
      <c r="Q107" s="58"/>
      <c r="R107" s="58"/>
      <c r="S107" s="58"/>
      <c r="T107" s="58"/>
      <c r="U107" s="58"/>
      <c r="V107" s="58"/>
      <c r="W107" s="58"/>
      <c r="X107" s="58"/>
    </row>
    <row r="108" spans="1:24" ht="18.75" customHeight="1" x14ac:dyDescent="0.25">
      <c r="A108" s="651"/>
      <c r="B108" s="695" t="s">
        <v>207</v>
      </c>
      <c r="C108" s="59" t="s">
        <v>200</v>
      </c>
      <c r="D108" s="58"/>
      <c r="E108" s="58"/>
      <c r="F108" s="58"/>
      <c r="G108" s="58"/>
      <c r="H108" s="58"/>
      <c r="I108" s="58"/>
      <c r="J108" s="58"/>
      <c r="K108" s="58"/>
      <c r="L108" s="58"/>
      <c r="M108" s="58"/>
      <c r="N108" s="58"/>
      <c r="O108" s="58"/>
      <c r="P108" s="58"/>
      <c r="Q108" s="58"/>
      <c r="R108" s="58"/>
      <c r="S108" s="58"/>
      <c r="T108" s="58"/>
      <c r="U108" s="58"/>
      <c r="V108" s="58"/>
      <c r="W108" s="58"/>
      <c r="X108" s="58"/>
    </row>
    <row r="109" spans="1:24" ht="18.75" customHeight="1" x14ac:dyDescent="0.25">
      <c r="A109" s="651"/>
      <c r="B109" s="651"/>
      <c r="C109" s="59" t="s">
        <v>231</v>
      </c>
      <c r="D109" s="58"/>
      <c r="E109" s="58"/>
      <c r="F109" s="58"/>
      <c r="G109" s="58"/>
      <c r="H109" s="58"/>
      <c r="I109" s="58"/>
      <c r="J109" s="58"/>
      <c r="K109" s="58"/>
      <c r="L109" s="58"/>
      <c r="M109" s="58"/>
      <c r="N109" s="58"/>
      <c r="O109" s="58"/>
      <c r="P109" s="58"/>
      <c r="Q109" s="58"/>
      <c r="R109" s="58"/>
      <c r="S109" s="58"/>
      <c r="T109" s="58"/>
      <c r="U109" s="58"/>
      <c r="V109" s="58"/>
      <c r="W109" s="58"/>
      <c r="X109" s="58"/>
    </row>
    <row r="110" spans="1:24" ht="18.75" customHeight="1" x14ac:dyDescent="0.25">
      <c r="A110" s="651"/>
      <c r="B110" s="651"/>
      <c r="C110" s="59" t="s">
        <v>232</v>
      </c>
      <c r="D110" s="58"/>
      <c r="E110" s="58"/>
      <c r="F110" s="58"/>
      <c r="G110" s="58"/>
      <c r="H110" s="58"/>
      <c r="I110" s="58"/>
      <c r="J110" s="58"/>
      <c r="K110" s="58"/>
      <c r="L110" s="58"/>
      <c r="M110" s="58"/>
      <c r="N110" s="58"/>
      <c r="O110" s="58"/>
      <c r="P110" s="58"/>
      <c r="Q110" s="58"/>
      <c r="R110" s="58"/>
      <c r="S110" s="58"/>
      <c r="T110" s="58"/>
      <c r="U110" s="58"/>
      <c r="V110" s="58"/>
      <c r="W110" s="58"/>
      <c r="X110" s="58"/>
    </row>
    <row r="111" spans="1:24" ht="18.75" customHeight="1" x14ac:dyDescent="0.25">
      <c r="A111" s="651"/>
      <c r="B111" s="651"/>
      <c r="C111" s="59" t="s">
        <v>233</v>
      </c>
      <c r="D111" s="58"/>
      <c r="E111" s="58"/>
      <c r="F111" s="58"/>
      <c r="G111" s="58"/>
      <c r="H111" s="58"/>
      <c r="I111" s="58"/>
      <c r="J111" s="58"/>
      <c r="K111" s="58"/>
      <c r="L111" s="58"/>
      <c r="M111" s="58"/>
      <c r="N111" s="58"/>
      <c r="O111" s="58"/>
      <c r="P111" s="58"/>
      <c r="Q111" s="58"/>
      <c r="R111" s="58"/>
      <c r="S111" s="58"/>
      <c r="T111" s="58"/>
      <c r="U111" s="58"/>
      <c r="V111" s="58"/>
      <c r="W111" s="58"/>
      <c r="X111" s="58"/>
    </row>
    <row r="112" spans="1:24" ht="18.75" customHeight="1" x14ac:dyDescent="0.25">
      <c r="A112" s="651"/>
      <c r="B112" s="651"/>
      <c r="C112" s="59" t="s">
        <v>234</v>
      </c>
      <c r="D112" s="58"/>
      <c r="E112" s="58"/>
      <c r="F112" s="58"/>
      <c r="G112" s="58"/>
      <c r="H112" s="58"/>
      <c r="I112" s="58"/>
      <c r="J112" s="58"/>
      <c r="K112" s="58"/>
      <c r="L112" s="58"/>
      <c r="M112" s="58"/>
      <c r="N112" s="58"/>
      <c r="O112" s="58"/>
      <c r="P112" s="58"/>
      <c r="Q112" s="58"/>
      <c r="R112" s="58"/>
      <c r="S112" s="58"/>
      <c r="T112" s="58"/>
      <c r="U112" s="58"/>
      <c r="V112" s="58"/>
      <c r="W112" s="58"/>
      <c r="X112" s="58"/>
    </row>
    <row r="113" spans="1:25" ht="18.75" customHeight="1" x14ac:dyDescent="0.25">
      <c r="A113" s="651"/>
      <c r="B113" s="651"/>
      <c r="C113" s="59" t="s">
        <v>235</v>
      </c>
      <c r="D113" s="58"/>
      <c r="E113" s="58"/>
      <c r="F113" s="58"/>
      <c r="G113" s="58"/>
      <c r="H113" s="58"/>
      <c r="I113" s="58"/>
      <c r="J113" s="58"/>
      <c r="K113" s="58"/>
      <c r="L113" s="58"/>
      <c r="M113" s="58"/>
      <c r="N113" s="58"/>
      <c r="O113" s="58"/>
      <c r="P113" s="58"/>
      <c r="Q113" s="58"/>
      <c r="R113" s="58"/>
      <c r="S113" s="58"/>
      <c r="T113" s="58"/>
      <c r="U113" s="58"/>
      <c r="V113" s="58"/>
      <c r="W113" s="58"/>
      <c r="X113" s="58"/>
    </row>
    <row r="114" spans="1:25" ht="18.75" customHeight="1" x14ac:dyDescent="0.25">
      <c r="A114" s="651"/>
      <c r="B114" s="652"/>
      <c r="C114" s="59" t="s">
        <v>215</v>
      </c>
      <c r="D114" s="58"/>
      <c r="E114" s="58"/>
      <c r="F114" s="58"/>
      <c r="G114" s="58"/>
      <c r="H114" s="58"/>
      <c r="I114" s="58"/>
      <c r="J114" s="58"/>
      <c r="K114" s="58"/>
      <c r="L114" s="58"/>
      <c r="M114" s="58"/>
      <c r="N114" s="58"/>
      <c r="O114" s="58"/>
      <c r="P114" s="58"/>
      <c r="Q114" s="58"/>
      <c r="R114" s="58"/>
      <c r="S114" s="58"/>
      <c r="T114" s="58"/>
      <c r="U114" s="58"/>
      <c r="V114" s="58"/>
      <c r="W114" s="58"/>
      <c r="X114" s="58"/>
    </row>
    <row r="115" spans="1:25" ht="18.75" customHeight="1" x14ac:dyDescent="0.25">
      <c r="A115" s="651"/>
      <c r="B115" s="688" t="s">
        <v>207</v>
      </c>
      <c r="C115" s="59" t="s">
        <v>200</v>
      </c>
      <c r="D115" s="58"/>
      <c r="E115" s="58"/>
      <c r="F115" s="58"/>
      <c r="G115" s="58"/>
      <c r="H115" s="58"/>
      <c r="I115" s="58"/>
      <c r="J115" s="58"/>
      <c r="K115" s="58"/>
      <c r="L115" s="58"/>
      <c r="M115" s="58"/>
      <c r="N115" s="58"/>
      <c r="O115" s="58"/>
      <c r="P115" s="58"/>
      <c r="Q115" s="58"/>
      <c r="R115" s="58"/>
      <c r="S115" s="58"/>
      <c r="T115" s="58"/>
      <c r="U115" s="58"/>
      <c r="V115" s="58"/>
      <c r="W115" s="58"/>
      <c r="X115" s="58"/>
    </row>
    <row r="116" spans="1:25" ht="18.75" customHeight="1" x14ac:dyDescent="0.25">
      <c r="A116" s="651"/>
      <c r="B116" s="651"/>
      <c r="C116" s="59" t="s">
        <v>231</v>
      </c>
      <c r="D116" s="58"/>
      <c r="E116" s="58"/>
      <c r="F116" s="58"/>
      <c r="G116" s="58"/>
      <c r="H116" s="58"/>
      <c r="I116" s="58"/>
      <c r="J116" s="58"/>
      <c r="K116" s="58"/>
      <c r="L116" s="58"/>
      <c r="M116" s="58"/>
      <c r="N116" s="58"/>
      <c r="O116" s="58"/>
      <c r="P116" s="58"/>
      <c r="Q116" s="58"/>
      <c r="R116" s="58"/>
      <c r="S116" s="58"/>
      <c r="T116" s="58"/>
      <c r="U116" s="58"/>
      <c r="V116" s="58"/>
      <c r="W116" s="58"/>
      <c r="X116" s="58" t="s">
        <v>236</v>
      </c>
    </row>
    <row r="117" spans="1:25" ht="18.75" customHeight="1" x14ac:dyDescent="0.25">
      <c r="A117" s="651"/>
      <c r="B117" s="651"/>
      <c r="C117" s="59" t="s">
        <v>232</v>
      </c>
      <c r="D117" s="58"/>
      <c r="E117" s="58"/>
      <c r="F117" s="58"/>
      <c r="G117" s="58"/>
      <c r="H117" s="58"/>
      <c r="I117" s="58"/>
      <c r="J117" s="58"/>
      <c r="K117" s="58"/>
      <c r="L117" s="58"/>
      <c r="M117" s="58"/>
      <c r="N117" s="58"/>
      <c r="O117" s="58"/>
      <c r="P117" s="58"/>
      <c r="Q117" s="58"/>
      <c r="R117" s="58"/>
      <c r="S117" s="58"/>
      <c r="T117" s="58"/>
      <c r="U117" s="58"/>
      <c r="V117" s="58"/>
      <c r="W117" s="58"/>
      <c r="X117" s="58" t="s">
        <v>236</v>
      </c>
      <c r="Y117" s="163" t="s">
        <v>237</v>
      </c>
    </row>
    <row r="118" spans="1:25" ht="18.75" customHeight="1" x14ac:dyDescent="0.25">
      <c r="A118" s="651"/>
      <c r="B118" s="651"/>
      <c r="C118" s="59" t="s">
        <v>233</v>
      </c>
      <c r="D118" s="58"/>
      <c r="E118" s="58"/>
      <c r="F118" s="58"/>
      <c r="G118" s="58"/>
      <c r="H118" s="58"/>
      <c r="I118" s="58"/>
      <c r="J118" s="58"/>
      <c r="K118" s="58"/>
      <c r="L118" s="58"/>
      <c r="M118" s="58"/>
      <c r="N118" s="58"/>
      <c r="O118" s="58"/>
      <c r="P118" s="58"/>
      <c r="Q118" s="58"/>
      <c r="R118" s="58"/>
      <c r="S118" s="58"/>
      <c r="T118" s="58"/>
      <c r="U118" s="58"/>
      <c r="V118" s="58"/>
      <c r="W118" s="58"/>
      <c r="X118" s="58" t="s">
        <v>236</v>
      </c>
    </row>
    <row r="119" spans="1:25" ht="18.75" customHeight="1" x14ac:dyDescent="0.25">
      <c r="A119" s="651"/>
      <c r="B119" s="651"/>
      <c r="C119" s="59" t="s">
        <v>234</v>
      </c>
      <c r="D119" s="58"/>
      <c r="E119" s="58"/>
      <c r="F119" s="58"/>
      <c r="G119" s="58"/>
      <c r="H119" s="58"/>
      <c r="I119" s="58"/>
      <c r="J119" s="58"/>
      <c r="K119" s="58"/>
      <c r="L119" s="58"/>
      <c r="M119" s="58"/>
      <c r="N119" s="58"/>
      <c r="O119" s="58"/>
      <c r="P119" s="58"/>
      <c r="Q119" s="58"/>
      <c r="R119" s="58"/>
      <c r="S119" s="58"/>
      <c r="T119" s="58"/>
      <c r="U119" s="58"/>
      <c r="V119" s="58"/>
      <c r="W119" s="58"/>
      <c r="X119" s="58" t="s">
        <v>238</v>
      </c>
    </row>
    <row r="120" spans="1:25" ht="18.75" customHeight="1" x14ac:dyDescent="0.25">
      <c r="A120" s="651"/>
      <c r="B120" s="651"/>
      <c r="C120" s="59" t="s">
        <v>235</v>
      </c>
      <c r="D120" s="58"/>
      <c r="E120" s="58"/>
      <c r="F120" s="58"/>
      <c r="G120" s="58"/>
      <c r="H120" s="58"/>
      <c r="I120" s="58"/>
      <c r="J120" s="58"/>
      <c r="K120" s="58"/>
      <c r="L120" s="58"/>
      <c r="M120" s="58"/>
      <c r="N120" s="58"/>
      <c r="O120" s="58"/>
      <c r="P120" s="58"/>
      <c r="Q120" s="58"/>
      <c r="R120" s="58"/>
      <c r="S120" s="58"/>
      <c r="T120" s="58"/>
      <c r="U120" s="58"/>
      <c r="V120" s="58"/>
      <c r="W120" s="58"/>
      <c r="X120" s="58" t="s">
        <v>238</v>
      </c>
    </row>
    <row r="121" spans="1:25" ht="18.75" customHeight="1" x14ac:dyDescent="0.25">
      <c r="A121" s="652"/>
      <c r="B121" s="652"/>
      <c r="C121" s="59" t="s">
        <v>215</v>
      </c>
      <c r="D121" s="58"/>
      <c r="E121" s="58"/>
      <c r="F121" s="58"/>
      <c r="G121" s="58"/>
      <c r="H121" s="58"/>
      <c r="I121" s="58"/>
      <c r="J121" s="58"/>
      <c r="K121" s="58"/>
      <c r="L121" s="58"/>
      <c r="M121" s="58"/>
      <c r="N121" s="58"/>
      <c r="O121" s="58"/>
      <c r="P121" s="58"/>
      <c r="Q121" s="58"/>
      <c r="R121" s="58"/>
      <c r="S121" s="58"/>
      <c r="T121" s="58"/>
      <c r="U121" s="58"/>
      <c r="V121" s="58"/>
      <c r="W121" s="58"/>
      <c r="X121" s="58"/>
    </row>
    <row r="122" spans="1:25" ht="17.25" customHeight="1" x14ac:dyDescent="0.25">
      <c r="A122" s="691" t="s">
        <v>239</v>
      </c>
      <c r="B122" s="623"/>
      <c r="C122" s="623"/>
      <c r="D122" s="623"/>
      <c r="E122" s="623"/>
      <c r="F122" s="623"/>
      <c r="G122" s="623"/>
      <c r="H122" s="623"/>
      <c r="I122" s="623"/>
      <c r="J122" s="623"/>
      <c r="K122" s="623"/>
      <c r="L122" s="623"/>
      <c r="M122" s="623"/>
      <c r="N122" s="623"/>
      <c r="O122" s="623"/>
      <c r="P122" s="623"/>
      <c r="Q122" s="623"/>
      <c r="R122" s="623"/>
      <c r="S122" s="623"/>
      <c r="T122" s="623"/>
      <c r="U122" s="623"/>
      <c r="V122" s="623"/>
      <c r="W122" s="623"/>
      <c r="X122" s="636"/>
    </row>
    <row r="123" spans="1:25" ht="24.75" customHeight="1" x14ac:dyDescent="0.25">
      <c r="A123" s="703" t="s">
        <v>240</v>
      </c>
      <c r="B123" s="547"/>
      <c r="C123" s="690"/>
      <c r="D123" s="171" t="s">
        <v>166</v>
      </c>
      <c r="E123" s="171" t="s">
        <v>241</v>
      </c>
      <c r="F123" s="171" t="s">
        <v>242</v>
      </c>
      <c r="G123" s="171" t="s">
        <v>243</v>
      </c>
      <c r="H123" s="171" t="s">
        <v>244</v>
      </c>
      <c r="I123" s="171" t="s">
        <v>245</v>
      </c>
      <c r="J123" s="172" t="s">
        <v>246</v>
      </c>
      <c r="K123" s="172" t="s">
        <v>247</v>
      </c>
      <c r="L123" s="172" t="s">
        <v>248</v>
      </c>
      <c r="M123" s="173" t="s">
        <v>249</v>
      </c>
      <c r="N123" s="173" t="s">
        <v>250</v>
      </c>
      <c r="O123" s="174"/>
      <c r="P123" s="174"/>
      <c r="Q123" s="174"/>
      <c r="R123" s="174"/>
      <c r="S123" s="174"/>
      <c r="T123" s="174"/>
      <c r="U123" s="174"/>
      <c r="V123" s="174"/>
      <c r="W123" s="174"/>
      <c r="X123" s="174"/>
    </row>
    <row r="124" spans="1:25" ht="31.5" customHeight="1" x14ac:dyDescent="0.25">
      <c r="A124" s="704" t="s">
        <v>185</v>
      </c>
      <c r="B124" s="705"/>
      <c r="C124" s="706"/>
      <c r="D124" s="175"/>
      <c r="E124" s="175"/>
      <c r="F124" s="175"/>
      <c r="G124" s="175"/>
      <c r="H124" s="175"/>
      <c r="I124" s="175"/>
      <c r="J124" s="175"/>
      <c r="K124" s="175"/>
      <c r="L124" s="175"/>
      <c r="M124" s="176"/>
      <c r="N124" s="176"/>
      <c r="O124" s="176"/>
      <c r="P124" s="176"/>
      <c r="Q124" s="176"/>
      <c r="R124" s="176"/>
      <c r="S124" s="176"/>
      <c r="T124" s="176"/>
      <c r="U124" s="176"/>
      <c r="V124" s="176"/>
      <c r="W124" s="176"/>
      <c r="X124" s="177"/>
    </row>
    <row r="125" spans="1:25" ht="18.75" customHeight="1" x14ac:dyDescent="0.25">
      <c r="A125" s="697" t="s">
        <v>192</v>
      </c>
      <c r="B125" s="698"/>
      <c r="C125" s="662"/>
      <c r="D125" s="169" t="s">
        <v>193</v>
      </c>
      <c r="E125" s="169">
        <v>30</v>
      </c>
      <c r="F125" s="169">
        <v>250</v>
      </c>
      <c r="G125" s="169">
        <v>50</v>
      </c>
      <c r="H125" s="169">
        <v>5</v>
      </c>
      <c r="I125" s="169">
        <v>10</v>
      </c>
      <c r="J125" s="169">
        <v>0.1</v>
      </c>
      <c r="K125" s="169">
        <v>1000</v>
      </c>
      <c r="L125" s="169">
        <v>100</v>
      </c>
      <c r="M125" s="169" t="s">
        <v>251</v>
      </c>
      <c r="N125" s="169" t="s">
        <v>252</v>
      </c>
      <c r="O125" s="168"/>
      <c r="P125" s="168"/>
      <c r="Q125" s="168"/>
      <c r="R125" s="168"/>
      <c r="S125" s="168"/>
      <c r="T125" s="168"/>
      <c r="U125" s="168"/>
      <c r="V125" s="168"/>
      <c r="W125" s="168"/>
      <c r="X125" s="178"/>
    </row>
    <row r="126" spans="1:25" ht="18.75" customHeight="1" x14ac:dyDescent="0.25">
      <c r="A126" s="700" t="s">
        <v>112</v>
      </c>
      <c r="B126" s="699" t="s">
        <v>199</v>
      </c>
      <c r="C126" s="170" t="s">
        <v>253</v>
      </c>
      <c r="D126" s="168">
        <v>7.79</v>
      </c>
      <c r="E126" s="168">
        <v>140</v>
      </c>
      <c r="F126" s="168">
        <v>280</v>
      </c>
      <c r="G126" s="168">
        <v>78</v>
      </c>
      <c r="H126" s="168">
        <v>974</v>
      </c>
      <c r="I126" s="168">
        <v>2.2000000000000002</v>
      </c>
      <c r="J126" s="168"/>
      <c r="K126" s="168"/>
      <c r="L126" s="168"/>
      <c r="M126" s="168">
        <v>125</v>
      </c>
      <c r="N126" s="168">
        <v>144</v>
      </c>
      <c r="O126" s="168"/>
      <c r="P126" s="168"/>
      <c r="Q126" s="168"/>
      <c r="R126" s="168"/>
      <c r="S126" s="168"/>
      <c r="T126" s="168"/>
      <c r="U126" s="168"/>
      <c r="V126" s="168"/>
      <c r="W126" s="168"/>
      <c r="X126" s="178"/>
    </row>
    <row r="127" spans="1:25" ht="18.75" customHeight="1" x14ac:dyDescent="0.25">
      <c r="A127" s="701"/>
      <c r="B127" s="656"/>
      <c r="C127" s="170" t="s">
        <v>254</v>
      </c>
      <c r="D127" s="168">
        <v>7.56</v>
      </c>
      <c r="E127" s="168">
        <v>6</v>
      </c>
      <c r="F127" s="168">
        <v>20</v>
      </c>
      <c r="G127" s="168">
        <v>4</v>
      </c>
      <c r="H127" s="168">
        <v>902</v>
      </c>
      <c r="I127" s="168" t="s">
        <v>255</v>
      </c>
      <c r="J127" s="168"/>
      <c r="K127" s="168"/>
      <c r="L127" s="168"/>
      <c r="M127" s="168">
        <v>120</v>
      </c>
      <c r="N127" s="168">
        <v>128</v>
      </c>
      <c r="O127" s="168"/>
      <c r="P127" s="168"/>
      <c r="Q127" s="168"/>
      <c r="R127" s="168"/>
      <c r="S127" s="168"/>
      <c r="T127" s="168"/>
      <c r="U127" s="168"/>
      <c r="V127" s="168"/>
      <c r="W127" s="168"/>
      <c r="X127" s="178"/>
    </row>
    <row r="128" spans="1:25" ht="18.75" customHeight="1" x14ac:dyDescent="0.25">
      <c r="A128" s="701"/>
      <c r="B128" s="699" t="s">
        <v>207</v>
      </c>
      <c r="C128" s="170" t="s">
        <v>253</v>
      </c>
      <c r="D128" s="168"/>
      <c r="E128" s="168"/>
      <c r="F128" s="168"/>
      <c r="G128" s="168"/>
      <c r="H128" s="168"/>
      <c r="I128" s="168"/>
      <c r="J128" s="168"/>
      <c r="K128" s="168"/>
      <c r="L128" s="168"/>
      <c r="M128" s="168"/>
      <c r="N128" s="168"/>
      <c r="O128" s="168"/>
      <c r="P128" s="168"/>
      <c r="Q128" s="168"/>
      <c r="R128" s="168"/>
      <c r="S128" s="168"/>
      <c r="T128" s="168"/>
      <c r="U128" s="168"/>
      <c r="V128" s="168"/>
      <c r="W128" s="168"/>
      <c r="X128" s="178"/>
    </row>
    <row r="129" spans="1:24" ht="18.75" customHeight="1" x14ac:dyDescent="0.25">
      <c r="A129" s="702"/>
      <c r="B129" s="656"/>
      <c r="C129" s="180" t="s">
        <v>254</v>
      </c>
      <c r="D129" s="179"/>
      <c r="E129" s="179"/>
      <c r="F129" s="179"/>
      <c r="G129" s="179"/>
      <c r="H129" s="179"/>
      <c r="I129" s="179"/>
      <c r="J129" s="179"/>
      <c r="K129" s="179"/>
      <c r="L129" s="179"/>
      <c r="M129" s="179"/>
      <c r="N129" s="179"/>
      <c r="O129" s="179"/>
      <c r="P129" s="179"/>
      <c r="Q129" s="179"/>
      <c r="R129" s="179"/>
      <c r="S129" s="179"/>
      <c r="T129" s="179"/>
      <c r="U129" s="179"/>
      <c r="V129" s="179"/>
      <c r="W129" s="179"/>
      <c r="X129" s="181"/>
    </row>
    <row r="130" spans="1:24" x14ac:dyDescent="0.25">
      <c r="D130" s="6"/>
      <c r="E130" s="6"/>
    </row>
    <row r="131" spans="1:24" ht="30" customHeight="1" x14ac:dyDescent="0.25">
      <c r="D131" s="6"/>
      <c r="E131" s="6"/>
      <c r="H131" s="12"/>
    </row>
    <row r="132" spans="1:24" x14ac:dyDescent="0.25">
      <c r="D132" s="6"/>
      <c r="E132" s="6"/>
    </row>
    <row r="133" spans="1:24" x14ac:dyDescent="0.25">
      <c r="D133" s="6"/>
      <c r="E133" s="6"/>
    </row>
    <row r="134" spans="1:24" x14ac:dyDescent="0.25">
      <c r="D134" s="6"/>
      <c r="E134" s="6"/>
    </row>
    <row r="135" spans="1:24" x14ac:dyDescent="0.25">
      <c r="D135" s="6"/>
      <c r="E135" s="6"/>
    </row>
  </sheetData>
  <mergeCells count="64">
    <mergeCell ref="V1:X1"/>
    <mergeCell ref="B31:B32"/>
    <mergeCell ref="B115:B121"/>
    <mergeCell ref="B79:B80"/>
    <mergeCell ref="B126:B127"/>
    <mergeCell ref="A1:C1"/>
    <mergeCell ref="A123:C123"/>
    <mergeCell ref="A37:A48"/>
    <mergeCell ref="A29:A36"/>
    <mergeCell ref="B25:B26"/>
    <mergeCell ref="B85:B86"/>
    <mergeCell ref="A5:A12"/>
    <mergeCell ref="B7:B8"/>
    <mergeCell ref="A124:C124"/>
    <mergeCell ref="B101:B107"/>
    <mergeCell ref="A13:A20"/>
    <mergeCell ref="A125:C125"/>
    <mergeCell ref="A49:A64"/>
    <mergeCell ref="B44:B45"/>
    <mergeCell ref="B15:B16"/>
    <mergeCell ref="B128:B129"/>
    <mergeCell ref="B53:B56"/>
    <mergeCell ref="B87:B88"/>
    <mergeCell ref="A122:X122"/>
    <mergeCell ref="B65:B66"/>
    <mergeCell ref="B40:B43"/>
    <mergeCell ref="A126:A129"/>
    <mergeCell ref="A21:A28"/>
    <mergeCell ref="B94:B100"/>
    <mergeCell ref="B33:B34"/>
    <mergeCell ref="B46:B48"/>
    <mergeCell ref="B89:B90"/>
    <mergeCell ref="A94:A121"/>
    <mergeCell ref="B29:B30"/>
    <mergeCell ref="A2:C2"/>
    <mergeCell ref="B67:B68"/>
    <mergeCell ref="B23:B24"/>
    <mergeCell ref="B21:B22"/>
    <mergeCell ref="B61:B64"/>
    <mergeCell ref="B13:B14"/>
    <mergeCell ref="B108:B114"/>
    <mergeCell ref="A73:A84"/>
    <mergeCell ref="A65:A72"/>
    <mergeCell ref="B69:B70"/>
    <mergeCell ref="A4:C4"/>
    <mergeCell ref="B57:B60"/>
    <mergeCell ref="B19:B20"/>
    <mergeCell ref="B9:B10"/>
    <mergeCell ref="H1:U1"/>
    <mergeCell ref="B73:B74"/>
    <mergeCell ref="B37:B39"/>
    <mergeCell ref="B82:B83"/>
    <mergeCell ref="A85:A93"/>
    <mergeCell ref="D1:G1"/>
    <mergeCell ref="B49:B52"/>
    <mergeCell ref="B92:B93"/>
    <mergeCell ref="B5:B6"/>
    <mergeCell ref="B76:B77"/>
    <mergeCell ref="B27:B28"/>
    <mergeCell ref="B71:B72"/>
    <mergeCell ref="B17:B18"/>
    <mergeCell ref="B11:B12"/>
    <mergeCell ref="A3:C3"/>
    <mergeCell ref="B35:B36"/>
  </mergeCells>
  <conditionalFormatting sqref="E5:E129">
    <cfRule type="expression" dxfId="18" priority="1">
      <formula>AND(ISNUMBER(E5),E5&gt;$E$4)</formula>
    </cfRule>
  </conditionalFormatting>
  <conditionalFormatting sqref="F5:F129">
    <cfRule type="expression" dxfId="17" priority="9">
      <formula>AND(ISNUMBER(F5),OR(F5&lt;6.5,F5&gt;8.5))</formula>
    </cfRule>
  </conditionalFormatting>
  <conditionalFormatting sqref="H5:H129">
    <cfRule type="expression" dxfId="16" priority="2">
      <formula>AND(ISNUMBER(H5),H5&gt;$H$4)</formula>
    </cfRule>
  </conditionalFormatting>
  <conditionalFormatting sqref="I5:I129">
    <cfRule type="expression" dxfId="15" priority="3">
      <formula>AND(ISNUMBER(I5),I5&gt;$I$4)</formula>
    </cfRule>
  </conditionalFormatting>
  <conditionalFormatting sqref="P5:P129">
    <cfRule type="expression" dxfId="14" priority="4">
      <formula>AND(ISNUMBER(P5),P5&gt;$P$4)</formula>
    </cfRule>
  </conditionalFormatting>
  <conditionalFormatting sqref="Q5:Q129">
    <cfRule type="expression" dxfId="13" priority="5">
      <formula>AND(ISNUMBER(Q5),Q5&gt;$Q$4)</formula>
    </cfRule>
  </conditionalFormatting>
  <conditionalFormatting sqref="R5:R129">
    <cfRule type="expression" dxfId="12" priority="6">
      <formula>AND(ISNUMBER(R5),R5&gt;$R$4)</formula>
    </cfRule>
  </conditionalFormatting>
  <conditionalFormatting sqref="S5:S129">
    <cfRule type="expression" dxfId="11" priority="7">
      <formula>AND(ISNUMBER(S5),S5&gt;$S$4)</formula>
    </cfRule>
  </conditionalFormatting>
  <conditionalFormatting sqref="T5:T129">
    <cfRule type="expression" dxfId="10" priority="8">
      <formula>AND(ISNUMBER(T5),T5&gt;$T$4)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75"/>
  <sheetViews>
    <sheetView workbookViewId="0"/>
  </sheetViews>
  <sheetFormatPr defaultRowHeight="15" x14ac:dyDescent="0.25"/>
  <cols>
    <col min="1" max="2" width="23" customWidth="1"/>
    <col min="3" max="4" width="13" customWidth="1"/>
    <col min="5" max="6" width="20" customWidth="1"/>
    <col min="7" max="7" width="20" style="4" customWidth="1"/>
    <col min="8" max="8" width="10" customWidth="1"/>
    <col min="9" max="9" width="11.85546875" customWidth="1"/>
    <col min="11" max="11" width="12.28515625" customWidth="1"/>
    <col min="13" max="15" width="11.42578125" customWidth="1"/>
    <col min="16" max="16" width="10.7109375" customWidth="1"/>
    <col min="17" max="17" width="11.42578125" customWidth="1"/>
    <col min="18" max="18" width="10.85546875" customWidth="1"/>
    <col min="20" max="20" width="27.5703125" customWidth="1"/>
    <col min="21" max="21" width="19" customWidth="1"/>
  </cols>
  <sheetData>
    <row r="1" spans="1:21" ht="18.75" customHeight="1" x14ac:dyDescent="0.25">
      <c r="A1" s="717" t="s">
        <v>256</v>
      </c>
      <c r="B1" s="718"/>
      <c r="C1" s="718"/>
      <c r="D1" s="718"/>
      <c r="E1" s="718"/>
      <c r="F1" s="718"/>
      <c r="G1" s="718"/>
      <c r="H1" s="718"/>
      <c r="I1" s="718"/>
      <c r="J1" s="718"/>
      <c r="K1" s="718"/>
      <c r="L1" s="718"/>
      <c r="M1" s="718"/>
      <c r="N1" s="718"/>
      <c r="O1" s="718"/>
      <c r="P1" s="718"/>
      <c r="Q1" s="718"/>
      <c r="R1" s="718"/>
      <c r="S1" s="718"/>
      <c r="T1" s="718"/>
      <c r="U1" s="257" t="s">
        <v>257</v>
      </c>
    </row>
    <row r="2" spans="1:21" ht="27" customHeight="1" x14ac:dyDescent="0.25">
      <c r="A2" s="57" t="s">
        <v>4</v>
      </c>
      <c r="B2" s="57" t="s">
        <v>258</v>
      </c>
      <c r="C2" s="57" t="s">
        <v>259</v>
      </c>
      <c r="D2" s="57" t="s">
        <v>260</v>
      </c>
      <c r="E2" s="57" t="s">
        <v>261</v>
      </c>
      <c r="F2" s="57" t="s">
        <v>262</v>
      </c>
      <c r="G2" s="57" t="s">
        <v>263</v>
      </c>
      <c r="H2" s="258">
        <v>46023</v>
      </c>
      <c r="I2" s="258">
        <v>46055</v>
      </c>
      <c r="J2" s="258">
        <v>46082</v>
      </c>
      <c r="K2" s="258">
        <v>46141</v>
      </c>
      <c r="L2" s="258">
        <v>46172</v>
      </c>
      <c r="M2" s="258">
        <v>46203</v>
      </c>
      <c r="N2" s="258">
        <v>46233</v>
      </c>
      <c r="O2" s="258">
        <v>46265</v>
      </c>
      <c r="P2" s="258">
        <v>46267</v>
      </c>
      <c r="Q2" s="258">
        <v>46298</v>
      </c>
      <c r="R2" s="258">
        <v>46330</v>
      </c>
      <c r="S2" s="258">
        <v>46361</v>
      </c>
      <c r="T2" s="258" t="s">
        <v>264</v>
      </c>
      <c r="U2" s="259" t="s">
        <v>265</v>
      </c>
    </row>
    <row r="3" spans="1:21" x14ac:dyDescent="0.25">
      <c r="A3" s="657" t="s">
        <v>85</v>
      </c>
      <c r="B3" s="260" t="s">
        <v>266</v>
      </c>
      <c r="C3" s="261"/>
      <c r="D3" s="261"/>
      <c r="E3" s="260"/>
      <c r="F3" s="260"/>
      <c r="G3" s="262"/>
      <c r="H3" s="263"/>
      <c r="I3" s="263"/>
      <c r="J3" s="264"/>
      <c r="K3" s="264"/>
      <c r="L3" s="264"/>
      <c r="M3" s="265"/>
      <c r="N3" s="265"/>
      <c r="O3" s="265"/>
      <c r="P3" s="264"/>
      <c r="Q3" s="264"/>
      <c r="R3" s="266"/>
      <c r="S3" s="267"/>
      <c r="T3" s="268"/>
      <c r="U3" s="269" t="str">
        <f>IF(B3="","",IF(OR(C3="",D3=""),"INCOMPLETE",IF(C3&gt;D3,"DATE ERROR",IF(D3&lt;CONFIG!$B$8,"EXPIRED",IF(D3&lt;=CONFIG!$B$8+30,"EXPIRING &lt;=30D",IF(D3&lt;=CONFIG!$B$8+90,"EXPIRING &lt;=90D","ACTIVE"))))))</f>
        <v>INCOMPLETE</v>
      </c>
    </row>
    <row r="4" spans="1:21" x14ac:dyDescent="0.25">
      <c r="A4" s="651"/>
      <c r="B4" s="260" t="s">
        <v>267</v>
      </c>
      <c r="C4" s="261"/>
      <c r="D4" s="261"/>
      <c r="E4" s="260"/>
      <c r="F4" s="260"/>
      <c r="G4" s="262"/>
      <c r="H4" s="263"/>
      <c r="I4" s="263"/>
      <c r="J4" s="264"/>
      <c r="K4" s="264"/>
      <c r="L4" s="264"/>
      <c r="M4" s="265"/>
      <c r="N4" s="265"/>
      <c r="O4" s="265"/>
      <c r="P4" s="264"/>
      <c r="Q4" s="264"/>
      <c r="R4" s="266"/>
      <c r="S4" s="267"/>
      <c r="T4" s="268"/>
      <c r="U4" s="269" t="str">
        <f>IF(B4="","",IF(OR(C4="",D4=""),"INCOMPLETE",IF(C4&gt;D4,"DATE ERROR",IF(D4&lt;CONFIG!$B$8,"EXPIRED",IF(D4&lt;=CONFIG!$B$8+30,"EXPIRING &lt;=30D",IF(D4&lt;=CONFIG!$B$8+90,"EXPIRING &lt;=90D","ACTIVE"))))))</f>
        <v>INCOMPLETE</v>
      </c>
    </row>
    <row r="5" spans="1:21" ht="26.25" x14ac:dyDescent="0.25">
      <c r="A5" s="651"/>
      <c r="B5" s="260" t="s">
        <v>268</v>
      </c>
      <c r="C5" s="261">
        <v>46204</v>
      </c>
      <c r="D5" s="261">
        <v>46934</v>
      </c>
      <c r="E5" s="260" t="s">
        <v>269</v>
      </c>
      <c r="F5" s="260" t="s">
        <v>270</v>
      </c>
      <c r="G5" s="270">
        <v>47200</v>
      </c>
      <c r="H5" s="713"/>
      <c r="I5" s="623"/>
      <c r="J5" s="623"/>
      <c r="K5" s="721"/>
      <c r="L5" s="623"/>
      <c r="M5" s="636"/>
      <c r="N5" s="713">
        <v>11800</v>
      </c>
      <c r="O5" s="623"/>
      <c r="P5" s="623"/>
      <c r="Q5" s="709">
        <v>11800</v>
      </c>
      <c r="R5" s="623"/>
      <c r="S5" s="636"/>
      <c r="T5" s="268"/>
      <c r="U5" s="269" t="str">
        <f>IF(B5="","",IF(OR(C5="",D5=""),"INCOMPLETE",IF(C5&gt;D5,"DATE ERROR",IF(D5&lt;CONFIG!$B$8,"EXPIRED",IF(D5&lt;=CONFIG!$B$8+30,"EXPIRING &lt;=30D",IF(D5&lt;=CONFIG!$B$8+90,"EXPIRING &lt;=90D","ACTIVE"))))))</f>
        <v>ACTIVE</v>
      </c>
    </row>
    <row r="6" spans="1:21" x14ac:dyDescent="0.25">
      <c r="A6" s="651"/>
      <c r="B6" s="260" t="s">
        <v>271</v>
      </c>
      <c r="C6" s="261"/>
      <c r="D6" s="261"/>
      <c r="E6" s="260"/>
      <c r="F6" s="260"/>
      <c r="G6" s="270">
        <v>10400</v>
      </c>
      <c r="H6" s="719" t="s">
        <v>272</v>
      </c>
      <c r="I6" s="623"/>
      <c r="J6" s="636"/>
      <c r="K6" s="719" t="s">
        <v>272</v>
      </c>
      <c r="L6" s="623"/>
      <c r="M6" s="636"/>
      <c r="N6" s="713">
        <v>2600</v>
      </c>
      <c r="O6" s="623"/>
      <c r="P6" s="623"/>
      <c r="Q6" s="713">
        <v>2600</v>
      </c>
      <c r="R6" s="623"/>
      <c r="S6" s="623"/>
      <c r="T6" s="268"/>
      <c r="U6" s="269" t="str">
        <f>IF(B6="","",IF(OR(C6="",D6=""),"INCOMPLETE",IF(C6&gt;D6,"DATE ERROR",IF(D6&lt;CONFIG!$B$8,"EXPIRED",IF(D6&lt;=CONFIG!$B$8+30,"EXPIRING &lt;=30D",IF(D6&lt;=CONFIG!$B$8+90,"EXPIRING &lt;=90D","ACTIVE"))))))</f>
        <v>INCOMPLETE</v>
      </c>
    </row>
    <row r="7" spans="1:21" x14ac:dyDescent="0.25">
      <c r="A7" s="651"/>
      <c r="B7" s="260" t="s">
        <v>273</v>
      </c>
      <c r="C7" s="261">
        <v>45809</v>
      </c>
      <c r="D7" s="261">
        <v>46173</v>
      </c>
      <c r="E7" s="260" t="s">
        <v>269</v>
      </c>
      <c r="F7" s="260" t="s">
        <v>274</v>
      </c>
      <c r="G7" s="270">
        <v>106386</v>
      </c>
      <c r="H7" s="263">
        <v>15198</v>
      </c>
      <c r="I7" s="263">
        <v>15198</v>
      </c>
      <c r="J7" s="263">
        <v>15198</v>
      </c>
      <c r="K7" s="263">
        <v>15198</v>
      </c>
      <c r="L7" s="263">
        <v>15198</v>
      </c>
      <c r="M7" s="265"/>
      <c r="N7" s="265"/>
      <c r="O7" s="265"/>
      <c r="P7" s="265"/>
      <c r="Q7" s="265"/>
      <c r="R7" s="265"/>
      <c r="S7" s="265"/>
      <c r="T7" s="268"/>
      <c r="U7" s="269" t="str">
        <f>IF(B7="","",IF(OR(C7="",D7=""),"INCOMPLETE",IF(C7&gt;D7,"DATE ERROR",IF(D7&lt;CONFIG!$B$8,"EXPIRED",IF(D7&lt;=CONFIG!$B$8+30,"EXPIRING &lt;=30D",IF(D7&lt;=CONFIG!$B$8+90,"EXPIRING &lt;=90D","ACTIVE"))))))</f>
        <v>EXPIRED</v>
      </c>
    </row>
    <row r="8" spans="1:21" ht="26.25" x14ac:dyDescent="0.25">
      <c r="A8" s="651"/>
      <c r="B8" s="260" t="s">
        <v>275</v>
      </c>
      <c r="C8" s="261">
        <v>45962</v>
      </c>
      <c r="D8" s="261">
        <v>46326</v>
      </c>
      <c r="E8" s="260" t="s">
        <v>269</v>
      </c>
      <c r="F8" s="260" t="s">
        <v>276</v>
      </c>
      <c r="G8" s="270">
        <v>6900</v>
      </c>
      <c r="H8" s="263"/>
      <c r="I8" s="263"/>
      <c r="J8" s="264"/>
      <c r="K8" s="264"/>
      <c r="L8" s="264"/>
      <c r="M8" s="265"/>
      <c r="N8" s="265"/>
      <c r="O8" s="265"/>
      <c r="P8" s="264"/>
      <c r="Q8" s="264"/>
      <c r="R8" s="266"/>
      <c r="S8" s="267"/>
      <c r="T8" s="268"/>
      <c r="U8" s="269" t="str">
        <f>IF(B8="","",IF(OR(C8="",D8=""),"INCOMPLETE",IF(C8&gt;D8,"DATE ERROR",IF(D8&lt;CONFIG!$B$8,"EXPIRED",IF(D8&lt;=CONFIG!$B$8+30,"EXPIRING &lt;=30D",IF(D8&lt;=CONFIG!$B$8+90,"EXPIRING &lt;=90D","ACTIVE"))))))</f>
        <v>EXPIRING &lt;=30D</v>
      </c>
    </row>
    <row r="9" spans="1:21" ht="26.25" x14ac:dyDescent="0.25">
      <c r="A9" s="652"/>
      <c r="B9" s="271" t="s">
        <v>277</v>
      </c>
      <c r="C9" s="261"/>
      <c r="D9" s="261">
        <v>46203</v>
      </c>
      <c r="E9" s="260" t="s">
        <v>278</v>
      </c>
      <c r="F9" s="260" t="s">
        <v>279</v>
      </c>
      <c r="G9" s="270">
        <v>224448</v>
      </c>
      <c r="H9" s="722">
        <v>224448</v>
      </c>
      <c r="I9" s="623"/>
      <c r="J9" s="623"/>
      <c r="K9" s="623"/>
      <c r="L9" s="623"/>
      <c r="M9" s="636"/>
      <c r="N9" s="719"/>
      <c r="O9" s="623"/>
      <c r="P9" s="623"/>
      <c r="Q9" s="623"/>
      <c r="R9" s="623"/>
      <c r="S9" s="636"/>
      <c r="T9" s="268"/>
      <c r="U9" s="269" t="str">
        <f>IF(B9="","",IF(OR(C9="",D9=""),"INCOMPLETE",IF(C9&gt;D9,"DATE ERROR",IF(D9&lt;CONFIG!$B$8,"EXPIRED",IF(D9&lt;=CONFIG!$B$8+30,"EXPIRING &lt;=30D",IF(D9&lt;=CONFIG!$B$8+90,"EXPIRING &lt;=90D","ACTIVE"))))))</f>
        <v>INCOMPLETE</v>
      </c>
    </row>
    <row r="10" spans="1:21" x14ac:dyDescent="0.25">
      <c r="A10" s="650" t="s">
        <v>91</v>
      </c>
      <c r="B10" s="161" t="s">
        <v>266</v>
      </c>
      <c r="C10" s="272"/>
      <c r="D10" s="272"/>
      <c r="E10" s="161"/>
      <c r="F10" s="161"/>
      <c r="G10" s="273"/>
      <c r="H10" s="274"/>
      <c r="I10" s="274"/>
      <c r="J10" s="274"/>
      <c r="K10" s="274"/>
      <c r="L10" s="274"/>
      <c r="M10" s="275"/>
      <c r="N10" s="275"/>
      <c r="O10" s="275"/>
      <c r="P10" s="274"/>
      <c r="Q10" s="274"/>
      <c r="R10" s="276"/>
      <c r="S10" s="275"/>
      <c r="T10" s="277"/>
      <c r="U10" s="269" t="str">
        <f>IF(B10="","",IF(OR(C10="",D10=""),"INCOMPLETE",IF(C10&gt;D10,"DATE ERROR",IF(D10&lt;CONFIG!$B$8,"EXPIRED",IF(D10&lt;=CONFIG!$B$8+30,"EXPIRING &lt;=30D",IF(D10&lt;=CONFIG!$B$8+90,"EXPIRING &lt;=90D","ACTIVE"))))))</f>
        <v>INCOMPLETE</v>
      </c>
    </row>
    <row r="11" spans="1:21" x14ac:dyDescent="0.25">
      <c r="A11" s="651"/>
      <c r="B11" s="161" t="s">
        <v>267</v>
      </c>
      <c r="C11" s="272"/>
      <c r="D11" s="272"/>
      <c r="E11" s="161"/>
      <c r="F11" s="161"/>
      <c r="G11" s="273"/>
      <c r="H11" s="274"/>
      <c r="I11" s="274"/>
      <c r="J11" s="274"/>
      <c r="K11" s="274"/>
      <c r="L11" s="274"/>
      <c r="M11" s="275"/>
      <c r="N11" s="275"/>
      <c r="O11" s="275"/>
      <c r="P11" s="274"/>
      <c r="Q11" s="274"/>
      <c r="R11" s="276"/>
      <c r="S11" s="275"/>
      <c r="T11" s="277"/>
      <c r="U11" s="269" t="str">
        <f>IF(B11="","",IF(OR(C11="",D11=""),"INCOMPLETE",IF(C11&gt;D11,"DATE ERROR",IF(D11&lt;CONFIG!$B$8,"EXPIRED",IF(D11&lt;=CONFIG!$B$8+30,"EXPIRING &lt;=30D",IF(D11&lt;=CONFIG!$B$8+90,"EXPIRING &lt;=90D","ACTIVE"))))))</f>
        <v>INCOMPLETE</v>
      </c>
    </row>
    <row r="12" spans="1:21" ht="26.25" x14ac:dyDescent="0.25">
      <c r="A12" s="651"/>
      <c r="B12" s="161" t="s">
        <v>268</v>
      </c>
      <c r="C12" s="272"/>
      <c r="D12" s="272"/>
      <c r="E12" s="161" t="s">
        <v>269</v>
      </c>
      <c r="F12" s="161" t="s">
        <v>270</v>
      </c>
      <c r="G12" s="278">
        <v>40000</v>
      </c>
      <c r="H12" s="274"/>
      <c r="I12" s="274"/>
      <c r="J12" s="274"/>
      <c r="K12" s="274"/>
      <c r="L12" s="274"/>
      <c r="M12" s="275"/>
      <c r="N12" s="275"/>
      <c r="O12" s="275"/>
      <c r="P12" s="274"/>
      <c r="Q12" s="274"/>
      <c r="R12" s="276"/>
      <c r="S12" s="275"/>
      <c r="T12" s="277"/>
      <c r="U12" s="269" t="str">
        <f>IF(B12="","",IF(OR(C12="",D12=""),"INCOMPLETE",IF(C12&gt;D12,"DATE ERROR",IF(D12&lt;CONFIG!$B$8,"EXPIRED",IF(D12&lt;=CONFIG!$B$8+30,"EXPIRING &lt;=30D",IF(D12&lt;=CONFIG!$B$8+90,"EXPIRING &lt;=90D","ACTIVE"))))))</f>
        <v>INCOMPLETE</v>
      </c>
    </row>
    <row r="13" spans="1:21" x14ac:dyDescent="0.25">
      <c r="A13" s="651"/>
      <c r="B13" s="161" t="s">
        <v>271</v>
      </c>
      <c r="C13" s="272"/>
      <c r="D13" s="272"/>
      <c r="E13" s="161"/>
      <c r="F13" s="161"/>
      <c r="G13" s="273"/>
      <c r="H13" s="274"/>
      <c r="I13" s="274"/>
      <c r="J13" s="274"/>
      <c r="K13" s="274"/>
      <c r="L13" s="274"/>
      <c r="M13" s="275"/>
      <c r="N13" s="275"/>
      <c r="O13" s="275"/>
      <c r="P13" s="274"/>
      <c r="Q13" s="274"/>
      <c r="R13" s="276"/>
      <c r="S13" s="275"/>
      <c r="T13" s="277"/>
      <c r="U13" s="269" t="str">
        <f>IF(B13="","",IF(OR(C13="",D13=""),"INCOMPLETE",IF(C13&gt;D13,"DATE ERROR",IF(D13&lt;CONFIG!$B$8,"EXPIRED",IF(D13&lt;=CONFIG!$B$8+30,"EXPIRING &lt;=30D",IF(D13&lt;=CONFIG!$B$8+90,"EXPIRING &lt;=90D","ACTIVE"))))))</f>
        <v>INCOMPLETE</v>
      </c>
    </row>
    <row r="14" spans="1:21" x14ac:dyDescent="0.25">
      <c r="A14" s="652"/>
      <c r="B14" s="279" t="s">
        <v>275</v>
      </c>
      <c r="C14" s="272"/>
      <c r="D14" s="272"/>
      <c r="E14" s="161"/>
      <c r="F14" s="161"/>
      <c r="G14" s="273"/>
      <c r="H14" s="274"/>
      <c r="I14" s="274"/>
      <c r="J14" s="274"/>
      <c r="K14" s="274"/>
      <c r="L14" s="274"/>
      <c r="M14" s="275"/>
      <c r="N14" s="275"/>
      <c r="O14" s="275"/>
      <c r="P14" s="274"/>
      <c r="Q14" s="274"/>
      <c r="R14" s="276"/>
      <c r="S14" s="275"/>
      <c r="T14" s="277"/>
      <c r="U14" s="269" t="str">
        <f>IF(B14="","",IF(OR(C14="",D14=""),"INCOMPLETE",IF(C14&gt;D14,"DATE ERROR",IF(D14&lt;CONFIG!$B$8,"EXPIRED",IF(D14&lt;=CONFIG!$B$8+30,"EXPIRING &lt;=30D",IF(D14&lt;=CONFIG!$B$8+90,"EXPIRING &lt;=90D","ACTIVE"))))))</f>
        <v>INCOMPLETE</v>
      </c>
    </row>
    <row r="15" spans="1:21" ht="26.25" x14ac:dyDescent="0.25">
      <c r="A15" s="657" t="s">
        <v>93</v>
      </c>
      <c r="B15" s="260" t="s">
        <v>273</v>
      </c>
      <c r="C15" s="280">
        <v>46113</v>
      </c>
      <c r="D15" s="280">
        <v>46843</v>
      </c>
      <c r="E15" s="260" t="s">
        <v>269</v>
      </c>
      <c r="F15" s="281" t="s">
        <v>280</v>
      </c>
      <c r="G15" s="270"/>
      <c r="H15" s="263"/>
      <c r="I15" s="263"/>
      <c r="J15" s="263"/>
      <c r="K15" s="263"/>
      <c r="L15" s="263"/>
      <c r="M15" s="265"/>
      <c r="N15" s="265"/>
      <c r="O15" s="265"/>
      <c r="P15" s="265"/>
      <c r="Q15" s="265"/>
      <c r="R15" s="265"/>
      <c r="S15" s="265"/>
      <c r="T15" s="268"/>
      <c r="U15" s="269" t="str">
        <f>IF(B15="","",IF(OR(C15="",D15=""),"INCOMPLETE",IF(C15&gt;D15,"DATE ERROR",IF(D15&lt;CONFIG!$B$8,"EXPIRED",IF(D15&lt;=CONFIG!$B$8+30,"EXPIRING &lt;=30D",IF(D15&lt;=CONFIG!$B$8+90,"EXPIRING &lt;=90D","ACTIVE"))))))</f>
        <v>ACTIVE</v>
      </c>
    </row>
    <row r="16" spans="1:21" x14ac:dyDescent="0.25">
      <c r="A16" s="651"/>
      <c r="B16" s="268" t="s">
        <v>281</v>
      </c>
      <c r="C16" s="280">
        <v>46204</v>
      </c>
      <c r="D16" s="280">
        <v>46934</v>
      </c>
      <c r="E16" s="260" t="s">
        <v>269</v>
      </c>
      <c r="F16" s="268" t="s">
        <v>282</v>
      </c>
      <c r="G16" s="270">
        <f>(11*2800)+(11*2800)*18%</f>
        <v>36344</v>
      </c>
      <c r="H16" s="263">
        <v>0</v>
      </c>
      <c r="I16" s="263">
        <v>0</v>
      </c>
      <c r="J16" s="263">
        <v>0</v>
      </c>
      <c r="K16" s="263">
        <v>0</v>
      </c>
      <c r="L16" s="263">
        <v>0</v>
      </c>
      <c r="M16" s="265">
        <v>0</v>
      </c>
      <c r="N16" s="265"/>
      <c r="O16" s="265"/>
      <c r="P16" s="265"/>
      <c r="Q16" s="265"/>
      <c r="R16" s="265"/>
      <c r="S16" s="265"/>
      <c r="T16" s="268"/>
      <c r="U16" s="269" t="str">
        <f>IF(B16="","",IF(OR(C16="",D16=""),"INCOMPLETE",IF(C16&gt;D16,"DATE ERROR",IF(D16&lt;CONFIG!$B$8,"EXPIRED",IF(D16&lt;=CONFIG!$B$8+30,"EXPIRING &lt;=30D",IF(D16&lt;=CONFIG!$B$8+90,"EXPIRING &lt;=90D","ACTIVE"))))))</f>
        <v>ACTIVE</v>
      </c>
    </row>
    <row r="17" spans="1:21" ht="30" x14ac:dyDescent="0.25">
      <c r="A17" s="651"/>
      <c r="B17" s="268" t="s">
        <v>283</v>
      </c>
      <c r="C17" s="280">
        <v>46023</v>
      </c>
      <c r="D17" s="280">
        <v>46387</v>
      </c>
      <c r="E17" s="260" t="s">
        <v>269</v>
      </c>
      <c r="F17" s="268" t="s">
        <v>284</v>
      </c>
      <c r="G17" s="270">
        <v>0.39</v>
      </c>
      <c r="H17" s="263"/>
      <c r="I17" s="263"/>
      <c r="J17" s="263"/>
      <c r="K17" s="263"/>
      <c r="L17" s="263"/>
      <c r="M17" s="265"/>
      <c r="N17" s="265"/>
      <c r="O17" s="265"/>
      <c r="P17" s="265"/>
      <c r="Q17" s="265"/>
      <c r="R17" s="265"/>
      <c r="S17" s="265"/>
      <c r="T17" s="268"/>
      <c r="U17" s="269" t="str">
        <f>IF(B17="","",IF(OR(C17="",D17=""),"INCOMPLETE",IF(C17&gt;D17,"DATE ERROR",IF(D17&lt;CONFIG!$B$8,"EXPIRED",IF(D17&lt;=CONFIG!$B$8+30,"EXPIRING &lt;=30D",IF(D17&lt;=CONFIG!$B$8+90,"EXPIRING &lt;=90D","ACTIVE"))))))</f>
        <v>EXPIRING &lt;=90D</v>
      </c>
    </row>
    <row r="18" spans="1:21" x14ac:dyDescent="0.25">
      <c r="A18" s="651"/>
      <c r="B18" s="260" t="s">
        <v>267</v>
      </c>
      <c r="C18" s="261"/>
      <c r="D18" s="261"/>
      <c r="E18" s="260"/>
      <c r="F18" s="260"/>
      <c r="G18" s="270"/>
      <c r="H18" s="263"/>
      <c r="I18" s="263"/>
      <c r="J18" s="263"/>
      <c r="K18" s="263"/>
      <c r="L18" s="263"/>
      <c r="M18" s="265"/>
      <c r="N18" s="265"/>
      <c r="O18" s="265"/>
      <c r="P18" s="263"/>
      <c r="Q18" s="263"/>
      <c r="R18" s="282"/>
      <c r="S18" s="265"/>
      <c r="T18" s="268"/>
      <c r="U18" s="269" t="str">
        <f>IF(B18="","",IF(OR(C18="",D18=""),"INCOMPLETE",IF(C18&gt;D18,"DATE ERROR",IF(D18&lt;CONFIG!$B$8,"EXPIRED",IF(D18&lt;=CONFIG!$B$8+30,"EXPIRING &lt;=30D",IF(D18&lt;=CONFIG!$B$8+90,"EXPIRING &lt;=90D","ACTIVE"))))))</f>
        <v>INCOMPLETE</v>
      </c>
    </row>
    <row r="19" spans="1:21" x14ac:dyDescent="0.25">
      <c r="A19" s="651"/>
      <c r="B19" s="260" t="s">
        <v>285</v>
      </c>
      <c r="C19" s="280">
        <v>46204</v>
      </c>
      <c r="D19" s="280">
        <v>46568</v>
      </c>
      <c r="E19" s="260" t="s">
        <v>286</v>
      </c>
      <c r="F19" s="268" t="s">
        <v>287</v>
      </c>
      <c r="G19" s="270"/>
      <c r="H19" s="263"/>
      <c r="I19" s="263"/>
      <c r="J19" s="263"/>
      <c r="K19" s="263"/>
      <c r="L19" s="263"/>
      <c r="M19" s="265"/>
      <c r="N19" s="265"/>
      <c r="O19" s="265"/>
      <c r="P19" s="263"/>
      <c r="Q19" s="263"/>
      <c r="R19" s="282"/>
      <c r="S19" s="265"/>
      <c r="T19" s="268"/>
      <c r="U19" s="269" t="str">
        <f>IF(B19="","",IF(OR(C19="",D19=""),"INCOMPLETE",IF(C19&gt;D19,"DATE ERROR",IF(D19&lt;CONFIG!$B$8,"EXPIRED",IF(D19&lt;=CONFIG!$B$8+30,"EXPIRING &lt;=30D",IF(D19&lt;=CONFIG!$B$8+90,"EXPIRING &lt;=90D","ACTIVE"))))))</f>
        <v>ACTIVE</v>
      </c>
    </row>
    <row r="20" spans="1:21" ht="15.75" customHeight="1" x14ac:dyDescent="0.25">
      <c r="A20" s="651"/>
      <c r="B20" s="268" t="s">
        <v>288</v>
      </c>
      <c r="C20" s="280">
        <v>46113</v>
      </c>
      <c r="D20" s="280">
        <v>46843</v>
      </c>
      <c r="E20" s="260"/>
      <c r="F20" s="283" t="s">
        <v>289</v>
      </c>
      <c r="G20" s="270" t="s">
        <v>290</v>
      </c>
      <c r="H20" s="263"/>
      <c r="I20" s="263"/>
      <c r="J20" s="263"/>
      <c r="K20" s="263"/>
      <c r="L20" s="263"/>
      <c r="M20" s="265"/>
      <c r="N20" s="265"/>
      <c r="O20" s="265"/>
      <c r="P20" s="263"/>
      <c r="Q20" s="263"/>
      <c r="R20" s="282"/>
      <c r="S20" s="265"/>
      <c r="T20" s="268"/>
      <c r="U20" s="269" t="str">
        <f>IF(B20="","",IF(OR(C20="",D20=""),"INCOMPLETE",IF(C20&gt;D20,"DATE ERROR",IF(D20&lt;CONFIG!$B$8,"EXPIRED",IF(D20&lt;=CONFIG!$B$8+30,"EXPIRING &lt;=30D",IF(D20&lt;=CONFIG!$B$8+90,"EXPIRING &lt;=90D","ACTIVE"))))))</f>
        <v>ACTIVE</v>
      </c>
    </row>
    <row r="21" spans="1:21" ht="45" x14ac:dyDescent="0.25">
      <c r="A21" s="651"/>
      <c r="B21" s="268" t="s">
        <v>291</v>
      </c>
      <c r="C21" s="280">
        <v>44927</v>
      </c>
      <c r="D21" s="280">
        <v>46387</v>
      </c>
      <c r="E21" s="260"/>
      <c r="F21" s="268" t="s">
        <v>292</v>
      </c>
      <c r="G21" s="270"/>
      <c r="H21" s="263"/>
      <c r="I21" s="263"/>
      <c r="J21" s="263"/>
      <c r="K21" s="263"/>
      <c r="L21" s="263"/>
      <c r="M21" s="265"/>
      <c r="N21" s="265"/>
      <c r="O21" s="265"/>
      <c r="P21" s="263"/>
      <c r="Q21" s="263"/>
      <c r="R21" s="282"/>
      <c r="S21" s="265"/>
      <c r="T21" s="268"/>
      <c r="U21" s="269" t="str">
        <f>IF(B21="","",IF(OR(C21="",D21=""),"INCOMPLETE",IF(C21&gt;D21,"DATE ERROR",IF(D21&lt;CONFIG!$B$8,"EXPIRED",IF(D21&lt;=CONFIG!$B$8+30,"EXPIRING &lt;=30D",IF(D21&lt;=CONFIG!$B$8+90,"EXPIRING &lt;=90D","ACTIVE"))))))</f>
        <v>EXPIRING &lt;=90D</v>
      </c>
    </row>
    <row r="22" spans="1:21" ht="45" x14ac:dyDescent="0.25">
      <c r="A22" s="651"/>
      <c r="B22" s="284" t="s">
        <v>293</v>
      </c>
      <c r="C22" s="280">
        <v>44927</v>
      </c>
      <c r="D22" s="280">
        <v>46387</v>
      </c>
      <c r="E22" s="260"/>
      <c r="F22" s="284" t="s">
        <v>292</v>
      </c>
      <c r="G22" s="270"/>
      <c r="H22" s="263"/>
      <c r="I22" s="263"/>
      <c r="J22" s="263"/>
      <c r="K22" s="263"/>
      <c r="L22" s="263"/>
      <c r="M22" s="265"/>
      <c r="N22" s="265"/>
      <c r="O22" s="265"/>
      <c r="P22" s="263"/>
      <c r="Q22" s="263"/>
      <c r="R22" s="282"/>
      <c r="S22" s="265"/>
      <c r="T22" s="268"/>
      <c r="U22" s="269" t="str">
        <f>IF(B22="","",IF(OR(C22="",D22=""),"INCOMPLETE",IF(C22&gt;D22,"DATE ERROR",IF(D22&lt;CONFIG!$B$8,"EXPIRED",IF(D22&lt;=CONFIG!$B$8+30,"EXPIRING &lt;=30D",IF(D22&lt;=CONFIG!$B$8+90,"EXPIRING &lt;=90D","ACTIVE"))))))</f>
        <v>EXPIRING &lt;=90D</v>
      </c>
    </row>
    <row r="23" spans="1:21" ht="15.75" customHeight="1" x14ac:dyDescent="0.25">
      <c r="A23" s="651"/>
      <c r="B23" s="260" t="s">
        <v>294</v>
      </c>
      <c r="C23" s="280">
        <v>45839</v>
      </c>
      <c r="D23" s="280">
        <v>46203</v>
      </c>
      <c r="E23" s="260"/>
      <c r="F23" s="283" t="s">
        <v>295</v>
      </c>
      <c r="G23" s="270" t="s">
        <v>290</v>
      </c>
      <c r="H23" s="263"/>
      <c r="I23" s="263"/>
      <c r="J23" s="263"/>
      <c r="K23" s="263"/>
      <c r="L23" s="263"/>
      <c r="M23" s="265"/>
      <c r="N23" s="265"/>
      <c r="O23" s="265"/>
      <c r="P23" s="263"/>
      <c r="Q23" s="263"/>
      <c r="R23" s="282"/>
      <c r="S23" s="265"/>
      <c r="T23" s="268"/>
      <c r="U23" s="269" t="str">
        <f>IF(B23="","",IF(OR(C23="",D23=""),"INCOMPLETE",IF(C23&gt;D23,"DATE ERROR",IF(D23&lt;CONFIG!$B$8,"EXPIRED",IF(D23&lt;=CONFIG!$B$8+30,"EXPIRING &lt;=30D",IF(D23&lt;=CONFIG!$B$8+90,"EXPIRING &lt;=90D","ACTIVE"))))))</f>
        <v>EXPIRED</v>
      </c>
    </row>
    <row r="24" spans="1:21" x14ac:dyDescent="0.25">
      <c r="A24" s="651"/>
      <c r="B24" s="260" t="s">
        <v>268</v>
      </c>
      <c r="C24" s="261">
        <v>45839</v>
      </c>
      <c r="D24" s="261">
        <v>46203</v>
      </c>
      <c r="E24" s="260" t="s">
        <v>269</v>
      </c>
      <c r="F24" s="260" t="s">
        <v>296</v>
      </c>
      <c r="G24" s="270">
        <v>38000</v>
      </c>
      <c r="H24" s="263"/>
      <c r="I24" s="263"/>
      <c r="J24" s="263"/>
      <c r="K24" s="263"/>
      <c r="L24" s="263"/>
      <c r="M24" s="265"/>
      <c r="N24" s="265"/>
      <c r="O24" s="265"/>
      <c r="P24" s="265"/>
      <c r="Q24" s="265"/>
      <c r="R24" s="265"/>
      <c r="S24" s="265"/>
      <c r="T24" s="268"/>
      <c r="U24" s="269" t="str">
        <f>IF(B24="","",IF(OR(C24="",D24=""),"INCOMPLETE",IF(C24&gt;D24,"DATE ERROR",IF(D24&lt;CONFIG!$B$8,"EXPIRED",IF(D24&lt;=CONFIG!$B$8+30,"EXPIRING &lt;=30D",IF(D24&lt;=CONFIG!$B$8+90,"EXPIRING &lt;=90D","ACTIVE"))))))</f>
        <v>EXPIRED</v>
      </c>
    </row>
    <row r="25" spans="1:21" x14ac:dyDescent="0.25">
      <c r="A25" s="651"/>
      <c r="B25" s="285" t="s">
        <v>275</v>
      </c>
      <c r="C25" s="261"/>
      <c r="D25" s="261"/>
      <c r="E25" s="260"/>
      <c r="F25" s="260"/>
      <c r="G25" s="270"/>
      <c r="H25" s="263"/>
      <c r="I25" s="263"/>
      <c r="J25" s="263"/>
      <c r="K25" s="263"/>
      <c r="L25" s="263"/>
      <c r="M25" s="265"/>
      <c r="N25" s="265"/>
      <c r="O25" s="265"/>
      <c r="P25" s="263"/>
      <c r="Q25" s="263"/>
      <c r="R25" s="282"/>
      <c r="S25" s="265"/>
      <c r="T25" s="268"/>
      <c r="U25" s="269" t="str">
        <f>IF(B25="","",IF(OR(C25="",D25=""),"INCOMPLETE",IF(C25&gt;D25,"DATE ERROR",IF(D25&lt;CONFIG!$B$8,"EXPIRED",IF(D25&lt;=CONFIG!$B$8+30,"EXPIRING &lt;=30D",IF(D25&lt;=CONFIG!$B$8+90,"EXPIRING &lt;=90D","ACTIVE"))))))</f>
        <v>INCOMPLETE</v>
      </c>
    </row>
    <row r="26" spans="1:21" x14ac:dyDescent="0.25">
      <c r="A26" s="652"/>
      <c r="B26" s="286" t="s">
        <v>297</v>
      </c>
      <c r="C26" s="261"/>
      <c r="D26" s="261"/>
      <c r="E26" s="260"/>
      <c r="F26" s="260"/>
      <c r="G26" s="270"/>
      <c r="H26" s="263"/>
      <c r="I26" s="263"/>
      <c r="J26" s="263"/>
      <c r="K26" s="263"/>
      <c r="L26" s="263"/>
      <c r="M26" s="265"/>
      <c r="N26" s="265"/>
      <c r="O26" s="265"/>
      <c r="P26" s="263"/>
      <c r="Q26" s="263"/>
      <c r="R26" s="282"/>
      <c r="S26" s="265"/>
      <c r="T26" s="268"/>
      <c r="U26" s="269" t="str">
        <f>IF(B26="","",IF(OR(C26="",D26=""),"INCOMPLETE",IF(C26&gt;D26,"DATE ERROR",IF(D26&lt;CONFIG!$B$8,"EXPIRED",IF(D26&lt;=CONFIG!$B$8+30,"EXPIRING &lt;=30D",IF(D26&lt;=CONFIG!$B$8+90,"EXPIRING &lt;=90D","ACTIVE"))))))</f>
        <v>INCOMPLETE</v>
      </c>
    </row>
    <row r="27" spans="1:21" x14ac:dyDescent="0.25">
      <c r="A27" s="650" t="s">
        <v>98</v>
      </c>
      <c r="B27" s="161" t="s">
        <v>266</v>
      </c>
      <c r="C27" s="272"/>
      <c r="D27" s="272"/>
      <c r="E27" s="161"/>
      <c r="F27" s="161" t="s">
        <v>211</v>
      </c>
      <c r="G27" s="273" t="s">
        <v>211</v>
      </c>
      <c r="H27" s="274" t="s">
        <v>211</v>
      </c>
      <c r="I27" s="274" t="s">
        <v>211</v>
      </c>
      <c r="J27" s="274" t="s">
        <v>211</v>
      </c>
      <c r="K27" s="274" t="s">
        <v>211</v>
      </c>
      <c r="L27" s="274" t="s">
        <v>211</v>
      </c>
      <c r="M27" s="275" t="s">
        <v>211</v>
      </c>
      <c r="N27" s="275" t="s">
        <v>211</v>
      </c>
      <c r="O27" s="275" t="s">
        <v>211</v>
      </c>
      <c r="P27" s="274" t="s">
        <v>211</v>
      </c>
      <c r="Q27" s="274"/>
      <c r="R27" s="276"/>
      <c r="S27" s="275"/>
      <c r="T27" s="277"/>
      <c r="U27" s="269" t="str">
        <f>IF(B27="","",IF(OR(C27="",D27=""),"INCOMPLETE",IF(C27&gt;D27,"DATE ERROR",IF(D27&lt;CONFIG!$B$8,"EXPIRED",IF(D27&lt;=CONFIG!$B$8+30,"EXPIRING &lt;=30D",IF(D27&lt;=CONFIG!$B$8+90,"EXPIRING &lt;=90D","ACTIVE"))))))</f>
        <v>INCOMPLETE</v>
      </c>
    </row>
    <row r="28" spans="1:21" x14ac:dyDescent="0.25">
      <c r="A28" s="651"/>
      <c r="B28" s="161" t="s">
        <v>267</v>
      </c>
      <c r="C28" s="272"/>
      <c r="D28" s="272"/>
      <c r="E28" s="161"/>
      <c r="F28" s="161" t="s">
        <v>211</v>
      </c>
      <c r="G28" s="273" t="s">
        <v>211</v>
      </c>
      <c r="H28" s="274" t="s">
        <v>211</v>
      </c>
      <c r="I28" s="274" t="s">
        <v>211</v>
      </c>
      <c r="J28" s="274" t="s">
        <v>211</v>
      </c>
      <c r="K28" s="274" t="s">
        <v>211</v>
      </c>
      <c r="L28" s="274" t="s">
        <v>211</v>
      </c>
      <c r="M28" s="275" t="s">
        <v>211</v>
      </c>
      <c r="N28" s="275" t="s">
        <v>211</v>
      </c>
      <c r="O28" s="275" t="s">
        <v>211</v>
      </c>
      <c r="P28" s="274" t="s">
        <v>211</v>
      </c>
      <c r="Q28" s="274"/>
      <c r="R28" s="276"/>
      <c r="S28" s="275"/>
      <c r="T28" s="277"/>
      <c r="U28" s="269" t="str">
        <f>IF(B28="","",IF(OR(C28="",D28=""),"INCOMPLETE",IF(C28&gt;D28,"DATE ERROR",IF(D28&lt;CONFIG!$B$8,"EXPIRED",IF(D28&lt;=CONFIG!$B$8+30,"EXPIRING &lt;=30D",IF(D28&lt;=CONFIG!$B$8+90,"EXPIRING &lt;=90D","ACTIVE"))))))</f>
        <v>INCOMPLETE</v>
      </c>
    </row>
    <row r="29" spans="1:21" x14ac:dyDescent="0.25">
      <c r="A29" s="651"/>
      <c r="B29" s="161" t="s">
        <v>268</v>
      </c>
      <c r="C29" s="272"/>
      <c r="D29" s="272"/>
      <c r="E29" s="161" t="s">
        <v>269</v>
      </c>
      <c r="F29" s="161" t="s">
        <v>298</v>
      </c>
      <c r="G29" s="278" t="s">
        <v>299</v>
      </c>
      <c r="H29" s="287" t="s">
        <v>211</v>
      </c>
      <c r="I29" s="287" t="s">
        <v>211</v>
      </c>
      <c r="J29" s="287" t="s">
        <v>211</v>
      </c>
      <c r="K29" s="274" t="s">
        <v>300</v>
      </c>
      <c r="L29" s="287" t="s">
        <v>211</v>
      </c>
      <c r="M29" s="275" t="s">
        <v>211</v>
      </c>
      <c r="N29" s="276" t="s">
        <v>211</v>
      </c>
      <c r="O29" s="275" t="s">
        <v>211</v>
      </c>
      <c r="P29" s="287" t="s">
        <v>301</v>
      </c>
      <c r="Q29" s="287"/>
      <c r="R29" s="276"/>
      <c r="S29" s="276"/>
      <c r="T29" s="277"/>
      <c r="U29" s="269" t="str">
        <f>IF(B29="","",IF(OR(C29="",D29=""),"INCOMPLETE",IF(C29&gt;D29,"DATE ERROR",IF(D29&lt;CONFIG!$B$8,"EXPIRED",IF(D29&lt;=CONFIG!$B$8+30,"EXPIRING &lt;=30D",IF(D29&lt;=CONFIG!$B$8+90,"EXPIRING &lt;=90D","ACTIVE"))))))</f>
        <v>INCOMPLETE</v>
      </c>
    </row>
    <row r="30" spans="1:21" x14ac:dyDescent="0.25">
      <c r="A30" s="651"/>
      <c r="B30" s="161" t="s">
        <v>294</v>
      </c>
      <c r="C30" s="272"/>
      <c r="D30" s="272"/>
      <c r="E30" s="161" t="s">
        <v>302</v>
      </c>
      <c r="F30" s="161" t="s">
        <v>303</v>
      </c>
      <c r="G30" s="278" t="s">
        <v>211</v>
      </c>
      <c r="H30" s="287" t="s">
        <v>304</v>
      </c>
      <c r="I30" s="287" t="s">
        <v>211</v>
      </c>
      <c r="J30" s="287" t="s">
        <v>211</v>
      </c>
      <c r="K30" s="287" t="s">
        <v>211</v>
      </c>
      <c r="L30" s="287" t="s">
        <v>211</v>
      </c>
      <c r="M30" s="275" t="s">
        <v>211</v>
      </c>
      <c r="N30" s="276" t="s">
        <v>211</v>
      </c>
      <c r="O30" s="276" t="s">
        <v>211</v>
      </c>
      <c r="P30" s="287" t="s">
        <v>211</v>
      </c>
      <c r="Q30" s="287"/>
      <c r="R30" s="276"/>
      <c r="S30" s="276"/>
      <c r="T30" s="277"/>
      <c r="U30" s="269" t="str">
        <f>IF(B30="","",IF(OR(C30="",D30=""),"INCOMPLETE",IF(C30&gt;D30,"DATE ERROR",IF(D30&lt;CONFIG!$B$8,"EXPIRED",IF(D30&lt;=CONFIG!$B$8+30,"EXPIRING &lt;=30D",IF(D30&lt;=CONFIG!$B$8+90,"EXPIRING &lt;=90D","ACTIVE"))))))</f>
        <v>INCOMPLETE</v>
      </c>
    </row>
    <row r="31" spans="1:21" ht="26.25" x14ac:dyDescent="0.25">
      <c r="A31" s="651"/>
      <c r="B31" s="161" t="s">
        <v>305</v>
      </c>
      <c r="C31" s="272"/>
      <c r="D31" s="272"/>
      <c r="E31" s="161" t="s">
        <v>306</v>
      </c>
      <c r="F31" s="161" t="s">
        <v>307</v>
      </c>
      <c r="G31" s="278" t="s">
        <v>308</v>
      </c>
      <c r="H31" s="287" t="s">
        <v>309</v>
      </c>
      <c r="I31" s="287" t="s">
        <v>310</v>
      </c>
      <c r="J31" s="287" t="s">
        <v>311</v>
      </c>
      <c r="K31" s="287" t="s">
        <v>312</v>
      </c>
      <c r="L31" s="287" t="s">
        <v>312</v>
      </c>
      <c r="M31" s="287" t="s">
        <v>313</v>
      </c>
      <c r="N31" s="276" t="s">
        <v>314</v>
      </c>
      <c r="O31" s="276" t="s">
        <v>315</v>
      </c>
      <c r="P31" s="287" t="s">
        <v>316</v>
      </c>
      <c r="Q31" s="287"/>
      <c r="R31" s="276"/>
      <c r="S31" s="276"/>
      <c r="T31" s="277"/>
      <c r="U31" s="269" t="str">
        <f>IF(B31="","",IF(OR(C31="",D31=""),"INCOMPLETE",IF(C31&gt;D31,"DATE ERROR",IF(D31&lt;CONFIG!$B$8,"EXPIRED",IF(D31&lt;=CONFIG!$B$8+30,"EXPIRING &lt;=30D",IF(D31&lt;=CONFIG!$B$8+90,"EXPIRING &lt;=90D","ACTIVE"))))))</f>
        <v>INCOMPLETE</v>
      </c>
    </row>
    <row r="32" spans="1:21" ht="27" customHeight="1" x14ac:dyDescent="0.25">
      <c r="A32" s="651"/>
      <c r="B32" s="161" t="s">
        <v>317</v>
      </c>
      <c r="C32" s="272"/>
      <c r="D32" s="272"/>
      <c r="E32" s="161" t="s">
        <v>318</v>
      </c>
      <c r="F32" s="161" t="s">
        <v>319</v>
      </c>
      <c r="G32" s="278" t="s">
        <v>320</v>
      </c>
      <c r="H32" s="287" t="s">
        <v>321</v>
      </c>
      <c r="I32" s="287" t="s">
        <v>322</v>
      </c>
      <c r="J32" s="287" t="s">
        <v>323</v>
      </c>
      <c r="K32" s="287" t="s">
        <v>324</v>
      </c>
      <c r="L32" s="287" t="s">
        <v>325</v>
      </c>
      <c r="M32" s="287" t="s">
        <v>326</v>
      </c>
      <c r="N32" s="276" t="s">
        <v>327</v>
      </c>
      <c r="O32" s="276" t="s">
        <v>328</v>
      </c>
      <c r="P32" s="287" t="s">
        <v>329</v>
      </c>
      <c r="Q32" s="287"/>
      <c r="R32" s="276"/>
      <c r="S32" s="276"/>
      <c r="T32" s="277"/>
      <c r="U32" s="269" t="str">
        <f>IF(B32="","",IF(OR(C32="",D32=""),"INCOMPLETE",IF(C32&gt;D32,"DATE ERROR",IF(D32&lt;CONFIG!$B$8,"EXPIRED",IF(D32&lt;=CONFIG!$B$8+30,"EXPIRING &lt;=30D",IF(D32&lt;=CONFIG!$B$8+90,"EXPIRING &lt;=90D","ACTIVE"))))))</f>
        <v>INCOMPLETE</v>
      </c>
    </row>
    <row r="33" spans="1:21" x14ac:dyDescent="0.25">
      <c r="A33" s="651"/>
      <c r="B33" s="161" t="s">
        <v>273</v>
      </c>
      <c r="C33" s="272"/>
      <c r="D33" s="272"/>
      <c r="E33" s="161" t="s">
        <v>269</v>
      </c>
      <c r="F33" s="161" t="s">
        <v>330</v>
      </c>
      <c r="G33" s="278" t="s">
        <v>331</v>
      </c>
      <c r="H33" s="287" t="s">
        <v>332</v>
      </c>
      <c r="I33" s="287" t="s">
        <v>332</v>
      </c>
      <c r="J33" s="287" t="s">
        <v>332</v>
      </c>
      <c r="K33" s="287" t="s">
        <v>211</v>
      </c>
      <c r="L33" s="287" t="s">
        <v>332</v>
      </c>
      <c r="M33" s="276" t="s">
        <v>211</v>
      </c>
      <c r="N33" s="276" t="s">
        <v>211</v>
      </c>
      <c r="O33" s="276" t="s">
        <v>211</v>
      </c>
      <c r="P33" s="287" t="s">
        <v>211</v>
      </c>
      <c r="Q33" s="287"/>
      <c r="R33" s="276"/>
      <c r="S33" s="276"/>
      <c r="T33" s="277"/>
      <c r="U33" s="269" t="str">
        <f>IF(B33="","",IF(OR(C33="",D33=""),"INCOMPLETE",IF(C33&gt;D33,"DATE ERROR",IF(D33&lt;CONFIG!$B$8,"EXPIRED",IF(D33&lt;=CONFIG!$B$8+30,"EXPIRING &lt;=30D",IF(D33&lt;=CONFIG!$B$8+90,"EXPIRING &lt;=90D","ACTIVE"))))))</f>
        <v>INCOMPLETE</v>
      </c>
    </row>
    <row r="34" spans="1:21" x14ac:dyDescent="0.25">
      <c r="A34" s="652"/>
      <c r="B34" s="279" t="s">
        <v>333</v>
      </c>
      <c r="C34" s="272">
        <v>46204</v>
      </c>
      <c r="D34" s="272">
        <v>46203</v>
      </c>
      <c r="E34" s="161" t="s">
        <v>334</v>
      </c>
      <c r="F34" s="161" t="s">
        <v>335</v>
      </c>
      <c r="G34" s="273"/>
      <c r="H34" s="274" t="s">
        <v>211</v>
      </c>
      <c r="I34" s="274" t="s">
        <v>211</v>
      </c>
      <c r="J34" s="274" t="s">
        <v>211</v>
      </c>
      <c r="K34" s="274" t="s">
        <v>211</v>
      </c>
      <c r="L34" s="274" t="s">
        <v>211</v>
      </c>
      <c r="M34" s="275" t="s">
        <v>211</v>
      </c>
      <c r="N34" s="275" t="s">
        <v>336</v>
      </c>
      <c r="O34" s="275" t="s">
        <v>211</v>
      </c>
      <c r="P34" s="287" t="s">
        <v>211</v>
      </c>
      <c r="Q34" s="274"/>
      <c r="R34" s="276"/>
      <c r="S34" s="275"/>
      <c r="T34" s="277"/>
      <c r="U34" s="269" t="str">
        <f>IF(B34="","",IF(OR(C34="",D34=""),"INCOMPLETE",IF(C34&gt;D34,"DATE ERROR",IF(D34&lt;CONFIG!$B$8,"EXPIRED",IF(D34&lt;=CONFIG!$B$8+30,"EXPIRING &lt;=30D",IF(D34&lt;=CONFIG!$B$8+90,"EXPIRING &lt;=90D","ACTIVE"))))))</f>
        <v>DATE ERROR</v>
      </c>
    </row>
    <row r="35" spans="1:21" x14ac:dyDescent="0.25">
      <c r="A35" s="657" t="s">
        <v>100</v>
      </c>
      <c r="B35" s="260" t="s">
        <v>266</v>
      </c>
      <c r="C35" s="261"/>
      <c r="D35" s="261"/>
      <c r="E35" s="260"/>
      <c r="F35" s="260"/>
      <c r="G35" s="262"/>
      <c r="H35" s="263"/>
      <c r="I35" s="263"/>
      <c r="J35" s="264"/>
      <c r="K35" s="264"/>
      <c r="L35" s="264"/>
      <c r="M35" s="265"/>
      <c r="N35" s="265">
        <v>0</v>
      </c>
      <c r="O35" s="265">
        <v>0</v>
      </c>
      <c r="P35" s="264"/>
      <c r="Q35" s="264"/>
      <c r="R35" s="266"/>
      <c r="S35" s="267"/>
      <c r="T35" s="268"/>
      <c r="U35" s="269" t="str">
        <f>IF(B35="","",IF(OR(C35="",D35=""),"INCOMPLETE",IF(C35&gt;D35,"DATE ERROR",IF(D35&lt;CONFIG!$B$8,"EXPIRED",IF(D35&lt;=CONFIG!$B$8+30,"EXPIRING &lt;=30D",IF(D35&lt;=CONFIG!$B$8+90,"EXPIRING &lt;=90D","ACTIVE"))))))</f>
        <v>INCOMPLETE</v>
      </c>
    </row>
    <row r="36" spans="1:21" x14ac:dyDescent="0.25">
      <c r="A36" s="651"/>
      <c r="B36" s="260" t="s">
        <v>267</v>
      </c>
      <c r="C36" s="261"/>
      <c r="D36" s="261"/>
      <c r="E36" s="260"/>
      <c r="F36" s="260"/>
      <c r="G36" s="262"/>
      <c r="H36" s="263"/>
      <c r="I36" s="263"/>
      <c r="J36" s="264"/>
      <c r="K36" s="264"/>
      <c r="L36" s="264"/>
      <c r="M36" s="265"/>
      <c r="N36" s="265">
        <v>0</v>
      </c>
      <c r="O36" s="265">
        <v>0</v>
      </c>
      <c r="P36" s="264"/>
      <c r="Q36" s="264"/>
      <c r="R36" s="266"/>
      <c r="S36" s="267"/>
      <c r="T36" s="268"/>
      <c r="U36" s="269" t="str">
        <f>IF(B36="","",IF(OR(C36="",D36=""),"INCOMPLETE",IF(C36&gt;D36,"DATE ERROR",IF(D36&lt;CONFIG!$B$8,"EXPIRED",IF(D36&lt;=CONFIG!$B$8+30,"EXPIRING &lt;=30D",IF(D36&lt;=CONFIG!$B$8+90,"EXPIRING &lt;=90D","ACTIVE"))))))</f>
        <v>INCOMPLETE</v>
      </c>
    </row>
    <row r="37" spans="1:21" x14ac:dyDescent="0.25">
      <c r="A37" s="651"/>
      <c r="B37" s="260" t="s">
        <v>268</v>
      </c>
      <c r="C37" s="261">
        <v>46204</v>
      </c>
      <c r="D37" s="261">
        <v>46934</v>
      </c>
      <c r="E37" s="260" t="s">
        <v>269</v>
      </c>
      <c r="F37" s="260" t="s">
        <v>337</v>
      </c>
      <c r="G37" s="262"/>
      <c r="H37" s="263"/>
      <c r="I37" s="263"/>
      <c r="J37" s="264"/>
      <c r="K37" s="264"/>
      <c r="L37" s="264"/>
      <c r="M37" s="265"/>
      <c r="N37" s="265" t="s">
        <v>338</v>
      </c>
      <c r="O37" s="265">
        <v>0</v>
      </c>
      <c r="P37" s="264"/>
      <c r="Q37" s="264"/>
      <c r="R37" s="266"/>
      <c r="S37" s="267"/>
      <c r="T37" s="268"/>
      <c r="U37" s="269" t="str">
        <f>IF(B37="","",IF(OR(C37="",D37=""),"INCOMPLETE",IF(C37&gt;D37,"DATE ERROR",IF(D37&lt;CONFIG!$B$8,"EXPIRED",IF(D37&lt;=CONFIG!$B$8+30,"EXPIRING &lt;=30D",IF(D37&lt;=CONFIG!$B$8+90,"EXPIRING &lt;=90D","ACTIVE"))))))</f>
        <v>ACTIVE</v>
      </c>
    </row>
    <row r="38" spans="1:21" x14ac:dyDescent="0.25">
      <c r="A38" s="651"/>
      <c r="B38" s="260" t="s">
        <v>271</v>
      </c>
      <c r="C38" s="261">
        <v>46204</v>
      </c>
      <c r="D38" s="261">
        <v>46934</v>
      </c>
      <c r="E38" s="260" t="s">
        <v>269</v>
      </c>
      <c r="F38" s="260" t="s">
        <v>339</v>
      </c>
      <c r="G38" s="262"/>
      <c r="H38" s="263"/>
      <c r="I38" s="263"/>
      <c r="J38" s="264"/>
      <c r="K38" s="264"/>
      <c r="L38" s="264"/>
      <c r="M38" s="265"/>
      <c r="N38" s="265" t="s">
        <v>340</v>
      </c>
      <c r="O38" s="265">
        <v>0</v>
      </c>
      <c r="P38" s="264"/>
      <c r="Q38" s="264"/>
      <c r="R38" s="266"/>
      <c r="S38" s="267"/>
      <c r="T38" s="268"/>
      <c r="U38" s="269" t="str">
        <f>IF(B38="","",IF(OR(C38="",D38=""),"INCOMPLETE",IF(C38&gt;D38,"DATE ERROR",IF(D38&lt;CONFIG!$B$8,"EXPIRED",IF(D38&lt;=CONFIG!$B$8+30,"EXPIRING &lt;=30D",IF(D38&lt;=CONFIG!$B$8+90,"EXPIRING &lt;=90D","ACTIVE"))))))</f>
        <v>ACTIVE</v>
      </c>
    </row>
    <row r="39" spans="1:21" x14ac:dyDescent="0.25">
      <c r="A39" s="651"/>
      <c r="B39" s="285" t="s">
        <v>275</v>
      </c>
      <c r="C39" s="261"/>
      <c r="D39" s="261"/>
      <c r="E39" s="260"/>
      <c r="F39" s="260"/>
      <c r="G39" s="262"/>
      <c r="H39" s="263"/>
      <c r="I39" s="263"/>
      <c r="J39" s="264"/>
      <c r="K39" s="264"/>
      <c r="L39" s="264"/>
      <c r="M39" s="265"/>
      <c r="N39" s="265">
        <v>0</v>
      </c>
      <c r="O39" s="265">
        <v>0</v>
      </c>
      <c r="P39" s="264"/>
      <c r="Q39" s="264"/>
      <c r="R39" s="266"/>
      <c r="S39" s="267"/>
      <c r="T39" s="268"/>
      <c r="U39" s="269" t="str">
        <f>IF(B39="","",IF(OR(C39="",D39=""),"INCOMPLETE",IF(C39&gt;D39,"DATE ERROR",IF(D39&lt;CONFIG!$B$8,"EXPIRED",IF(D39&lt;=CONFIG!$B$8+30,"EXPIRING &lt;=30D",IF(D39&lt;=CONFIG!$B$8+90,"EXPIRING &lt;=90D","ACTIVE"))))))</f>
        <v>INCOMPLETE</v>
      </c>
    </row>
    <row r="40" spans="1:21" x14ac:dyDescent="0.25">
      <c r="A40" s="651"/>
      <c r="B40" s="285" t="s">
        <v>297</v>
      </c>
      <c r="C40" s="261"/>
      <c r="D40" s="261"/>
      <c r="E40" s="260"/>
      <c r="F40" s="260"/>
      <c r="G40" s="262"/>
      <c r="H40" s="263"/>
      <c r="I40" s="263"/>
      <c r="J40" s="264"/>
      <c r="K40" s="264"/>
      <c r="L40" s="264"/>
      <c r="M40" s="265"/>
      <c r="N40" s="265">
        <v>0</v>
      </c>
      <c r="O40" s="265">
        <v>0</v>
      </c>
      <c r="P40" s="264" t="s">
        <v>341</v>
      </c>
      <c r="Q40" s="264"/>
      <c r="R40" s="266"/>
      <c r="S40" s="267"/>
      <c r="T40" s="268"/>
      <c r="U40" s="269" t="str">
        <f>IF(B40="","",IF(OR(C40="",D40=""),"INCOMPLETE",IF(C40&gt;D40,"DATE ERROR",IF(D40&lt;CONFIG!$B$8,"EXPIRED",IF(D40&lt;=CONFIG!$B$8+30,"EXPIRING &lt;=30D",IF(D40&lt;=CONFIG!$B$8+90,"EXPIRING &lt;=90D","ACTIVE"))))))</f>
        <v>INCOMPLETE</v>
      </c>
    </row>
    <row r="41" spans="1:21" x14ac:dyDescent="0.25">
      <c r="A41" s="651"/>
      <c r="B41" s="285" t="s">
        <v>342</v>
      </c>
      <c r="C41" s="261">
        <v>46023</v>
      </c>
      <c r="D41" s="261">
        <v>47483</v>
      </c>
      <c r="E41" s="260" t="s">
        <v>343</v>
      </c>
      <c r="F41" s="260" t="s">
        <v>344</v>
      </c>
      <c r="G41" s="262" t="s">
        <v>345</v>
      </c>
      <c r="H41" s="263"/>
      <c r="I41" s="263"/>
      <c r="J41" s="264"/>
      <c r="K41" s="264"/>
      <c r="L41" s="264"/>
      <c r="M41" s="265"/>
      <c r="N41" s="265">
        <v>2734</v>
      </c>
      <c r="O41" s="265">
        <v>2110</v>
      </c>
      <c r="P41" s="264"/>
      <c r="Q41" s="264"/>
      <c r="R41" s="266"/>
      <c r="S41" s="267"/>
      <c r="T41" s="268"/>
      <c r="U41" s="269" t="str">
        <f>IF(B41="","",IF(OR(C41="",D41=""),"INCOMPLETE",IF(C41&gt;D41,"DATE ERROR",IF(D41&lt;CONFIG!$B$8,"EXPIRED",IF(D41&lt;=CONFIG!$B$8+30,"EXPIRING &lt;=30D",IF(D41&lt;=CONFIG!$B$8+90,"EXPIRING &lt;=90D","ACTIVE"))))))</f>
        <v>ACTIVE</v>
      </c>
    </row>
    <row r="42" spans="1:21" ht="26.25" x14ac:dyDescent="0.25">
      <c r="A42" s="651"/>
      <c r="B42" s="285" t="s">
        <v>305</v>
      </c>
      <c r="C42" s="261">
        <v>45839</v>
      </c>
      <c r="D42" s="261">
        <v>46934</v>
      </c>
      <c r="E42" s="260" t="s">
        <v>306</v>
      </c>
      <c r="F42" s="260" t="s">
        <v>346</v>
      </c>
      <c r="G42" s="262"/>
      <c r="H42" s="263"/>
      <c r="I42" s="263"/>
      <c r="J42" s="264"/>
      <c r="K42" s="264"/>
      <c r="L42" s="264"/>
      <c r="M42" s="265"/>
      <c r="N42" s="265">
        <v>55212</v>
      </c>
      <c r="O42" s="265">
        <v>57052</v>
      </c>
      <c r="P42" s="264"/>
      <c r="Q42" s="264"/>
      <c r="R42" s="266"/>
      <c r="S42" s="267"/>
      <c r="T42" s="268"/>
      <c r="U42" s="269" t="str">
        <f>IF(B42="","",IF(OR(C42="",D42=""),"INCOMPLETE",IF(C42&gt;D42,"DATE ERROR",IF(D42&lt;CONFIG!$B$8,"EXPIRED",IF(D42&lt;=CONFIG!$B$8+30,"EXPIRING &lt;=30D",IF(D42&lt;=CONFIG!$B$8+90,"EXPIRING &lt;=90D","ACTIVE"))))))</f>
        <v>ACTIVE</v>
      </c>
    </row>
    <row r="43" spans="1:21" ht="26.25" x14ac:dyDescent="0.25">
      <c r="A43" s="652"/>
      <c r="B43" s="285" t="s">
        <v>317</v>
      </c>
      <c r="C43" s="261">
        <v>45839</v>
      </c>
      <c r="D43" s="261">
        <v>46934</v>
      </c>
      <c r="E43" s="260" t="s">
        <v>318</v>
      </c>
      <c r="F43" s="260" t="s">
        <v>347</v>
      </c>
      <c r="G43" s="262"/>
      <c r="H43" s="263"/>
      <c r="I43" s="263"/>
      <c r="J43" s="264"/>
      <c r="K43" s="264"/>
      <c r="L43" s="264"/>
      <c r="M43" s="265"/>
      <c r="N43" s="265">
        <v>84207</v>
      </c>
      <c r="O43" s="265">
        <v>87173</v>
      </c>
      <c r="P43" s="264"/>
      <c r="Q43" s="264"/>
      <c r="R43" s="266"/>
      <c r="S43" s="267"/>
      <c r="T43" s="268"/>
      <c r="U43" s="269" t="str">
        <f>IF(B43="","",IF(OR(C43="",D43=""),"INCOMPLETE",IF(C43&gt;D43,"DATE ERROR",IF(D43&lt;CONFIG!$B$8,"EXPIRED",IF(D43&lt;=CONFIG!$B$8+30,"EXPIRING &lt;=30D",IF(D43&lt;=CONFIG!$B$8+90,"EXPIRING &lt;=90D","ACTIVE"))))))</f>
        <v>ACTIVE</v>
      </c>
    </row>
    <row r="44" spans="1:21" x14ac:dyDescent="0.25">
      <c r="A44" s="650" t="s">
        <v>120</v>
      </c>
      <c r="B44" s="161" t="s">
        <v>266</v>
      </c>
      <c r="C44" s="272"/>
      <c r="D44" s="272"/>
      <c r="E44" s="161"/>
      <c r="F44" s="161"/>
      <c r="G44" s="273"/>
      <c r="H44" s="274"/>
      <c r="I44" s="274"/>
      <c r="J44" s="274"/>
      <c r="K44" s="274"/>
      <c r="L44" s="274"/>
      <c r="M44" s="275"/>
      <c r="N44" s="275"/>
      <c r="O44" s="275"/>
      <c r="P44" s="274"/>
      <c r="Q44" s="274"/>
      <c r="R44" s="276"/>
      <c r="S44" s="275"/>
      <c r="T44" s="277"/>
      <c r="U44" s="269" t="str">
        <f>IF(B44="","",IF(OR(C44="",D44=""),"INCOMPLETE",IF(C44&gt;D44,"DATE ERROR",IF(D44&lt;CONFIG!$B$8,"EXPIRED",IF(D44&lt;=CONFIG!$B$8+30,"EXPIRING &lt;=30D",IF(D44&lt;=CONFIG!$B$8+90,"EXPIRING &lt;=90D","ACTIVE"))))))</f>
        <v>INCOMPLETE</v>
      </c>
    </row>
    <row r="45" spans="1:21" x14ac:dyDescent="0.25">
      <c r="A45" s="651"/>
      <c r="B45" s="161" t="s">
        <v>267</v>
      </c>
      <c r="C45" s="272"/>
      <c r="D45" s="272"/>
      <c r="E45" s="161"/>
      <c r="F45" s="161"/>
      <c r="G45" s="273"/>
      <c r="H45" s="274"/>
      <c r="I45" s="274"/>
      <c r="J45" s="274"/>
      <c r="K45" s="274"/>
      <c r="L45" s="274"/>
      <c r="M45" s="275"/>
      <c r="N45" s="275"/>
      <c r="O45" s="275"/>
      <c r="P45" s="274"/>
      <c r="Q45" s="274"/>
      <c r="R45" s="276"/>
      <c r="S45" s="275"/>
      <c r="T45" s="277"/>
      <c r="U45" s="269" t="str">
        <f>IF(B45="","",IF(OR(C45="",D45=""),"INCOMPLETE",IF(C45&gt;D45,"DATE ERROR",IF(D45&lt;CONFIG!$B$8,"EXPIRED",IF(D45&lt;=CONFIG!$B$8+30,"EXPIRING &lt;=30D",IF(D45&lt;=CONFIG!$B$8+90,"EXPIRING &lt;=90D","ACTIVE"))))))</f>
        <v>INCOMPLETE</v>
      </c>
    </row>
    <row r="46" spans="1:21" ht="26.25" x14ac:dyDescent="0.25">
      <c r="A46" s="651"/>
      <c r="B46" s="161" t="s">
        <v>268</v>
      </c>
      <c r="C46" s="272">
        <v>45839</v>
      </c>
      <c r="D46" s="272">
        <v>46203</v>
      </c>
      <c r="E46" s="274" t="s">
        <v>269</v>
      </c>
      <c r="F46" s="161" t="s">
        <v>348</v>
      </c>
      <c r="G46" s="273"/>
      <c r="H46" s="274"/>
      <c r="I46" s="274"/>
      <c r="J46" s="274"/>
      <c r="K46" s="274"/>
      <c r="L46" s="274"/>
      <c r="M46" s="275"/>
      <c r="N46" s="275"/>
      <c r="O46" s="275"/>
      <c r="P46" s="274"/>
      <c r="Q46" s="274"/>
      <c r="R46" s="276"/>
      <c r="S46" s="275"/>
      <c r="T46" s="277"/>
      <c r="U46" s="269" t="str">
        <f>IF(B46="","",IF(OR(C46="",D46=""),"INCOMPLETE",IF(C46&gt;D46,"DATE ERROR",IF(D46&lt;CONFIG!$B$8,"EXPIRED",IF(D46&lt;=CONFIG!$B$8+30,"EXPIRING &lt;=30D",IF(D46&lt;=CONFIG!$B$8+90,"EXPIRING &lt;=90D","ACTIVE"))))))</f>
        <v>EXPIRED</v>
      </c>
    </row>
    <row r="47" spans="1:21" x14ac:dyDescent="0.25">
      <c r="A47" s="651"/>
      <c r="B47" s="161" t="s">
        <v>273</v>
      </c>
      <c r="C47" s="272">
        <v>45809</v>
      </c>
      <c r="D47" s="272">
        <v>46173</v>
      </c>
      <c r="E47" s="274" t="s">
        <v>349</v>
      </c>
      <c r="F47" s="161" t="s">
        <v>350</v>
      </c>
      <c r="G47" s="274"/>
      <c r="H47" s="274"/>
      <c r="I47" s="274"/>
      <c r="J47" s="274"/>
      <c r="K47" s="274"/>
      <c r="L47" s="274"/>
      <c r="M47" s="275"/>
      <c r="N47" s="275"/>
      <c r="O47" s="275"/>
      <c r="P47" s="274"/>
      <c r="Q47" s="274"/>
      <c r="R47" s="276"/>
      <c r="S47" s="275"/>
      <c r="T47" s="277"/>
      <c r="U47" s="269" t="str">
        <f>IF(B47="","",IF(OR(C47="",D47=""),"INCOMPLETE",IF(C47&gt;D47,"DATE ERROR",IF(D47&lt;CONFIG!$B$8,"EXPIRED",IF(D47&lt;=CONFIG!$B$8+30,"EXPIRING &lt;=30D",IF(D47&lt;=CONFIG!$B$8+90,"EXPIRING &lt;=90D","ACTIVE"))))))</f>
        <v>EXPIRED</v>
      </c>
    </row>
    <row r="48" spans="1:21" x14ac:dyDescent="0.25">
      <c r="A48" s="651"/>
      <c r="B48" s="161" t="s">
        <v>271</v>
      </c>
      <c r="C48" s="272"/>
      <c r="D48" s="272"/>
      <c r="E48" s="161"/>
      <c r="F48" s="161"/>
      <c r="G48" s="161"/>
      <c r="H48" s="161"/>
      <c r="I48" s="161"/>
      <c r="J48" s="161"/>
      <c r="K48" s="161"/>
      <c r="L48" s="161"/>
      <c r="M48" s="161"/>
      <c r="N48" s="161"/>
      <c r="O48" s="161"/>
      <c r="P48" s="161"/>
      <c r="Q48" s="161"/>
      <c r="R48" s="161"/>
      <c r="S48" s="161"/>
      <c r="T48" s="161"/>
      <c r="U48" s="269" t="str">
        <f>IF(B48="","",IF(OR(C48="",D48=""),"INCOMPLETE",IF(C48&gt;D48,"DATE ERROR",IF(D48&lt;CONFIG!$B$8,"EXPIRED",IF(D48&lt;=CONFIG!$B$8+30,"EXPIRING &lt;=30D",IF(D48&lt;=CONFIG!$B$8+90,"EXPIRING &lt;=90D","ACTIVE"))))))</f>
        <v>INCOMPLETE</v>
      </c>
    </row>
    <row r="49" spans="1:21" x14ac:dyDescent="0.25">
      <c r="A49" s="652"/>
      <c r="B49" s="279" t="s">
        <v>275</v>
      </c>
      <c r="C49" s="272"/>
      <c r="D49" s="272"/>
      <c r="E49" s="161"/>
      <c r="F49" s="161"/>
      <c r="G49" s="273"/>
      <c r="H49" s="274"/>
      <c r="I49" s="274"/>
      <c r="J49" s="274"/>
      <c r="K49" s="274"/>
      <c r="L49" s="274"/>
      <c r="M49" s="275"/>
      <c r="N49" s="275"/>
      <c r="O49" s="275"/>
      <c r="P49" s="274"/>
      <c r="Q49" s="274"/>
      <c r="R49" s="276"/>
      <c r="S49" s="275"/>
      <c r="T49" s="277"/>
      <c r="U49" s="269" t="str">
        <f>IF(B49="","",IF(OR(C49="",D49=""),"INCOMPLETE",IF(C49&gt;D49,"DATE ERROR",IF(D49&lt;CONFIG!$B$8,"EXPIRED",IF(D49&lt;=CONFIG!$B$8+30,"EXPIRING &lt;=30D",IF(D49&lt;=CONFIG!$B$8+90,"EXPIRING &lt;=90D","ACTIVE"))))))</f>
        <v>INCOMPLETE</v>
      </c>
    </row>
    <row r="50" spans="1:21" x14ac:dyDescent="0.25">
      <c r="A50" s="657" t="s">
        <v>121</v>
      </c>
      <c r="B50" s="260" t="s">
        <v>266</v>
      </c>
      <c r="C50" s="261"/>
      <c r="D50" s="261"/>
      <c r="E50" s="260"/>
      <c r="F50" s="260"/>
      <c r="G50" s="262"/>
      <c r="H50" s="263"/>
      <c r="I50" s="263"/>
      <c r="J50" s="264"/>
      <c r="K50" s="264"/>
      <c r="L50" s="264"/>
      <c r="M50" s="265"/>
      <c r="N50" s="265"/>
      <c r="O50" s="265"/>
      <c r="P50" s="264"/>
      <c r="Q50" s="264"/>
      <c r="R50" s="266"/>
      <c r="S50" s="267"/>
      <c r="T50" s="268"/>
      <c r="U50" s="269" t="str">
        <f>IF(B50="","",IF(OR(C50="",D50=""),"INCOMPLETE",IF(C50&gt;D50,"DATE ERROR",IF(D50&lt;CONFIG!$B$8,"EXPIRED",IF(D50&lt;=CONFIG!$B$8+30,"EXPIRING &lt;=30D",IF(D50&lt;=CONFIG!$B$8+90,"EXPIRING &lt;=90D","ACTIVE"))))))</f>
        <v>INCOMPLETE</v>
      </c>
    </row>
    <row r="51" spans="1:21" x14ac:dyDescent="0.25">
      <c r="A51" s="651"/>
      <c r="B51" s="260" t="s">
        <v>267</v>
      </c>
      <c r="C51" s="261"/>
      <c r="D51" s="261"/>
      <c r="E51" s="260"/>
      <c r="F51" s="260"/>
      <c r="G51" s="262"/>
      <c r="H51" s="263"/>
      <c r="I51" s="263"/>
      <c r="J51" s="264"/>
      <c r="K51" s="264"/>
      <c r="L51" s="264"/>
      <c r="M51" s="265"/>
      <c r="N51" s="265"/>
      <c r="O51" s="265"/>
      <c r="P51" s="264"/>
      <c r="Q51" s="264"/>
      <c r="R51" s="266"/>
      <c r="S51" s="267"/>
      <c r="T51" s="268"/>
      <c r="U51" s="269" t="str">
        <f>IF(B51="","",IF(OR(C51="",D51=""),"INCOMPLETE",IF(C51&gt;D51,"DATE ERROR",IF(D51&lt;CONFIG!$B$8,"EXPIRED",IF(D51&lt;=CONFIG!$B$8+30,"EXPIRING &lt;=30D",IF(D51&lt;=CONFIG!$B$8+90,"EXPIRING &lt;=90D","ACTIVE"))))))</f>
        <v>INCOMPLETE</v>
      </c>
    </row>
    <row r="52" spans="1:21" ht="26.25" x14ac:dyDescent="0.25">
      <c r="A52" s="651"/>
      <c r="B52" s="260" t="s">
        <v>268</v>
      </c>
      <c r="C52" s="261">
        <v>45839</v>
      </c>
      <c r="D52" s="261">
        <v>46203</v>
      </c>
      <c r="E52" s="260" t="s">
        <v>269</v>
      </c>
      <c r="F52" s="260" t="s">
        <v>348</v>
      </c>
      <c r="G52" s="270">
        <f>8000*12</f>
        <v>96000</v>
      </c>
      <c r="H52" s="263">
        <v>8000</v>
      </c>
      <c r="I52" s="263">
        <v>0</v>
      </c>
      <c r="J52" s="264">
        <v>0</v>
      </c>
      <c r="K52" s="264">
        <v>0</v>
      </c>
      <c r="L52" s="264">
        <v>8000</v>
      </c>
      <c r="M52" s="265"/>
      <c r="N52" s="265"/>
      <c r="O52" s="265"/>
      <c r="P52" s="264"/>
      <c r="Q52" s="264"/>
      <c r="R52" s="266"/>
      <c r="S52" s="288"/>
      <c r="T52" s="268"/>
      <c r="U52" s="269" t="str">
        <f>IF(B52="","",IF(OR(C52="",D52=""),"INCOMPLETE",IF(C52&gt;D52,"DATE ERROR",IF(D52&lt;CONFIG!$B$8,"EXPIRED",IF(D52&lt;=CONFIG!$B$8+30,"EXPIRING &lt;=30D",IF(D52&lt;=CONFIG!$B$8+90,"EXPIRING &lt;=90D","ACTIVE"))))))</f>
        <v>EXPIRED</v>
      </c>
    </row>
    <row r="53" spans="1:21" x14ac:dyDescent="0.25">
      <c r="A53" s="651"/>
      <c r="B53" s="260" t="s">
        <v>273</v>
      </c>
      <c r="C53" s="261">
        <v>45809</v>
      </c>
      <c r="D53" s="261">
        <v>46173</v>
      </c>
      <c r="E53" s="260" t="s">
        <v>349</v>
      </c>
      <c r="F53" s="260" t="s">
        <v>350</v>
      </c>
      <c r="G53" s="270">
        <f>(5989*12)+(5989*12*18%)-0.24</f>
        <v>84804</v>
      </c>
      <c r="H53" s="263">
        <v>7067</v>
      </c>
      <c r="I53" s="263">
        <v>7067</v>
      </c>
      <c r="J53" s="263">
        <v>7067</v>
      </c>
      <c r="K53" s="263">
        <v>7067</v>
      </c>
      <c r="L53" s="263">
        <v>7067</v>
      </c>
      <c r="M53" s="265"/>
      <c r="N53" s="265"/>
      <c r="O53" s="265"/>
      <c r="P53" s="264"/>
      <c r="Q53" s="264"/>
      <c r="R53" s="266"/>
      <c r="S53" s="267"/>
      <c r="T53" s="268"/>
      <c r="U53" s="269" t="str">
        <f>IF(B53="","",IF(OR(C53="",D53=""),"INCOMPLETE",IF(C53&gt;D53,"DATE ERROR",IF(D53&lt;CONFIG!$B$8,"EXPIRED",IF(D53&lt;=CONFIG!$B$8+30,"EXPIRING &lt;=30D",IF(D53&lt;=CONFIG!$B$8+90,"EXPIRING &lt;=90D","ACTIVE"))))))</f>
        <v>EXPIRED</v>
      </c>
    </row>
    <row r="54" spans="1:21" ht="26.25" x14ac:dyDescent="0.25">
      <c r="A54" s="651"/>
      <c r="B54" s="260" t="s">
        <v>271</v>
      </c>
      <c r="C54" s="261">
        <v>46204</v>
      </c>
      <c r="D54" s="261">
        <v>46934</v>
      </c>
      <c r="E54" s="161" t="s">
        <v>269</v>
      </c>
      <c r="F54" s="161" t="s">
        <v>351</v>
      </c>
      <c r="G54" s="273">
        <f>4500*4</f>
        <v>18000</v>
      </c>
      <c r="H54" s="274"/>
      <c r="I54" s="274"/>
      <c r="J54" s="274"/>
      <c r="K54" s="274"/>
      <c r="L54" s="274"/>
      <c r="M54" s="275"/>
      <c r="N54" s="275"/>
      <c r="O54" s="275"/>
      <c r="P54" s="274">
        <v>4500</v>
      </c>
      <c r="Q54" s="264"/>
      <c r="R54" s="266"/>
      <c r="S54" s="267"/>
      <c r="T54" s="268"/>
      <c r="U54" s="269" t="str">
        <f>IF(B54="","",IF(OR(C54="",D54=""),"INCOMPLETE",IF(C54&gt;D54,"DATE ERROR",IF(D54&lt;CONFIG!$B$8,"EXPIRED",IF(D54&lt;=CONFIG!$B$8+30,"EXPIRING &lt;=30D",IF(D54&lt;=CONFIG!$B$8+90,"EXPIRING &lt;=90D","ACTIVE"))))))</f>
        <v>ACTIVE</v>
      </c>
    </row>
    <row r="55" spans="1:21" x14ac:dyDescent="0.25">
      <c r="A55" s="652"/>
      <c r="B55" s="285" t="s">
        <v>275</v>
      </c>
      <c r="C55" s="261"/>
      <c r="D55" s="261"/>
      <c r="E55" s="260"/>
      <c r="F55" s="260"/>
      <c r="G55" s="262"/>
      <c r="H55" s="263"/>
      <c r="I55" s="263"/>
      <c r="J55" s="264"/>
      <c r="K55" s="264"/>
      <c r="L55" s="264"/>
      <c r="M55" s="265"/>
      <c r="N55" s="265"/>
      <c r="O55" s="265"/>
      <c r="P55" s="264"/>
      <c r="Q55" s="264"/>
      <c r="R55" s="266"/>
      <c r="S55" s="267"/>
      <c r="T55" s="268"/>
      <c r="U55" s="269" t="str">
        <f>IF(B55="","",IF(OR(C55="",D55=""),"INCOMPLETE",IF(C55&gt;D55,"DATE ERROR",IF(D55&lt;CONFIG!$B$8,"EXPIRED",IF(D55&lt;=CONFIG!$B$8+30,"EXPIRING &lt;=30D",IF(D55&lt;=CONFIG!$B$8+90,"EXPIRING &lt;=90D","ACTIVE"))))))</f>
        <v>INCOMPLETE</v>
      </c>
    </row>
    <row r="56" spans="1:21" x14ac:dyDescent="0.25">
      <c r="A56" s="650" t="s">
        <v>108</v>
      </c>
      <c r="B56" s="161" t="s">
        <v>266</v>
      </c>
      <c r="C56" s="272"/>
      <c r="D56" s="272"/>
      <c r="E56" s="161"/>
      <c r="F56" s="161"/>
      <c r="G56" s="273"/>
      <c r="H56" s="274"/>
      <c r="I56" s="274"/>
      <c r="J56" s="274"/>
      <c r="K56" s="274"/>
      <c r="L56" s="274"/>
      <c r="M56" s="275"/>
      <c r="N56" s="275"/>
      <c r="O56" s="275"/>
      <c r="P56" s="274"/>
      <c r="Q56" s="274"/>
      <c r="R56" s="276"/>
      <c r="S56" s="275"/>
      <c r="T56" s="277"/>
      <c r="U56" s="269" t="str">
        <f>IF(B56="","",IF(OR(C56="",D56=""),"INCOMPLETE",IF(C56&gt;D56,"DATE ERROR",IF(D56&lt;CONFIG!$B$8,"EXPIRED",IF(D56&lt;=CONFIG!$B$8+30,"EXPIRING &lt;=30D",IF(D56&lt;=CONFIG!$B$8+90,"EXPIRING &lt;=90D","ACTIVE"))))))</f>
        <v>INCOMPLETE</v>
      </c>
    </row>
    <row r="57" spans="1:21" x14ac:dyDescent="0.25">
      <c r="A57" s="651"/>
      <c r="B57" s="161" t="s">
        <v>267</v>
      </c>
      <c r="C57" s="272"/>
      <c r="D57" s="272"/>
      <c r="E57" s="161"/>
      <c r="F57" s="161"/>
      <c r="G57" s="273"/>
      <c r="H57" s="278"/>
      <c r="I57" s="278"/>
      <c r="J57" s="278"/>
      <c r="K57" s="278"/>
      <c r="L57" s="278"/>
      <c r="M57" s="289"/>
      <c r="N57" s="289"/>
      <c r="O57" s="289"/>
      <c r="P57" s="274"/>
      <c r="Q57" s="274"/>
      <c r="R57" s="276"/>
      <c r="S57" s="275"/>
      <c r="T57" s="277"/>
      <c r="U57" s="269" t="str">
        <f>IF(B57="","",IF(OR(C57="",D57=""),"INCOMPLETE",IF(C57&gt;D57,"DATE ERROR",IF(D57&lt;CONFIG!$B$8,"EXPIRED",IF(D57&lt;=CONFIG!$B$8+30,"EXPIRING &lt;=30D",IF(D57&lt;=CONFIG!$B$8+90,"EXPIRING &lt;=90D","ACTIVE"))))))</f>
        <v>INCOMPLETE</v>
      </c>
    </row>
    <row r="58" spans="1:21" ht="26.25" x14ac:dyDescent="0.25">
      <c r="A58" s="651"/>
      <c r="B58" s="161" t="s">
        <v>268</v>
      </c>
      <c r="C58" s="272">
        <v>45839</v>
      </c>
      <c r="D58" s="272">
        <v>46203</v>
      </c>
      <c r="E58" s="274" t="s">
        <v>269</v>
      </c>
      <c r="F58" s="161" t="s">
        <v>348</v>
      </c>
      <c r="G58" s="278">
        <f>9000*12</f>
        <v>108000</v>
      </c>
      <c r="H58" s="253"/>
      <c r="I58" s="278"/>
      <c r="J58" s="278"/>
      <c r="K58" s="278"/>
      <c r="L58" s="278"/>
      <c r="M58" s="289"/>
      <c r="N58" s="710">
        <v>12000</v>
      </c>
      <c r="O58" s="711"/>
      <c r="P58" s="712"/>
      <c r="Q58" s="720"/>
      <c r="R58" s="618"/>
      <c r="S58" s="633"/>
      <c r="T58" s="277"/>
      <c r="U58" s="269" t="str">
        <f>IF(B58="","",IF(OR(C58="",D58=""),"INCOMPLETE",IF(C58&gt;D58,"DATE ERROR",IF(D58&lt;CONFIG!$B$8,"EXPIRED",IF(D58&lt;=CONFIG!$B$8+30,"EXPIRING &lt;=30D",IF(D58&lt;=CONFIG!$B$8+90,"EXPIRING &lt;=90D","ACTIVE"))))))</f>
        <v>EXPIRED</v>
      </c>
    </row>
    <row r="59" spans="1:21" x14ac:dyDescent="0.25">
      <c r="A59" s="651"/>
      <c r="B59" s="161" t="s">
        <v>273</v>
      </c>
      <c r="C59" s="272">
        <v>45809</v>
      </c>
      <c r="D59" s="272">
        <v>46173</v>
      </c>
      <c r="E59" s="274" t="s">
        <v>349</v>
      </c>
      <c r="F59" s="161" t="s">
        <v>350</v>
      </c>
      <c r="G59" s="290">
        <f>11490812</f>
        <v>11490812</v>
      </c>
      <c r="H59" s="278"/>
      <c r="I59" s="278"/>
      <c r="J59" s="278"/>
      <c r="K59" s="278"/>
      <c r="L59" s="278"/>
      <c r="M59" s="291"/>
      <c r="N59" s="292"/>
      <c r="O59" s="292"/>
      <c r="P59" s="293"/>
      <c r="Q59" s="294"/>
      <c r="R59" s="294"/>
      <c r="S59" s="294"/>
      <c r="T59" s="295"/>
      <c r="U59" s="269" t="str">
        <f>IF(B59="","",IF(OR(C59="",D59=""),"INCOMPLETE",IF(C59&gt;D59,"DATE ERROR",IF(D59&lt;CONFIG!$B$8,"EXPIRED",IF(D59&lt;=CONFIG!$B$8+30,"EXPIRING &lt;=30D",IF(D59&lt;=CONFIG!$B$8+90,"EXPIRING &lt;=90D","ACTIVE"))))))</f>
        <v>EXPIRED</v>
      </c>
    </row>
    <row r="60" spans="1:21" x14ac:dyDescent="0.25">
      <c r="A60" s="651"/>
      <c r="B60" s="161" t="s">
        <v>271</v>
      </c>
      <c r="C60" s="272"/>
      <c r="D60" s="272"/>
      <c r="E60" s="161"/>
      <c r="F60" s="161"/>
      <c r="G60" s="273"/>
      <c r="H60" s="274"/>
      <c r="I60" s="274"/>
      <c r="J60" s="274"/>
      <c r="K60" s="274"/>
      <c r="L60" s="274"/>
      <c r="M60" s="275"/>
      <c r="N60" s="296"/>
      <c r="O60" s="289">
        <v>4000</v>
      </c>
      <c r="P60" s="297"/>
      <c r="Q60" s="297"/>
      <c r="R60" s="298"/>
      <c r="S60" s="296"/>
      <c r="T60" s="277"/>
      <c r="U60" s="269" t="str">
        <f>IF(B60="","",IF(OR(C60="",D60=""),"INCOMPLETE",IF(C60&gt;D60,"DATE ERROR",IF(D60&lt;CONFIG!$B$8,"EXPIRED",IF(D60&lt;=CONFIG!$B$8+30,"EXPIRING &lt;=30D",IF(D60&lt;=CONFIG!$B$8+90,"EXPIRING &lt;=90D","ACTIVE"))))))</f>
        <v>INCOMPLETE</v>
      </c>
    </row>
    <row r="61" spans="1:21" x14ac:dyDescent="0.25">
      <c r="A61" s="652"/>
      <c r="B61" s="279" t="s">
        <v>275</v>
      </c>
      <c r="C61" s="272"/>
      <c r="D61" s="272"/>
      <c r="E61" s="161"/>
      <c r="F61" s="161"/>
      <c r="G61" s="273"/>
      <c r="H61" s="274"/>
      <c r="I61" s="274"/>
      <c r="J61" s="274"/>
      <c r="K61" s="274"/>
      <c r="L61" s="274"/>
      <c r="M61" s="275"/>
      <c r="N61" s="289"/>
      <c r="O61" s="289"/>
      <c r="P61" s="289"/>
      <c r="Q61" s="289"/>
      <c r="R61" s="276"/>
      <c r="S61" s="275"/>
      <c r="T61" s="277"/>
      <c r="U61" s="269" t="str">
        <f>IF(B61="","",IF(OR(C61="",D61=""),"INCOMPLETE",IF(C61&gt;D61,"DATE ERROR",IF(D61&lt;CONFIG!$B$8,"EXPIRED",IF(D61&lt;=CONFIG!$B$8+30,"EXPIRING &lt;=30D",IF(D61&lt;=CONFIG!$B$8+90,"EXPIRING &lt;=90D","ACTIVE"))))))</f>
        <v>INCOMPLETE</v>
      </c>
    </row>
    <row r="62" spans="1:21" x14ac:dyDescent="0.25">
      <c r="A62" s="657" t="s">
        <v>110</v>
      </c>
      <c r="B62" s="260" t="s">
        <v>266</v>
      </c>
      <c r="C62" s="261"/>
      <c r="D62" s="261"/>
      <c r="E62" s="260"/>
      <c r="F62" s="260"/>
      <c r="G62" s="262"/>
      <c r="H62" s="263"/>
      <c r="I62" s="263"/>
      <c r="J62" s="264"/>
      <c r="K62" s="264"/>
      <c r="L62" s="264"/>
      <c r="M62" s="265"/>
      <c r="N62" s="265"/>
      <c r="O62" s="265"/>
      <c r="P62" s="264"/>
      <c r="Q62" s="264"/>
      <c r="R62" s="266"/>
      <c r="S62" s="267"/>
      <c r="T62" s="268"/>
      <c r="U62" s="269" t="str">
        <f>IF(B62="","",IF(OR(C62="",D62=""),"INCOMPLETE",IF(C62&gt;D62,"DATE ERROR",IF(D62&lt;CONFIG!$B$8,"EXPIRED",IF(D62&lt;=CONFIG!$B$8+30,"EXPIRING &lt;=30D",IF(D62&lt;=CONFIG!$B$8+90,"EXPIRING &lt;=90D","ACTIVE"))))))</f>
        <v>INCOMPLETE</v>
      </c>
    </row>
    <row r="63" spans="1:21" x14ac:dyDescent="0.25">
      <c r="A63" s="651"/>
      <c r="B63" s="260" t="s">
        <v>267</v>
      </c>
      <c r="C63" s="261"/>
      <c r="D63" s="261"/>
      <c r="E63" s="260"/>
      <c r="F63" s="260"/>
      <c r="G63" s="262"/>
      <c r="H63" s="263"/>
      <c r="I63" s="263"/>
      <c r="J63" s="264"/>
      <c r="K63" s="264"/>
      <c r="L63" s="264"/>
      <c r="M63" s="265"/>
      <c r="N63" s="265"/>
      <c r="O63" s="265"/>
      <c r="P63" s="264"/>
      <c r="Q63" s="264"/>
      <c r="R63" s="266"/>
      <c r="S63" s="267"/>
      <c r="T63" s="268"/>
      <c r="U63" s="269" t="str">
        <f>IF(B63="","",IF(OR(C63="",D63=""),"INCOMPLETE",IF(C63&gt;D63,"DATE ERROR",IF(D63&lt;CONFIG!$B$8,"EXPIRED",IF(D63&lt;=CONFIG!$B$8+30,"EXPIRING &lt;=30D",IF(D63&lt;=CONFIG!$B$8+90,"EXPIRING &lt;=90D","ACTIVE"))))))</f>
        <v>INCOMPLETE</v>
      </c>
    </row>
    <row r="64" spans="1:21" ht="26.25" x14ac:dyDescent="0.25">
      <c r="A64" s="651"/>
      <c r="B64" s="260" t="s">
        <v>268</v>
      </c>
      <c r="C64" s="261">
        <v>45839</v>
      </c>
      <c r="D64" s="261">
        <v>46203</v>
      </c>
      <c r="E64" s="260" t="s">
        <v>269</v>
      </c>
      <c r="F64" s="260" t="s">
        <v>348</v>
      </c>
      <c r="G64" s="270">
        <f>7000*4</f>
        <v>28000</v>
      </c>
      <c r="H64" s="263">
        <v>7000</v>
      </c>
      <c r="I64" s="263">
        <v>0</v>
      </c>
      <c r="J64" s="264">
        <v>0</v>
      </c>
      <c r="K64" s="264">
        <v>7000</v>
      </c>
      <c r="L64" s="264"/>
      <c r="M64" s="265"/>
      <c r="N64" s="716">
        <v>7000</v>
      </c>
      <c r="O64" s="623"/>
      <c r="P64" s="636"/>
      <c r="Q64" s="716"/>
      <c r="R64" s="623"/>
      <c r="S64" s="636"/>
      <c r="T64" s="268"/>
      <c r="U64" s="269" t="str">
        <f>IF(B64="","",IF(OR(C64="",D64=""),"INCOMPLETE",IF(C64&gt;D64,"DATE ERROR",IF(D64&lt;CONFIG!$B$8,"EXPIRED",IF(D64&lt;=CONFIG!$B$8+30,"EXPIRING &lt;=30D",IF(D64&lt;=CONFIG!$B$8+90,"EXPIRING &lt;=90D","ACTIVE"))))))</f>
        <v>EXPIRED</v>
      </c>
    </row>
    <row r="65" spans="1:21" x14ac:dyDescent="0.25">
      <c r="A65" s="651"/>
      <c r="B65" s="260" t="s">
        <v>271</v>
      </c>
      <c r="C65" s="261"/>
      <c r="D65" s="261"/>
      <c r="E65" s="260"/>
      <c r="F65" s="260"/>
      <c r="G65" s="270"/>
      <c r="H65" s="263"/>
      <c r="I65" s="263"/>
      <c r="J65" s="264"/>
      <c r="K65" s="264"/>
      <c r="L65" s="264"/>
      <c r="M65" s="265"/>
      <c r="N65" s="299"/>
      <c r="O65" s="265"/>
      <c r="P65" s="264"/>
      <c r="Q65" s="264"/>
      <c r="R65" s="266"/>
      <c r="S65" s="267"/>
      <c r="T65" s="268"/>
      <c r="U65" s="269" t="str">
        <f>IF(B65="","",IF(OR(C65="",D65=""),"INCOMPLETE",IF(C65&gt;D65,"DATE ERROR",IF(D65&lt;CONFIG!$B$8,"EXPIRED",IF(D65&lt;=CONFIG!$B$8+30,"EXPIRING &lt;=30D",IF(D65&lt;=CONFIG!$B$8+90,"EXPIRING &lt;=90D","ACTIVE"))))))</f>
        <v>INCOMPLETE</v>
      </c>
    </row>
    <row r="66" spans="1:21" x14ac:dyDescent="0.25">
      <c r="A66" s="652"/>
      <c r="B66" s="285" t="s">
        <v>352</v>
      </c>
      <c r="C66" s="261">
        <v>45809</v>
      </c>
      <c r="D66" s="261">
        <v>46173</v>
      </c>
      <c r="E66" s="260" t="s">
        <v>349</v>
      </c>
      <c r="F66" s="260" t="s">
        <v>350</v>
      </c>
      <c r="G66" s="270">
        <f>3886*12</f>
        <v>46632</v>
      </c>
      <c r="H66" s="263">
        <v>1647</v>
      </c>
      <c r="I66" s="263">
        <v>3886</v>
      </c>
      <c r="J66" s="264">
        <v>3886</v>
      </c>
      <c r="K66" s="264">
        <v>1910</v>
      </c>
      <c r="L66" s="264">
        <v>1910</v>
      </c>
      <c r="M66" s="265" t="s">
        <v>211</v>
      </c>
      <c r="N66" s="299"/>
      <c r="O66" s="299"/>
      <c r="P66" s="299"/>
      <c r="Q66" s="299"/>
      <c r="R66" s="299"/>
      <c r="S66" s="299"/>
      <c r="T66" s="268"/>
      <c r="U66" s="269" t="str">
        <f>IF(B66="","",IF(OR(C66="",D66=""),"INCOMPLETE",IF(C66&gt;D66,"DATE ERROR",IF(D66&lt;CONFIG!$B$8,"EXPIRED",IF(D66&lt;=CONFIG!$B$8+30,"EXPIRING &lt;=30D",IF(D66&lt;=CONFIG!$B$8+90,"EXPIRING &lt;=90D","ACTIVE"))))))</f>
        <v>EXPIRED</v>
      </c>
    </row>
    <row r="67" spans="1:21" x14ac:dyDescent="0.25">
      <c r="A67" s="650" t="s">
        <v>112</v>
      </c>
      <c r="B67" s="161" t="s">
        <v>266</v>
      </c>
      <c r="C67" s="272"/>
      <c r="D67" s="272"/>
      <c r="E67" s="161"/>
      <c r="F67" s="161"/>
      <c r="G67" s="273"/>
      <c r="H67" s="274"/>
      <c r="I67" s="274"/>
      <c r="J67" s="274"/>
      <c r="K67" s="274"/>
      <c r="L67" s="274"/>
      <c r="M67" s="275"/>
      <c r="N67" s="275"/>
      <c r="O67" s="275"/>
      <c r="P67" s="274"/>
      <c r="Q67" s="274"/>
      <c r="R67" s="276"/>
      <c r="S67" s="275"/>
      <c r="T67" s="277"/>
      <c r="U67" s="269" t="str">
        <f>IF(B67="","",IF(OR(C67="",D67=""),"INCOMPLETE",IF(C67&gt;D67,"DATE ERROR",IF(D67&lt;CONFIG!$B$8,"EXPIRED",IF(D67&lt;=CONFIG!$B$8+30,"EXPIRING &lt;=30D",IF(D67&lt;=CONFIG!$B$8+90,"EXPIRING &lt;=90D","ACTIVE"))))))</f>
        <v>INCOMPLETE</v>
      </c>
    </row>
    <row r="68" spans="1:21" x14ac:dyDescent="0.25">
      <c r="A68" s="651"/>
      <c r="B68" s="161" t="s">
        <v>267</v>
      </c>
      <c r="C68" s="272"/>
      <c r="D68" s="272"/>
      <c r="E68" s="161"/>
      <c r="F68" s="161"/>
      <c r="G68" s="273"/>
      <c r="H68" s="274"/>
      <c r="I68" s="274"/>
      <c r="J68" s="274"/>
      <c r="K68" s="274"/>
      <c r="L68" s="274"/>
      <c r="M68" s="275"/>
      <c r="N68" s="275"/>
      <c r="O68" s="275"/>
      <c r="P68" s="274"/>
      <c r="Q68" s="274"/>
      <c r="R68" s="276"/>
      <c r="S68" s="275"/>
      <c r="T68" s="277"/>
      <c r="U68" s="269" t="str">
        <f>IF(B68="","",IF(OR(C68="",D68=""),"INCOMPLETE",IF(C68&gt;D68,"DATE ERROR",IF(D68&lt;CONFIG!$B$8,"EXPIRED",IF(D68&lt;=CONFIG!$B$8+30,"EXPIRING &lt;=30D",IF(D68&lt;=CONFIG!$B$8+90,"EXPIRING &lt;=90D","ACTIVE"))))))</f>
        <v>INCOMPLETE</v>
      </c>
    </row>
    <row r="69" spans="1:21" ht="26.25" x14ac:dyDescent="0.25">
      <c r="A69" s="651"/>
      <c r="B69" s="161" t="s">
        <v>268</v>
      </c>
      <c r="C69" s="272">
        <v>45839</v>
      </c>
      <c r="D69" s="272">
        <v>46203</v>
      </c>
      <c r="E69" s="274" t="s">
        <v>269</v>
      </c>
      <c r="F69" s="161" t="s">
        <v>348</v>
      </c>
      <c r="G69" s="278">
        <f>10000*4</f>
        <v>40000</v>
      </c>
      <c r="H69" s="715">
        <v>10000</v>
      </c>
      <c r="I69" s="623"/>
      <c r="J69" s="636"/>
      <c r="K69" s="715">
        <v>10000</v>
      </c>
      <c r="L69" s="623"/>
      <c r="M69" s="636"/>
      <c r="N69" s="714">
        <v>10000</v>
      </c>
      <c r="O69" s="623"/>
      <c r="P69" s="636"/>
      <c r="Q69" s="714"/>
      <c r="R69" s="623"/>
      <c r="S69" s="636"/>
      <c r="T69" s="277"/>
      <c r="U69" s="269" t="str">
        <f>IF(B69="","",IF(OR(C69="",D69=""),"INCOMPLETE",IF(C69&gt;D69,"DATE ERROR",IF(D69&lt;CONFIG!$B$8,"EXPIRED",IF(D69&lt;=CONFIG!$B$8+30,"EXPIRING &lt;=30D",IF(D69&lt;=CONFIG!$B$8+90,"EXPIRING &lt;=90D","ACTIVE"))))))</f>
        <v>EXPIRED</v>
      </c>
    </row>
    <row r="70" spans="1:21" x14ac:dyDescent="0.25">
      <c r="A70" s="651"/>
      <c r="B70" s="161" t="s">
        <v>271</v>
      </c>
      <c r="C70" s="272">
        <v>46204</v>
      </c>
      <c r="D70" s="272"/>
      <c r="E70" s="274" t="s">
        <v>349</v>
      </c>
      <c r="F70" s="161" t="s">
        <v>350</v>
      </c>
      <c r="G70" s="278">
        <v>16800</v>
      </c>
      <c r="H70" s="274"/>
      <c r="I70" s="274"/>
      <c r="J70" s="274"/>
      <c r="K70" s="274"/>
      <c r="L70" s="274"/>
      <c r="M70" s="275"/>
      <c r="N70" s="278"/>
      <c r="O70" s="275"/>
      <c r="P70" s="274">
        <v>4200</v>
      </c>
      <c r="Q70" s="274"/>
      <c r="R70" s="276"/>
      <c r="S70" s="275"/>
      <c r="T70" s="277"/>
      <c r="U70" s="269" t="str">
        <f>IF(B70="","",IF(OR(C70="",D70=""),"INCOMPLETE",IF(C70&gt;D70,"DATE ERROR",IF(D70&lt;CONFIG!$B$8,"EXPIRED",IF(D70&lt;=CONFIG!$B$8+30,"EXPIRING &lt;=30D",IF(D70&lt;=CONFIG!$B$8+90,"EXPIRING &lt;=90D","ACTIVE"))))))</f>
        <v>INCOMPLETE</v>
      </c>
    </row>
    <row r="71" spans="1:21" x14ac:dyDescent="0.25">
      <c r="A71" s="651"/>
      <c r="B71" s="300" t="s">
        <v>273</v>
      </c>
      <c r="C71" s="272"/>
      <c r="D71" s="272"/>
      <c r="E71" s="274"/>
      <c r="F71" s="161"/>
      <c r="G71" s="278"/>
      <c r="H71" s="274">
        <v>20452</v>
      </c>
      <c r="I71" s="274">
        <v>20452</v>
      </c>
      <c r="J71" s="274">
        <v>20452</v>
      </c>
      <c r="K71" s="274">
        <v>20452</v>
      </c>
      <c r="L71" s="274">
        <v>20452</v>
      </c>
      <c r="M71" s="274"/>
      <c r="N71" s="278"/>
      <c r="O71" s="275"/>
      <c r="P71" s="274"/>
      <c r="Q71" s="274"/>
      <c r="R71" s="276"/>
      <c r="S71" s="275"/>
      <c r="T71" s="277"/>
      <c r="U71" s="269" t="str">
        <f>IF(B71="","",IF(OR(C71="",D71=""),"INCOMPLETE",IF(C71&gt;D71,"DATE ERROR",IF(D71&lt;CONFIG!$B$8,"EXPIRED",IF(D71&lt;=CONFIG!$B$8+30,"EXPIRING &lt;=30D",IF(D71&lt;=CONFIG!$B$8+90,"EXPIRING &lt;=90D","ACTIVE"))))))</f>
        <v>INCOMPLETE</v>
      </c>
    </row>
    <row r="72" spans="1:21" x14ac:dyDescent="0.25">
      <c r="A72" s="651"/>
      <c r="B72" s="301" t="s">
        <v>352</v>
      </c>
      <c r="C72" s="272"/>
      <c r="D72" s="272"/>
      <c r="E72" s="161"/>
      <c r="F72" s="161"/>
      <c r="G72" s="278"/>
      <c r="H72" s="274"/>
      <c r="I72" s="274"/>
      <c r="J72" s="274"/>
      <c r="K72" s="274"/>
      <c r="L72" s="274"/>
      <c r="M72" s="275"/>
      <c r="N72" s="278"/>
      <c r="O72" s="278"/>
      <c r="P72" s="278"/>
      <c r="Q72" s="278"/>
      <c r="R72" s="278"/>
      <c r="S72" s="275"/>
      <c r="T72" s="277"/>
      <c r="U72" s="269" t="str">
        <f>IF(B72="","",IF(OR(C72="",D72=""),"INCOMPLETE",IF(C72&gt;D72,"DATE ERROR",IF(D72&lt;CONFIG!$B$8,"EXPIRED",IF(D72&lt;=CONFIG!$B$8+30,"EXPIRING &lt;=30D",IF(D72&lt;=CONFIG!$B$8+90,"EXPIRING &lt;=90D","ACTIVE"))))))</f>
        <v>INCOMPLETE</v>
      </c>
    </row>
    <row r="73" spans="1:21" x14ac:dyDescent="0.25">
      <c r="A73" s="652"/>
      <c r="B73" s="302" t="s">
        <v>297</v>
      </c>
      <c r="C73" s="303">
        <v>46050</v>
      </c>
      <c r="D73" s="272">
        <v>46414</v>
      </c>
      <c r="E73" s="274" t="s">
        <v>269</v>
      </c>
      <c r="F73" s="161" t="s">
        <v>353</v>
      </c>
      <c r="G73" s="278">
        <v>11328</v>
      </c>
      <c r="H73" s="278"/>
      <c r="I73" s="274">
        <v>11328</v>
      </c>
      <c r="J73" s="274"/>
      <c r="K73" s="278"/>
      <c r="L73" s="274"/>
      <c r="M73" s="275"/>
      <c r="N73" s="278">
        <v>11328</v>
      </c>
      <c r="O73" s="275"/>
      <c r="P73" s="275"/>
      <c r="Q73" s="278"/>
      <c r="R73" s="276"/>
      <c r="S73" s="275"/>
      <c r="T73" s="277"/>
      <c r="U73" s="269" t="str">
        <f>IF(B73="","",IF(OR(C73="",D73=""),"INCOMPLETE",IF(C73&gt;D73,"DATE ERROR",IF(D73&lt;CONFIG!$B$8,"EXPIRED",IF(D73&lt;=CONFIG!$B$8+30,"EXPIRING &lt;=30D",IF(D73&lt;=CONFIG!$B$8+90,"EXPIRING &lt;=90D","ACTIVE"))))))</f>
        <v>ACTIVE</v>
      </c>
    </row>
    <row r="74" spans="1:21" x14ac:dyDescent="0.25">
      <c r="A74" s="253"/>
      <c r="B74" s="253"/>
      <c r="C74" s="304"/>
      <c r="D74" s="304"/>
      <c r="E74" s="253"/>
      <c r="F74" s="253"/>
      <c r="G74" s="305"/>
      <c r="H74" s="253"/>
      <c r="I74" s="253"/>
      <c r="J74" s="253"/>
      <c r="K74" s="253"/>
      <c r="L74" s="253"/>
      <c r="M74" s="253"/>
      <c r="N74" s="253"/>
      <c r="O74" s="253"/>
      <c r="P74" s="253"/>
      <c r="Q74" s="253"/>
      <c r="R74" s="253"/>
      <c r="S74" s="253"/>
      <c r="T74" s="253"/>
      <c r="U74" s="269" t="str">
        <f>IF(B74="","",IF(OR(C74="",D74=""),"INCOMPLETE",IF(C74&gt;D74,"DATE ERROR",IF(D74&lt;CONFIG!$B$8,"EXPIRED",IF(D74&lt;=CONFIG!$B$8+30,"EXPIRING &lt;=30D",IF(D74&lt;=CONFIG!$B$8+90,"EXPIRING &lt;=90D","ACTIVE"))))))</f>
        <v/>
      </c>
    </row>
    <row r="75" spans="1:21" x14ac:dyDescent="0.25">
      <c r="A75" s="253"/>
      <c r="B75" s="253"/>
      <c r="C75" s="304"/>
      <c r="D75" s="304"/>
      <c r="E75" s="253"/>
      <c r="F75" s="253"/>
      <c r="G75" s="253"/>
      <c r="H75" s="253"/>
      <c r="I75" s="253"/>
      <c r="J75" s="253"/>
      <c r="K75" s="253"/>
      <c r="L75" s="253"/>
      <c r="M75" s="253"/>
      <c r="N75" s="253" t="s">
        <v>354</v>
      </c>
      <c r="O75" s="253"/>
      <c r="P75" s="253"/>
      <c r="Q75" s="253"/>
      <c r="R75" s="253"/>
      <c r="S75" s="253"/>
      <c r="T75" s="253"/>
      <c r="U75" s="269" t="str">
        <f>IF(B75="","",IF(OR(C75="",D75=""),"INCOMPLETE",IF(C75&gt;D75,"DATE ERROR",IF(D75&lt;CONFIG!$B$8,"EXPIRED",IF(D75&lt;=CONFIG!$B$8+30,"EXPIRING &lt;=30D",IF(D75&lt;=CONFIG!$B$8+90,"EXPIRING &lt;=90D","ACTIVE"))))))</f>
        <v/>
      </c>
    </row>
  </sheetData>
  <mergeCells count="29">
    <mergeCell ref="A1:T1"/>
    <mergeCell ref="H6:J6"/>
    <mergeCell ref="A62:A66"/>
    <mergeCell ref="A15:A26"/>
    <mergeCell ref="A10:A14"/>
    <mergeCell ref="A50:A55"/>
    <mergeCell ref="N9:S9"/>
    <mergeCell ref="N6:P6"/>
    <mergeCell ref="A35:A43"/>
    <mergeCell ref="A56:A61"/>
    <mergeCell ref="K6:M6"/>
    <mergeCell ref="H5:J5"/>
    <mergeCell ref="Q58:S58"/>
    <mergeCell ref="A27:A34"/>
    <mergeCell ref="K5:M5"/>
    <mergeCell ref="H9:M9"/>
    <mergeCell ref="Q5:S5"/>
    <mergeCell ref="A3:A9"/>
    <mergeCell ref="N58:P58"/>
    <mergeCell ref="N5:P5"/>
    <mergeCell ref="Q69:S69"/>
    <mergeCell ref="H69:J69"/>
    <mergeCell ref="N64:P64"/>
    <mergeCell ref="Q6:S6"/>
    <mergeCell ref="N69:P69"/>
    <mergeCell ref="A67:A73"/>
    <mergeCell ref="K69:M69"/>
    <mergeCell ref="A44:A49"/>
    <mergeCell ref="Q64:S64"/>
  </mergeCells>
  <conditionalFormatting sqref="U3:U75">
    <cfRule type="expression" dxfId="9" priority="1">
      <formula>U3="EXPIRED"</formula>
    </cfRule>
    <cfRule type="expression" dxfId="8" priority="2">
      <formula>U3="DATE ERROR"</formula>
    </cfRule>
    <cfRule type="expression" dxfId="7" priority="3">
      <formula>U3="EXPIRING &lt;=30D"</formula>
    </cfRule>
    <cfRule type="expression" dxfId="6" priority="4">
      <formula>U3="ACTIVE"</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600-000000000000}">
          <x14:formula1>
            <xm:f>CONFIG!$R$2:$R$8</xm:f>
          </x14:formula1>
          <xm:sqref>E3:E75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8"/>
  <sheetViews>
    <sheetView workbookViewId="0"/>
  </sheetViews>
  <sheetFormatPr defaultRowHeight="15" x14ac:dyDescent="0.25"/>
  <cols>
    <col min="1" max="1" width="25" customWidth="1"/>
    <col min="2" max="2" width="23" customWidth="1"/>
    <col min="3" max="4" width="16" customWidth="1"/>
    <col min="5" max="5" width="38" customWidth="1"/>
  </cols>
  <sheetData>
    <row r="1" spans="1:5" ht="24" customHeight="1" x14ac:dyDescent="0.3">
      <c r="A1" s="723" t="s">
        <v>355</v>
      </c>
      <c r="B1" s="547"/>
      <c r="C1" s="547"/>
      <c r="D1" s="547"/>
      <c r="E1" s="547"/>
    </row>
    <row r="2" spans="1:5" ht="24" customHeight="1" x14ac:dyDescent="0.25">
      <c r="A2" s="259" t="s">
        <v>356</v>
      </c>
      <c r="B2" s="259" t="s">
        <v>357</v>
      </c>
      <c r="C2" s="259" t="s">
        <v>358</v>
      </c>
      <c r="D2" s="259" t="s">
        <v>265</v>
      </c>
      <c r="E2" s="259" t="s">
        <v>359</v>
      </c>
    </row>
    <row r="3" spans="1:5" ht="24" customHeight="1" x14ac:dyDescent="0.25">
      <c r="A3" s="253" t="s">
        <v>360</v>
      </c>
      <c r="B3" s="253" t="s">
        <v>361</v>
      </c>
      <c r="C3" s="253" t="s">
        <v>362</v>
      </c>
      <c r="D3" s="253" t="s">
        <v>363</v>
      </c>
      <c r="E3" s="253" t="s">
        <v>364</v>
      </c>
    </row>
    <row r="4" spans="1:5" ht="24" customHeight="1" x14ac:dyDescent="0.25">
      <c r="A4" s="253" t="s">
        <v>365</v>
      </c>
      <c r="B4" s="253" t="s">
        <v>361</v>
      </c>
      <c r="C4" s="253" t="s">
        <v>362</v>
      </c>
      <c r="D4" s="253" t="s">
        <v>363</v>
      </c>
      <c r="E4" s="253" t="s">
        <v>366</v>
      </c>
    </row>
    <row r="5" spans="1:5" ht="24" customHeight="1" x14ac:dyDescent="0.25">
      <c r="A5" s="253" t="s">
        <v>367</v>
      </c>
      <c r="B5" s="253" t="s">
        <v>361</v>
      </c>
      <c r="C5" s="253" t="s">
        <v>362</v>
      </c>
      <c r="D5" s="253" t="s">
        <v>363</v>
      </c>
      <c r="E5" s="253" t="s">
        <v>364</v>
      </c>
    </row>
    <row r="6" spans="1:5" ht="24" customHeight="1" x14ac:dyDescent="0.25">
      <c r="A6" s="253" t="s">
        <v>368</v>
      </c>
      <c r="B6" s="253" t="s">
        <v>369</v>
      </c>
      <c r="C6" s="253" t="s">
        <v>370</v>
      </c>
      <c r="D6" s="253" t="s">
        <v>363</v>
      </c>
      <c r="E6" s="253" t="s">
        <v>371</v>
      </c>
    </row>
    <row r="7" spans="1:5" ht="24" customHeight="1" x14ac:dyDescent="0.25">
      <c r="A7" s="253" t="s">
        <v>372</v>
      </c>
      <c r="B7" s="253" t="s">
        <v>361</v>
      </c>
      <c r="C7" s="253" t="s">
        <v>362</v>
      </c>
      <c r="D7" s="253" t="s">
        <v>363</v>
      </c>
      <c r="E7" s="253" t="s">
        <v>364</v>
      </c>
    </row>
    <row r="8" spans="1:5" ht="24" customHeight="1" x14ac:dyDescent="0.25">
      <c r="A8" s="253" t="s">
        <v>373</v>
      </c>
      <c r="B8" s="253" t="s">
        <v>374</v>
      </c>
      <c r="C8" s="253" t="s">
        <v>375</v>
      </c>
      <c r="D8" s="253" t="s">
        <v>376</v>
      </c>
      <c r="E8" s="253" t="s">
        <v>377</v>
      </c>
    </row>
  </sheetData>
  <mergeCells count="1">
    <mergeCell ref="A1:E1"/>
  </mergeCells>
  <conditionalFormatting sqref="D3:D7">
    <cfRule type="expression" dxfId="5" priority="1">
      <formula>D3="INCOMPLETE"</formula>
    </cfRule>
  </conditionalFormatting>
  <conditionalFormatting sqref="D8">
    <cfRule type="expression" dxfId="4" priority="2">
      <formula>D8="REVIEW"</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8"/>
  <sheetViews>
    <sheetView showGridLines="0" workbookViewId="0"/>
  </sheetViews>
  <sheetFormatPr defaultRowHeight="15" x14ac:dyDescent="0.25"/>
  <cols>
    <col min="1" max="1" width="30" customWidth="1"/>
    <col min="2" max="13" width="13" customWidth="1"/>
    <col min="14" max="14" width="34" customWidth="1"/>
    <col min="16" max="18" width="20" customWidth="1"/>
  </cols>
  <sheetData>
    <row r="1" spans="1:18" ht="16.7" customHeight="1" x14ac:dyDescent="0.25">
      <c r="A1" s="724" t="s">
        <v>378</v>
      </c>
      <c r="B1" s="547"/>
      <c r="C1" s="547"/>
      <c r="D1" s="547"/>
      <c r="E1" s="547"/>
      <c r="F1" s="547"/>
      <c r="G1" s="547"/>
      <c r="H1" s="547"/>
      <c r="I1" s="547"/>
      <c r="J1" s="547"/>
      <c r="K1" s="547"/>
      <c r="L1" s="547"/>
      <c r="M1" s="547"/>
      <c r="N1" s="547"/>
      <c r="P1" s="259" t="s">
        <v>265</v>
      </c>
      <c r="Q1" s="259" t="s">
        <v>379</v>
      </c>
      <c r="R1" s="259" t="s">
        <v>380</v>
      </c>
    </row>
    <row r="2" spans="1:18" ht="15" customHeight="1" x14ac:dyDescent="0.25">
      <c r="A2" s="252" t="s">
        <v>381</v>
      </c>
      <c r="B2" s="252" t="s">
        <v>73</v>
      </c>
      <c r="C2" s="252" t="s">
        <v>74</v>
      </c>
      <c r="D2" s="252" t="s">
        <v>75</v>
      </c>
      <c r="E2" s="252" t="s">
        <v>76</v>
      </c>
      <c r="F2" s="252" t="s">
        <v>77</v>
      </c>
      <c r="G2" s="252" t="s">
        <v>78</v>
      </c>
      <c r="H2" s="252" t="s">
        <v>79</v>
      </c>
      <c r="I2" s="252" t="s">
        <v>80</v>
      </c>
      <c r="J2" s="252" t="s">
        <v>81</v>
      </c>
      <c r="K2" s="252" t="s">
        <v>82</v>
      </c>
      <c r="L2" s="252" t="s">
        <v>83</v>
      </c>
      <c r="M2" s="252" t="s">
        <v>84</v>
      </c>
      <c r="N2" s="253"/>
      <c r="P2" s="253" t="s">
        <v>382</v>
      </c>
      <c r="Q2" s="253" t="s">
        <v>383</v>
      </c>
      <c r="R2" s="253" t="s">
        <v>349</v>
      </c>
    </row>
    <row r="3" spans="1:18" ht="15" customHeight="1" x14ac:dyDescent="0.25">
      <c r="A3" s="252" t="s">
        <v>123</v>
      </c>
      <c r="B3" s="252">
        <v>31</v>
      </c>
      <c r="C3" s="252">
        <v>28</v>
      </c>
      <c r="D3" s="252">
        <v>31</v>
      </c>
      <c r="E3" s="252">
        <v>30</v>
      </c>
      <c r="F3" s="252">
        <v>31</v>
      </c>
      <c r="G3" s="252">
        <v>30</v>
      </c>
      <c r="H3" s="252">
        <v>31</v>
      </c>
      <c r="I3" s="252">
        <v>31</v>
      </c>
      <c r="J3" s="252">
        <v>30</v>
      </c>
      <c r="K3" s="252">
        <v>31</v>
      </c>
      <c r="L3" s="252">
        <v>30</v>
      </c>
      <c r="M3" s="252">
        <v>31</v>
      </c>
      <c r="N3" s="253"/>
      <c r="P3" s="253" t="s">
        <v>384</v>
      </c>
      <c r="Q3" s="253" t="s">
        <v>385</v>
      </c>
      <c r="R3" s="253" t="s">
        <v>269</v>
      </c>
    </row>
    <row r="4" spans="1:18" ht="15" customHeight="1" x14ac:dyDescent="0.25">
      <c r="A4" s="253"/>
      <c r="B4" s="253"/>
      <c r="C4" s="253"/>
      <c r="D4" s="253"/>
      <c r="E4" s="253"/>
      <c r="F4" s="253"/>
      <c r="G4" s="253"/>
      <c r="H4" s="253"/>
      <c r="I4" s="253"/>
      <c r="J4" s="253"/>
      <c r="K4" s="253"/>
      <c r="L4" s="253"/>
      <c r="M4" s="253"/>
      <c r="N4" s="253"/>
      <c r="P4" s="253" t="s">
        <v>386</v>
      </c>
      <c r="Q4" s="253" t="s">
        <v>387</v>
      </c>
      <c r="R4" s="253" t="s">
        <v>302</v>
      </c>
    </row>
    <row r="5" spans="1:18" ht="15" customHeight="1" x14ac:dyDescent="0.25">
      <c r="A5" s="254" t="s">
        <v>388</v>
      </c>
      <c r="B5" s="254" t="s">
        <v>389</v>
      </c>
      <c r="C5" s="253"/>
      <c r="D5" s="253"/>
      <c r="E5" s="253"/>
      <c r="F5" s="253"/>
      <c r="G5" s="253"/>
      <c r="H5" s="253"/>
      <c r="I5" s="253"/>
      <c r="J5" s="253"/>
      <c r="K5" s="253"/>
      <c r="L5" s="253"/>
      <c r="M5" s="253"/>
      <c r="N5" s="253"/>
      <c r="P5" s="253" t="s">
        <v>390</v>
      </c>
      <c r="Q5" s="253" t="s">
        <v>391</v>
      </c>
      <c r="R5" s="253" t="s">
        <v>306</v>
      </c>
    </row>
    <row r="6" spans="1:18" ht="15" customHeight="1" x14ac:dyDescent="0.25">
      <c r="A6" s="254" t="s">
        <v>392</v>
      </c>
      <c r="B6" s="254">
        <v>20</v>
      </c>
      <c r="C6" s="253"/>
      <c r="D6" s="253"/>
      <c r="E6" s="253"/>
      <c r="F6" s="253"/>
      <c r="G6" s="253"/>
      <c r="H6" s="253"/>
      <c r="I6" s="253"/>
      <c r="J6" s="253"/>
      <c r="K6" s="253"/>
      <c r="L6" s="253"/>
      <c r="M6" s="253"/>
      <c r="N6" s="253" t="s">
        <v>393</v>
      </c>
      <c r="P6" s="253" t="s">
        <v>394</v>
      </c>
      <c r="Q6" s="253" t="s">
        <v>376</v>
      </c>
      <c r="R6" s="253" t="s">
        <v>318</v>
      </c>
    </row>
    <row r="7" spans="1:18" ht="15" customHeight="1" x14ac:dyDescent="0.25">
      <c r="A7" s="254" t="s">
        <v>395</v>
      </c>
      <c r="B7" s="254">
        <v>50</v>
      </c>
      <c r="C7" s="253"/>
      <c r="D7" s="253"/>
      <c r="E7" s="253"/>
      <c r="F7" s="253"/>
      <c r="G7" s="253"/>
      <c r="H7" s="253"/>
      <c r="I7" s="253"/>
      <c r="J7" s="253"/>
      <c r="K7" s="253"/>
      <c r="L7" s="253"/>
      <c r="M7" s="253"/>
      <c r="N7" s="253" t="s">
        <v>393</v>
      </c>
      <c r="P7" s="253" t="s">
        <v>363</v>
      </c>
      <c r="Q7" s="253" t="s">
        <v>396</v>
      </c>
      <c r="R7" s="253" t="s">
        <v>334</v>
      </c>
    </row>
    <row r="8" spans="1:18" ht="15" customHeight="1" x14ac:dyDescent="0.25">
      <c r="A8" s="254" t="s">
        <v>397</v>
      </c>
      <c r="B8" s="255">
        <v>46300</v>
      </c>
      <c r="C8" s="253"/>
      <c r="D8" s="253"/>
      <c r="E8" s="253"/>
      <c r="F8" s="253"/>
      <c r="G8" s="253"/>
      <c r="H8" s="253"/>
      <c r="I8" s="253"/>
      <c r="J8" s="253"/>
      <c r="K8" s="253"/>
      <c r="L8" s="253"/>
      <c r="M8" s="253"/>
      <c r="N8" s="253" t="s">
        <v>398</v>
      </c>
      <c r="P8" s="253" t="s">
        <v>376</v>
      </c>
      <c r="Q8" s="253"/>
      <c r="R8" s="253" t="s">
        <v>285</v>
      </c>
    </row>
  </sheetData>
  <mergeCells count="1">
    <mergeCell ref="A1:N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9"/>
  <sheetViews>
    <sheetView showGridLines="0" workbookViewId="0"/>
  </sheetViews>
  <sheetFormatPr defaultRowHeight="15" x14ac:dyDescent="0.25"/>
  <cols>
    <col min="1" max="1" width="24" customWidth="1"/>
    <col min="2" max="2" width="42" customWidth="1"/>
    <col min="3" max="3" width="14" customWidth="1"/>
    <col min="4" max="4" width="48" customWidth="1"/>
    <col min="5" max="5" width="18" customWidth="1"/>
    <col min="6" max="6" width="26" customWidth="1"/>
  </cols>
  <sheetData>
    <row r="1" spans="1:6" ht="15.75" x14ac:dyDescent="0.3">
      <c r="A1" s="723" t="s">
        <v>399</v>
      </c>
      <c r="B1" s="547"/>
      <c r="C1" s="547"/>
      <c r="D1" s="547"/>
      <c r="E1" s="547"/>
      <c r="F1" s="547"/>
    </row>
    <row r="2" spans="1:6" x14ac:dyDescent="0.25">
      <c r="A2" s="259" t="s">
        <v>400</v>
      </c>
      <c r="B2" s="259" t="s">
        <v>401</v>
      </c>
      <c r="C2" s="259" t="s">
        <v>379</v>
      </c>
      <c r="D2" s="259" t="s">
        <v>402</v>
      </c>
      <c r="E2" s="259" t="s">
        <v>403</v>
      </c>
      <c r="F2" s="259" t="s">
        <v>404</v>
      </c>
    </row>
    <row r="3" spans="1:6" ht="30" customHeight="1" x14ac:dyDescent="0.25">
      <c r="A3" s="253" t="s">
        <v>405</v>
      </c>
      <c r="B3" s="253" t="s">
        <v>406</v>
      </c>
      <c r="C3" s="253" t="s">
        <v>383</v>
      </c>
      <c r="D3" s="253" t="s">
        <v>407</v>
      </c>
      <c r="E3" s="253" t="s">
        <v>408</v>
      </c>
      <c r="F3" s="253" t="s">
        <v>409</v>
      </c>
    </row>
    <row r="4" spans="1:6" ht="30" customHeight="1" x14ac:dyDescent="0.25">
      <c r="A4" s="253" t="s">
        <v>410</v>
      </c>
      <c r="B4" s="253" t="s">
        <v>411</v>
      </c>
      <c r="C4" s="253" t="s">
        <v>383</v>
      </c>
      <c r="D4" s="253" t="s">
        <v>412</v>
      </c>
      <c r="E4" s="253" t="s">
        <v>408</v>
      </c>
      <c r="F4" s="253" t="s">
        <v>413</v>
      </c>
    </row>
    <row r="5" spans="1:6" ht="30" customHeight="1" x14ac:dyDescent="0.25">
      <c r="A5" s="253" t="s">
        <v>414</v>
      </c>
      <c r="B5" s="253" t="s">
        <v>415</v>
      </c>
      <c r="C5" s="253" t="s">
        <v>385</v>
      </c>
      <c r="D5" s="253" t="s">
        <v>416</v>
      </c>
      <c r="E5" s="253" t="s">
        <v>408</v>
      </c>
      <c r="F5" s="253" t="s">
        <v>417</v>
      </c>
    </row>
    <row r="6" spans="1:6" ht="30" customHeight="1" x14ac:dyDescent="0.25">
      <c r="A6" s="253" t="s">
        <v>418</v>
      </c>
      <c r="B6" s="253" t="s">
        <v>419</v>
      </c>
      <c r="C6" s="253" t="s">
        <v>387</v>
      </c>
      <c r="D6" s="253" t="s">
        <v>420</v>
      </c>
      <c r="E6" s="253" t="s">
        <v>408</v>
      </c>
      <c r="F6" s="253" t="s">
        <v>421</v>
      </c>
    </row>
    <row r="7" spans="1:6" ht="30" customHeight="1" x14ac:dyDescent="0.25">
      <c r="A7" s="253" t="s">
        <v>422</v>
      </c>
      <c r="B7" s="253" t="s">
        <v>423</v>
      </c>
      <c r="C7" s="253" t="s">
        <v>385</v>
      </c>
      <c r="D7" s="253" t="s">
        <v>424</v>
      </c>
      <c r="E7" s="253" t="s">
        <v>408</v>
      </c>
      <c r="F7" s="253" t="s">
        <v>425</v>
      </c>
    </row>
    <row r="8" spans="1:6" ht="30" customHeight="1" x14ac:dyDescent="0.25">
      <c r="A8" s="253" t="s">
        <v>426</v>
      </c>
      <c r="B8" s="253" t="s">
        <v>427</v>
      </c>
      <c r="C8" s="253" t="s">
        <v>385</v>
      </c>
      <c r="D8" s="253" t="s">
        <v>428</v>
      </c>
      <c r="E8" s="253" t="s">
        <v>429</v>
      </c>
      <c r="F8" s="253" t="s">
        <v>430</v>
      </c>
    </row>
    <row r="9" spans="1:6" ht="30" customHeight="1" x14ac:dyDescent="0.25">
      <c r="A9" s="253" t="s">
        <v>431</v>
      </c>
      <c r="B9" s="253" t="s">
        <v>432</v>
      </c>
      <c r="C9" s="253" t="s">
        <v>385</v>
      </c>
      <c r="D9" s="253" t="s">
        <v>433</v>
      </c>
      <c r="E9" s="253" t="s">
        <v>434</v>
      </c>
      <c r="F9" s="253" t="s">
        <v>435</v>
      </c>
    </row>
    <row r="10" spans="1:6" ht="30" customHeight="1" x14ac:dyDescent="0.25">
      <c r="A10" s="253" t="s">
        <v>431</v>
      </c>
      <c r="B10" s="253" t="s">
        <v>431</v>
      </c>
      <c r="C10" s="253" t="s">
        <v>436</v>
      </c>
      <c r="D10" s="253" t="s">
        <v>385</v>
      </c>
      <c r="E10" s="253" t="s">
        <v>437</v>
      </c>
      <c r="F10" s="253" t="s">
        <v>435</v>
      </c>
    </row>
    <row r="11" spans="1:6" ht="30" customHeight="1" x14ac:dyDescent="0.25">
      <c r="A11" s="253" t="s">
        <v>438</v>
      </c>
      <c r="B11" s="253" t="s">
        <v>439</v>
      </c>
      <c r="C11" s="253" t="s">
        <v>385</v>
      </c>
      <c r="D11" s="253" t="s">
        <v>440</v>
      </c>
      <c r="E11" s="253" t="s">
        <v>437</v>
      </c>
      <c r="F11" s="253" t="s">
        <v>441</v>
      </c>
    </row>
    <row r="12" spans="1:6" ht="30" customHeight="1" x14ac:dyDescent="0.25">
      <c r="A12" s="253" t="s">
        <v>442</v>
      </c>
      <c r="B12" s="253" t="s">
        <v>439</v>
      </c>
      <c r="C12" s="253" t="s">
        <v>385</v>
      </c>
      <c r="D12" s="253" t="s">
        <v>440</v>
      </c>
      <c r="E12" s="253" t="s">
        <v>437</v>
      </c>
      <c r="F12" s="253" t="s">
        <v>443</v>
      </c>
    </row>
    <row r="13" spans="1:6" ht="30" customHeight="1" x14ac:dyDescent="0.25">
      <c r="A13" s="253" t="s">
        <v>444</v>
      </c>
      <c r="B13" s="253" t="s">
        <v>439</v>
      </c>
      <c r="C13" s="253" t="s">
        <v>385</v>
      </c>
      <c r="D13" s="253" t="s">
        <v>440</v>
      </c>
      <c r="E13" s="253" t="s">
        <v>437</v>
      </c>
      <c r="F13" s="253" t="s">
        <v>445</v>
      </c>
    </row>
    <row r="14" spans="1:6" ht="30" customHeight="1" x14ac:dyDescent="0.25">
      <c r="A14" s="253" t="s">
        <v>446</v>
      </c>
      <c r="B14" s="253" t="s">
        <v>447</v>
      </c>
      <c r="C14" s="253" t="s">
        <v>385</v>
      </c>
      <c r="D14" s="253" t="s">
        <v>440</v>
      </c>
      <c r="E14" s="253" t="s">
        <v>437</v>
      </c>
      <c r="F14" s="253" t="s">
        <v>448</v>
      </c>
    </row>
    <row r="15" spans="1:6" ht="30" customHeight="1" x14ac:dyDescent="0.25">
      <c r="A15" s="253" t="s">
        <v>449</v>
      </c>
      <c r="B15" s="253" t="s">
        <v>450</v>
      </c>
      <c r="C15" s="253" t="s">
        <v>387</v>
      </c>
      <c r="D15" s="253" t="s">
        <v>451</v>
      </c>
      <c r="E15" s="253" t="s">
        <v>452</v>
      </c>
      <c r="F15" s="253" t="s">
        <v>453</v>
      </c>
    </row>
    <row r="16" spans="1:6" ht="30" customHeight="1" x14ac:dyDescent="0.25">
      <c r="A16" s="253" t="s">
        <v>454</v>
      </c>
      <c r="B16" s="253" t="s">
        <v>455</v>
      </c>
      <c r="C16" s="253" t="s">
        <v>387</v>
      </c>
      <c r="D16" s="253" t="s">
        <v>456</v>
      </c>
      <c r="E16" s="253" t="s">
        <v>452</v>
      </c>
      <c r="F16" s="253" t="s">
        <v>457</v>
      </c>
    </row>
    <row r="17" spans="1:6" ht="30" x14ac:dyDescent="0.25">
      <c r="A17" s="521" t="s">
        <v>458</v>
      </c>
      <c r="B17" s="521" t="s">
        <v>459</v>
      </c>
      <c r="C17" s="521" t="s">
        <v>385</v>
      </c>
      <c r="D17" s="521" t="s">
        <v>460</v>
      </c>
      <c r="E17" s="521" t="s">
        <v>408</v>
      </c>
      <c r="F17" s="521" t="s">
        <v>461</v>
      </c>
    </row>
    <row r="18" spans="1:6" ht="30" x14ac:dyDescent="0.25">
      <c r="A18" s="521" t="s">
        <v>462</v>
      </c>
      <c r="B18" s="521" t="s">
        <v>463</v>
      </c>
      <c r="C18" s="521" t="s">
        <v>387</v>
      </c>
      <c r="D18" s="521" t="s">
        <v>464</v>
      </c>
      <c r="E18" s="521" t="s">
        <v>408</v>
      </c>
      <c r="F18" s="521" t="s">
        <v>465</v>
      </c>
    </row>
    <row r="19" spans="1:6" ht="30" x14ac:dyDescent="0.25">
      <c r="A19" s="521" t="s">
        <v>410</v>
      </c>
      <c r="B19" s="521" t="s">
        <v>466</v>
      </c>
      <c r="C19" s="521" t="s">
        <v>387</v>
      </c>
      <c r="D19" s="521" t="s">
        <v>467</v>
      </c>
      <c r="E19" s="521" t="s">
        <v>468</v>
      </c>
      <c r="F19" s="521" t="s">
        <v>469</v>
      </c>
    </row>
  </sheetData>
  <mergeCells count="1">
    <mergeCell ref="A1:F1"/>
  </mergeCells>
  <conditionalFormatting sqref="C3:C17">
    <cfRule type="expression" dxfId="3" priority="1">
      <formula>C3="CRITICAL"</formula>
    </cfRule>
    <cfRule type="expression" dxfId="2" priority="2">
      <formula>C3="HIGH"</formula>
    </cfRule>
  </conditionalFormatting>
  <conditionalFormatting sqref="E3:E17">
    <cfRule type="expression" dxfId="1" priority="3">
      <formula>E3="REPAIRED"</formula>
    </cfRule>
    <cfRule type="expression" dxfId="0" priority="4">
      <formula>E3="ACTION REQUIRED"</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0"/>
  <sheetViews>
    <sheetView showGridLines="0" workbookViewId="0"/>
  </sheetViews>
  <sheetFormatPr defaultRowHeight="15" x14ac:dyDescent="0.25"/>
  <cols>
    <col min="1" max="1" width="29" customWidth="1"/>
    <col min="2" max="2" width="20.42578125" customWidth="1"/>
    <col min="3" max="3" width="10.42578125" customWidth="1"/>
    <col min="4" max="4" width="42" customWidth="1"/>
    <col min="5" max="5" width="6.42578125" customWidth="1"/>
    <col min="6" max="6" width="14" customWidth="1"/>
  </cols>
  <sheetData>
    <row r="1" spans="1:20" ht="15.75" x14ac:dyDescent="0.3">
      <c r="A1" s="723" t="s">
        <v>470</v>
      </c>
      <c r="B1" s="547"/>
      <c r="C1" s="547"/>
      <c r="D1" s="547"/>
      <c r="E1" s="547"/>
      <c r="F1" s="547"/>
      <c r="H1" s="725" t="s">
        <v>471</v>
      </c>
      <c r="I1" s="547"/>
      <c r="J1" s="547"/>
      <c r="K1" s="547"/>
      <c r="L1" s="547"/>
      <c r="M1" s="547"/>
      <c r="N1" s="547"/>
      <c r="O1" s="547"/>
      <c r="P1" s="547"/>
      <c r="Q1" s="547"/>
      <c r="R1" s="547"/>
      <c r="S1" s="547"/>
      <c r="T1" s="547"/>
    </row>
    <row r="2" spans="1:20" x14ac:dyDescent="0.25">
      <c r="A2" s="259" t="s">
        <v>472</v>
      </c>
      <c r="B2" s="259" t="s">
        <v>389</v>
      </c>
      <c r="C2" s="259" t="s">
        <v>473</v>
      </c>
      <c r="D2" s="259" t="s">
        <v>474</v>
      </c>
      <c r="E2" s="259" t="s">
        <v>265</v>
      </c>
      <c r="F2" s="259" t="s">
        <v>475</v>
      </c>
      <c r="H2" s="311" t="s">
        <v>381</v>
      </c>
      <c r="I2" s="252" t="s">
        <v>476</v>
      </c>
      <c r="J2" s="252" t="s">
        <v>477</v>
      </c>
      <c r="K2" s="252" t="s">
        <v>478</v>
      </c>
      <c r="L2" s="252" t="s">
        <v>479</v>
      </c>
      <c r="M2" s="252" t="s">
        <v>77</v>
      </c>
      <c r="N2" s="252" t="s">
        <v>480</v>
      </c>
      <c r="O2" s="252" t="s">
        <v>481</v>
      </c>
      <c r="P2" s="252" t="s">
        <v>482</v>
      </c>
      <c r="Q2" s="252" t="s">
        <v>483</v>
      </c>
      <c r="R2" s="252" t="s">
        <v>484</v>
      </c>
      <c r="S2" s="252" t="s">
        <v>485</v>
      </c>
      <c r="T2" s="252" t="s">
        <v>486</v>
      </c>
    </row>
    <row r="3" spans="1:20" ht="30" x14ac:dyDescent="0.25">
      <c r="A3" s="253" t="s">
        <v>487</v>
      </c>
      <c r="B3" s="308">
        <f>SUM('Electrical Consmp.'!O4,'Electrical Consmp.'!O10,'Electrical Consmp.'!O16,'Electrical Consmp.'!O23,'Electrical Consmp.'!O30,'Electrical Consmp.'!O37,'Electrical Consmp.'!O43,'Electrical Consmp.'!O49,'Electrical Consmp.'!O55,'Electrical Consmp.'!O61)</f>
        <v>401232</v>
      </c>
      <c r="C3" s="253" t="s">
        <v>488</v>
      </c>
      <c r="D3" s="253" t="s">
        <v>489</v>
      </c>
      <c r="E3" s="253" t="s">
        <v>490</v>
      </c>
      <c r="F3" s="304">
        <v>46300</v>
      </c>
      <c r="H3" s="254" t="s">
        <v>491</v>
      </c>
      <c r="I3" s="312">
        <f>'Electrical Consmp.'!C4+'Electrical Consmp.'!C10+'Electrical Consmp.'!C16+'Electrical Consmp.'!C23+'Electrical Consmp.'!C30+'Electrical Consmp.'!C37+'Electrical Consmp.'!C43+'Electrical Consmp.'!C49+'Electrical Consmp.'!C55+'Electrical Consmp.'!C61</f>
        <v>38530</v>
      </c>
      <c r="J3" s="312">
        <f>'Electrical Consmp.'!D4+'Electrical Consmp.'!D10+'Electrical Consmp.'!D16+'Electrical Consmp.'!D23+'Electrical Consmp.'!D30+'Electrical Consmp.'!D37+'Electrical Consmp.'!D43+'Electrical Consmp.'!D49+'Electrical Consmp.'!D55+'Electrical Consmp.'!D61</f>
        <v>42367</v>
      </c>
      <c r="K3" s="312">
        <f>'Electrical Consmp.'!E4+'Electrical Consmp.'!E10+'Electrical Consmp.'!E16+'Electrical Consmp.'!E23+'Electrical Consmp.'!E30+'Electrical Consmp.'!E37+'Electrical Consmp.'!E43+'Electrical Consmp.'!E49+'Electrical Consmp.'!E55+'Electrical Consmp.'!E61</f>
        <v>40774</v>
      </c>
      <c r="L3" s="312">
        <f>'Electrical Consmp.'!F4+'Electrical Consmp.'!F10+'Electrical Consmp.'!F16+'Electrical Consmp.'!F23+'Electrical Consmp.'!F30+'Electrical Consmp.'!F37+'Electrical Consmp.'!F43+'Electrical Consmp.'!F49+'Electrical Consmp.'!F55+'Electrical Consmp.'!F61</f>
        <v>47475</v>
      </c>
      <c r="M3" s="312">
        <f>'Electrical Consmp.'!G4+'Electrical Consmp.'!G10+'Electrical Consmp.'!G16+'Electrical Consmp.'!G23+'Electrical Consmp.'!G30+'Electrical Consmp.'!G37+'Electrical Consmp.'!G43+'Electrical Consmp.'!G49+'Electrical Consmp.'!G55+'Electrical Consmp.'!G61</f>
        <v>33039</v>
      </c>
      <c r="N3" s="312">
        <f>'Electrical Consmp.'!H4+'Electrical Consmp.'!H10+'Electrical Consmp.'!H16+'Electrical Consmp.'!H23+'Electrical Consmp.'!H30+'Electrical Consmp.'!H37+'Electrical Consmp.'!H43+'Electrical Consmp.'!H49+'Electrical Consmp.'!H55+'Electrical Consmp.'!H61</f>
        <v>58080</v>
      </c>
      <c r="O3" s="312">
        <f>'Electrical Consmp.'!I4+'Electrical Consmp.'!I10+'Electrical Consmp.'!I16+'Electrical Consmp.'!I23+'Electrical Consmp.'!I30+'Electrical Consmp.'!I37+'Electrical Consmp.'!I43+'Electrical Consmp.'!I49+'Electrical Consmp.'!I55+'Electrical Consmp.'!I61</f>
        <v>61338</v>
      </c>
      <c r="P3" s="312">
        <f>'Electrical Consmp.'!J4+'Electrical Consmp.'!J10+'Electrical Consmp.'!J16+'Electrical Consmp.'!J23+'Electrical Consmp.'!J30+'Electrical Consmp.'!J37+'Electrical Consmp.'!J43+'Electrical Consmp.'!J49+'Electrical Consmp.'!J55+'Electrical Consmp.'!J61</f>
        <v>58854</v>
      </c>
      <c r="Q3" s="312">
        <f>'Electrical Consmp.'!K4+'Electrical Consmp.'!K10+'Electrical Consmp.'!K16+'Electrical Consmp.'!K23+'Electrical Consmp.'!K30+'Electrical Consmp.'!K37+'Electrical Consmp.'!K43+'Electrical Consmp.'!K49+'Electrical Consmp.'!K55+'Electrical Consmp.'!K61</f>
        <v>20775</v>
      </c>
      <c r="R3" s="312">
        <f>'Electrical Consmp.'!L4+'Electrical Consmp.'!L10+'Electrical Consmp.'!L16+'Electrical Consmp.'!L23+'Electrical Consmp.'!L30+'Electrical Consmp.'!L37+'Electrical Consmp.'!L43+'Electrical Consmp.'!L49+'Electrical Consmp.'!L55+'Electrical Consmp.'!L61</f>
        <v>0</v>
      </c>
      <c r="S3" s="312">
        <f>'Electrical Consmp.'!M4+'Electrical Consmp.'!M10+'Electrical Consmp.'!M16+'Electrical Consmp.'!M23+'Electrical Consmp.'!M30+'Electrical Consmp.'!M37+'Electrical Consmp.'!M43+'Electrical Consmp.'!M49+'Electrical Consmp.'!M55+'Electrical Consmp.'!M61</f>
        <v>0</v>
      </c>
      <c r="T3" s="312">
        <f>'Electrical Consmp.'!N4+'Electrical Consmp.'!N10+'Electrical Consmp.'!N16+'Electrical Consmp.'!N23+'Electrical Consmp.'!N30+'Electrical Consmp.'!N37+'Electrical Consmp.'!N43+'Electrical Consmp.'!N49+'Electrical Consmp.'!N55+'Electrical Consmp.'!N61</f>
        <v>0</v>
      </c>
    </row>
    <row r="4" spans="1:20" x14ac:dyDescent="0.25">
      <c r="A4" s="253" t="s">
        <v>492</v>
      </c>
      <c r="B4" s="308">
        <f>SUM('Electrical Consmp.'!O5,'Electrical Consmp.'!O11,'Electrical Consmp.'!O17,'Electrical Consmp.'!O24,'Electrical Consmp.'!O31,'Electrical Consmp.'!O38,'Electrical Consmp.'!O44,'Electrical Consmp.'!O50,'Electrical Consmp.'!O56,'Electrical Consmp.'!O62)</f>
        <v>4817873</v>
      </c>
      <c r="C4" s="253" t="s">
        <v>493</v>
      </c>
      <c r="D4" s="253" t="s">
        <v>494</v>
      </c>
      <c r="E4" s="253" t="s">
        <v>490</v>
      </c>
      <c r="F4" s="304">
        <v>46300</v>
      </c>
      <c r="H4" s="254" t="s">
        <v>495</v>
      </c>
      <c r="I4" s="312">
        <f>'Water Consmp.'!C3+'Water Consmp.'!C7+'Water Consmp.'!C11+'Water Consmp.'!C15+'Water Consmp.'!C19+'Water Consmp.'!C23+'Water Consmp.'!C27+'Water Consmp.'!C31+'Water Consmp.'!C35+'Water Consmp.'!C39</f>
        <v>3344443.9999999995</v>
      </c>
      <c r="J4" s="312">
        <f>'Water Consmp.'!D3+'Water Consmp.'!D7+'Water Consmp.'!D11+'Water Consmp.'!D15+'Water Consmp.'!D19+'Water Consmp.'!D23+'Water Consmp.'!D27+'Water Consmp.'!D31+'Water Consmp.'!D35+'Water Consmp.'!D39</f>
        <v>3095157.0000000005</v>
      </c>
      <c r="K4" s="312">
        <f>'Water Consmp.'!E3+'Water Consmp.'!E7+'Water Consmp.'!E11+'Water Consmp.'!E15+'Water Consmp.'!E19+'Water Consmp.'!E23+'Water Consmp.'!E27+'Water Consmp.'!E31+'Water Consmp.'!E35+'Water Consmp.'!E39</f>
        <v>2667796.9999999995</v>
      </c>
      <c r="L4" s="312">
        <f>'Water Consmp.'!F3+'Water Consmp.'!F7+'Water Consmp.'!F11+'Water Consmp.'!F15+'Water Consmp.'!F19+'Water Consmp.'!F23+'Water Consmp.'!F27+'Water Consmp.'!F31+'Water Consmp.'!F35+'Water Consmp.'!F39</f>
        <v>2136767</v>
      </c>
      <c r="M4" s="312">
        <f>'Water Consmp.'!G3+'Water Consmp.'!G7+'Water Consmp.'!G11+'Water Consmp.'!G15+'Water Consmp.'!G19+'Water Consmp.'!G23+'Water Consmp.'!G27+'Water Consmp.'!G31+'Water Consmp.'!G35+'Water Consmp.'!G39</f>
        <v>2081964</v>
      </c>
      <c r="N4" s="312">
        <f>'Water Consmp.'!H3+'Water Consmp.'!H7+'Water Consmp.'!H11+'Water Consmp.'!H15+'Water Consmp.'!H19+'Water Consmp.'!H23+'Water Consmp.'!H27+'Water Consmp.'!H31+'Water Consmp.'!H35+'Water Consmp.'!H39</f>
        <v>3192958</v>
      </c>
      <c r="O4" s="312">
        <f>'Water Consmp.'!I3+'Water Consmp.'!I7+'Water Consmp.'!I11+'Water Consmp.'!I15+'Water Consmp.'!I19+'Water Consmp.'!I23+'Water Consmp.'!I27+'Water Consmp.'!I31+'Water Consmp.'!I35+'Water Consmp.'!I39</f>
        <v>3834932</v>
      </c>
      <c r="P4" s="312">
        <f>'Water Consmp.'!J3+'Water Consmp.'!J7+'Water Consmp.'!J11+'Water Consmp.'!J15+'Water Consmp.'!J19+'Water Consmp.'!J23+'Water Consmp.'!J27+'Water Consmp.'!J31+'Water Consmp.'!J35+'Water Consmp.'!J39</f>
        <v>3336373</v>
      </c>
      <c r="Q4" s="312">
        <f>'Water Consmp.'!K3+'Water Consmp.'!K7+'Water Consmp.'!K11+'Water Consmp.'!K15+'Water Consmp.'!K19+'Water Consmp.'!K23+'Water Consmp.'!K27+'Water Consmp.'!K31+'Water Consmp.'!K35+'Water Consmp.'!K39</f>
        <v>3046376</v>
      </c>
      <c r="R4" s="312">
        <f>'Water Consmp.'!L3+'Water Consmp.'!L7+'Water Consmp.'!L11+'Water Consmp.'!L15+'Water Consmp.'!L19+'Water Consmp.'!L23+'Water Consmp.'!L27+'Water Consmp.'!L31+'Water Consmp.'!L35+'Water Consmp.'!L39</f>
        <v>0</v>
      </c>
      <c r="S4" s="312">
        <f>'Water Consmp.'!M3+'Water Consmp.'!M7+'Water Consmp.'!M11+'Water Consmp.'!M15+'Water Consmp.'!M19+'Water Consmp.'!M23+'Water Consmp.'!M27+'Water Consmp.'!M31+'Water Consmp.'!M35+'Water Consmp.'!M39</f>
        <v>0</v>
      </c>
      <c r="T4" s="312">
        <f>'Water Consmp.'!N3+'Water Consmp.'!N7+'Water Consmp.'!N11+'Water Consmp.'!N15+'Water Consmp.'!N19+'Water Consmp.'!N23+'Water Consmp.'!N27+'Water Consmp.'!N31+'Water Consmp.'!N35+'Water Consmp.'!N39</f>
        <v>0</v>
      </c>
    </row>
    <row r="5" spans="1:20" ht="45" x14ac:dyDescent="0.25">
      <c r="A5" s="253" t="s">
        <v>496</v>
      </c>
      <c r="B5" s="308">
        <f>SUM('Water Consmp.'!O3,'Water Consmp.'!O7,'Water Consmp.'!O11,'Water Consmp.'!O15,'Water Consmp.'!O19,'Water Consmp.'!O23,'Water Consmp.'!O27,'Water Consmp.'!O31,'Water Consmp.'!O35,'Water Consmp.'!O39)</f>
        <v>26736768</v>
      </c>
      <c r="C5" s="253" t="s">
        <v>497</v>
      </c>
      <c r="D5" s="253" t="s">
        <v>498</v>
      </c>
      <c r="E5" s="253" t="s">
        <v>490</v>
      </c>
      <c r="F5" s="304">
        <v>46300</v>
      </c>
      <c r="H5" s="254" t="s">
        <v>499</v>
      </c>
      <c r="I5" s="312">
        <f>SUM('GENERATOR CONSMP.'!C6,'GENERATOR CONSMP.'!C12,'GENERATOR CONSMP.'!C18)</f>
        <v>175</v>
      </c>
      <c r="J5" s="312">
        <f>SUM('GENERATOR CONSMP.'!D6,'GENERATOR CONSMP.'!D12,'GENERATOR CONSMP.'!D18)</f>
        <v>281.89</v>
      </c>
      <c r="K5" s="312">
        <f>SUM('GENERATOR CONSMP.'!E6,'GENERATOR CONSMP.'!E12,'GENERATOR CONSMP.'!E18)</f>
        <v>160</v>
      </c>
      <c r="L5" s="312">
        <f>SUM('GENERATOR CONSMP.'!F6,'GENERATOR CONSMP.'!F12,'GENERATOR CONSMP.'!F18)</f>
        <v>140</v>
      </c>
      <c r="M5" s="312">
        <f>SUM('GENERATOR CONSMP.'!G6,'GENERATOR CONSMP.'!G12,'GENERATOR CONSMP.'!G18)</f>
        <v>200</v>
      </c>
      <c r="N5" s="312">
        <f>SUM('GENERATOR CONSMP.'!H6,'GENERATOR CONSMP.'!H12,'GENERATOR CONSMP.'!H18)</f>
        <v>443.38</v>
      </c>
      <c r="O5" s="312">
        <f>SUM('GENERATOR CONSMP.'!I6,'GENERATOR CONSMP.'!I12,'GENERATOR CONSMP.'!I18)</f>
        <v>339.08000000000004</v>
      </c>
      <c r="P5" s="312">
        <f>SUM('GENERATOR CONSMP.'!J6,'GENERATOR CONSMP.'!J12,'GENERATOR CONSMP.'!J18)</f>
        <v>60</v>
      </c>
      <c r="Q5" s="312">
        <f>SUM('GENERATOR CONSMP.'!K6,'GENERATOR CONSMP.'!K12,'GENERATOR CONSMP.'!K18)</f>
        <v>0</v>
      </c>
      <c r="R5" s="312">
        <f>SUM('GENERATOR CONSMP.'!L6,'GENERATOR CONSMP.'!L12,'GENERATOR CONSMP.'!L18)</f>
        <v>0</v>
      </c>
      <c r="S5" s="312">
        <f>SUM('GENERATOR CONSMP.'!M6,'GENERATOR CONSMP.'!M12,'GENERATOR CONSMP.'!M18)</f>
        <v>0</v>
      </c>
      <c r="T5" s="312">
        <f>SUM('GENERATOR CONSMP.'!N6,'GENERATOR CONSMP.'!N12,'GENERATOR CONSMP.'!N18)</f>
        <v>0</v>
      </c>
    </row>
    <row r="6" spans="1:20" ht="30" x14ac:dyDescent="0.25">
      <c r="A6" s="253" t="s">
        <v>500</v>
      </c>
      <c r="B6" s="308">
        <f>SUM('GENERATOR CONSMP.'!B5:M5,'GENERATOR CONSMP.'!B11:M11,'GENERATOR CONSMP.'!B17:M17)</f>
        <v>3242.7999999999997</v>
      </c>
      <c r="C6" s="253" t="s">
        <v>488</v>
      </c>
      <c r="D6" s="253" t="s">
        <v>501</v>
      </c>
      <c r="E6" s="253" t="s">
        <v>490</v>
      </c>
      <c r="F6" s="304">
        <v>46300</v>
      </c>
      <c r="H6" s="253" t="s">
        <v>502</v>
      </c>
      <c r="I6" s="253"/>
      <c r="J6" s="253"/>
      <c r="K6" s="253"/>
      <c r="L6" s="253"/>
      <c r="M6" s="253"/>
      <c r="N6" s="253"/>
      <c r="O6" s="253"/>
      <c r="P6" s="253"/>
      <c r="Q6" s="253"/>
      <c r="R6" s="253"/>
      <c r="S6" s="253"/>
      <c r="T6" s="253"/>
    </row>
    <row r="7" spans="1:20" x14ac:dyDescent="0.25">
      <c r="A7" s="253" t="s">
        <v>503</v>
      </c>
      <c r="B7" s="308">
        <f>SUM('GENERATOR CONSMP.'!B6:M6,'GENERATOR CONSMP.'!B12:M12,'GENERATOR CONSMP.'!B18:M18)</f>
        <v>1971.24</v>
      </c>
      <c r="C7" s="253" t="s">
        <v>497</v>
      </c>
      <c r="D7" s="253" t="s">
        <v>504</v>
      </c>
      <c r="E7" s="253" t="s">
        <v>490</v>
      </c>
      <c r="F7" s="304">
        <v>46300</v>
      </c>
    </row>
    <row r="8" spans="1:20" x14ac:dyDescent="0.25">
      <c r="A8" s="253" t="s">
        <v>505</v>
      </c>
      <c r="B8" s="308">
        <f>SUM('GENERATOR CONSMP.'!B7:M7,'GENERATOR CONSMP.'!B13:M13,'GENERATOR CONSMP.'!B19:M19)</f>
        <v>417.19</v>
      </c>
      <c r="C8" s="253" t="s">
        <v>506</v>
      </c>
      <c r="D8" s="253" t="s">
        <v>507</v>
      </c>
      <c r="E8" s="253" t="s">
        <v>490</v>
      </c>
      <c r="F8" s="304">
        <v>46300</v>
      </c>
      <c r="H8" s="256" t="s">
        <v>381</v>
      </c>
      <c r="I8" s="256" t="s">
        <v>491</v>
      </c>
      <c r="J8" s="256" t="s">
        <v>495</v>
      </c>
      <c r="K8" s="256" t="s">
        <v>499</v>
      </c>
    </row>
    <row r="9" spans="1:20" x14ac:dyDescent="0.25">
      <c r="A9" s="253" t="s">
        <v>508</v>
      </c>
      <c r="B9" s="308">
        <f>SUM(REPAIRS!C4:C79,REPAIRS!E4:E79,REPAIRS!G4:G79,REPAIRS!I4:I79,REPAIRS!K4:K79,REPAIRS!M4:M79,REPAIRS!O4:O79,REPAIRS!Q4:Q79,REPAIRS!S4:S79)</f>
        <v>1235</v>
      </c>
      <c r="C9" s="253" t="s">
        <v>509</v>
      </c>
      <c r="D9" s="253" t="s">
        <v>510</v>
      </c>
      <c r="E9" s="253" t="s">
        <v>490</v>
      </c>
      <c r="F9" s="304">
        <v>46300</v>
      </c>
      <c r="H9" s="251" t="s">
        <v>476</v>
      </c>
      <c r="I9" s="160">
        <f>'Electrical Consmp.'!C4+'Electrical Consmp.'!C10+'Electrical Consmp.'!C16+'Electrical Consmp.'!C23+'Electrical Consmp.'!C30+'Electrical Consmp.'!C37+'Electrical Consmp.'!C43+'Electrical Consmp.'!C49+'Electrical Consmp.'!C55+'Electrical Consmp.'!C61</f>
        <v>38530</v>
      </c>
      <c r="J9" s="160">
        <f>'Water Consmp.'!C3+'Water Consmp.'!C7+'Water Consmp.'!C11+'Water Consmp.'!C15+'Water Consmp.'!C19+'Water Consmp.'!C23+'Water Consmp.'!C27+'Water Consmp.'!C31+'Water Consmp.'!C35+'Water Consmp.'!C39</f>
        <v>3344443.9999999995</v>
      </c>
      <c r="K9" s="160">
        <f>SUM('GENERATOR CONSMP.'!B6,'GENERATOR CONSMP.'!B12,'GENERATOR CONSMP.'!B18)</f>
        <v>171.89</v>
      </c>
    </row>
    <row r="10" spans="1:20" x14ac:dyDescent="0.25">
      <c r="A10" s="253" t="s">
        <v>511</v>
      </c>
      <c r="B10" s="308">
        <f>SUM(REPAIRS!D4:D79,REPAIRS!F4:F79,REPAIRS!H4:H79,REPAIRS!J4:J79,REPAIRS!L4:L79,REPAIRS!N4:N79,REPAIRS!P4:P79,REPAIRS!R4:R79,REPAIRS!T4:T79)</f>
        <v>1604542</v>
      </c>
      <c r="C10" s="253" t="s">
        <v>493</v>
      </c>
      <c r="D10" s="253" t="s">
        <v>512</v>
      </c>
      <c r="E10" s="253" t="s">
        <v>490</v>
      </c>
      <c r="F10" s="304">
        <v>46300</v>
      </c>
      <c r="H10" s="251" t="s">
        <v>477</v>
      </c>
      <c r="I10" s="160">
        <f>'Electrical Consmp.'!D4+'Electrical Consmp.'!D10+'Electrical Consmp.'!D16+'Electrical Consmp.'!D23+'Electrical Consmp.'!D30+'Electrical Consmp.'!D37+'Electrical Consmp.'!D43+'Electrical Consmp.'!D49+'Electrical Consmp.'!D55+'Electrical Consmp.'!D61</f>
        <v>42367</v>
      </c>
      <c r="J10" s="160">
        <f>'Water Consmp.'!D3+'Water Consmp.'!D7+'Water Consmp.'!D11+'Water Consmp.'!D15+'Water Consmp.'!D19+'Water Consmp.'!D23+'Water Consmp.'!D27+'Water Consmp.'!D31+'Water Consmp.'!D35+'Water Consmp.'!D39</f>
        <v>3095157.0000000005</v>
      </c>
      <c r="K10" s="160">
        <f>SUM('GENERATOR CONSMP.'!C6,'GENERATOR CONSMP.'!C12,'GENERATOR CONSMP.'!C18)</f>
        <v>175</v>
      </c>
    </row>
    <row r="11" spans="1:20" ht="30" x14ac:dyDescent="0.25">
      <c r="A11" s="253" t="s">
        <v>513</v>
      </c>
      <c r="B11" s="309">
        <f>COUNTIF('AMC-LOG'!U3:U75,"EXPIRED")</f>
        <v>12</v>
      </c>
      <c r="C11" s="253" t="s">
        <v>514</v>
      </c>
      <c r="D11" s="253" t="s">
        <v>515</v>
      </c>
      <c r="E11" s="253" t="s">
        <v>376</v>
      </c>
      <c r="F11" s="304">
        <v>46300</v>
      </c>
      <c r="H11" s="251" t="s">
        <v>478</v>
      </c>
      <c r="I11" s="160">
        <f>'Electrical Consmp.'!E4+'Electrical Consmp.'!E10+'Electrical Consmp.'!E16+'Electrical Consmp.'!E23+'Electrical Consmp.'!E30+'Electrical Consmp.'!E37+'Electrical Consmp.'!E43+'Electrical Consmp.'!E49+'Electrical Consmp.'!E55+'Electrical Consmp.'!E61</f>
        <v>40774</v>
      </c>
      <c r="J11" s="160">
        <f>'Water Consmp.'!E3+'Water Consmp.'!E7+'Water Consmp.'!E11+'Water Consmp.'!E15+'Water Consmp.'!E19+'Water Consmp.'!E23+'Water Consmp.'!E27+'Water Consmp.'!E31+'Water Consmp.'!E35+'Water Consmp.'!E39</f>
        <v>2667796.9999999995</v>
      </c>
      <c r="K11" s="160">
        <f>SUM('GENERATOR CONSMP.'!D6,'GENERATOR CONSMP.'!D12,'GENERATOR CONSMP.'!D18)</f>
        <v>281.89</v>
      </c>
    </row>
    <row r="12" spans="1:20" ht="30" x14ac:dyDescent="0.25">
      <c r="A12" s="253" t="s">
        <v>516</v>
      </c>
      <c r="B12" s="309">
        <f>COUNTIF('AMC-LOG'!U3:U75,"DATE ERROR")</f>
        <v>1</v>
      </c>
      <c r="C12" s="253" t="s">
        <v>514</v>
      </c>
      <c r="D12" s="253" t="s">
        <v>515</v>
      </c>
      <c r="E12" s="253" t="s">
        <v>376</v>
      </c>
      <c r="F12" s="304">
        <v>46300</v>
      </c>
      <c r="H12" s="251" t="s">
        <v>479</v>
      </c>
      <c r="I12" s="160">
        <f>'Electrical Consmp.'!F4+'Electrical Consmp.'!F10+'Electrical Consmp.'!F16+'Electrical Consmp.'!F23+'Electrical Consmp.'!F30+'Electrical Consmp.'!F37+'Electrical Consmp.'!F43+'Electrical Consmp.'!F49+'Electrical Consmp.'!F55+'Electrical Consmp.'!F61</f>
        <v>47475</v>
      </c>
      <c r="J12" s="160">
        <f>'Water Consmp.'!F3+'Water Consmp.'!F7+'Water Consmp.'!F11+'Water Consmp.'!F15+'Water Consmp.'!F19+'Water Consmp.'!F23+'Water Consmp.'!F27+'Water Consmp.'!F31+'Water Consmp.'!F35+'Water Consmp.'!F39</f>
        <v>2136767</v>
      </c>
      <c r="K12" s="160">
        <f>SUM('GENERATOR CONSMP.'!E6,'GENERATOR CONSMP.'!E12,'GENERATOR CONSMP.'!E18)</f>
        <v>160</v>
      </c>
    </row>
    <row r="13" spans="1:20" ht="30" x14ac:dyDescent="0.25">
      <c r="A13" s="253" t="s">
        <v>517</v>
      </c>
      <c r="B13" s="309">
        <f>COUNTIF('AMC-LOG'!U3:U75,"EXPIRING &lt;=30D")</f>
        <v>1</v>
      </c>
      <c r="C13" s="253" t="s">
        <v>514</v>
      </c>
      <c r="D13" s="253" t="s">
        <v>515</v>
      </c>
      <c r="E13" s="253" t="s">
        <v>376</v>
      </c>
      <c r="F13" s="304">
        <v>46300</v>
      </c>
      <c r="H13" s="251" t="s">
        <v>77</v>
      </c>
      <c r="I13" s="160">
        <f>'Electrical Consmp.'!G4+'Electrical Consmp.'!G10+'Electrical Consmp.'!G16+'Electrical Consmp.'!G23+'Electrical Consmp.'!G30+'Electrical Consmp.'!G37+'Electrical Consmp.'!G43+'Electrical Consmp.'!G49+'Electrical Consmp.'!G55+'Electrical Consmp.'!G61</f>
        <v>33039</v>
      </c>
      <c r="J13" s="160">
        <f>'Water Consmp.'!G3+'Water Consmp.'!G7+'Water Consmp.'!G11+'Water Consmp.'!G15+'Water Consmp.'!G19+'Water Consmp.'!G23+'Water Consmp.'!G27+'Water Consmp.'!G31+'Water Consmp.'!G35+'Water Consmp.'!G39</f>
        <v>2081964</v>
      </c>
      <c r="K13" s="160">
        <f>SUM('GENERATOR CONSMP.'!F6,'GENERATOR CONSMP.'!F12,'GENERATOR CONSMP.'!F18)</f>
        <v>140</v>
      </c>
    </row>
    <row r="14" spans="1:20" ht="30" x14ac:dyDescent="0.25">
      <c r="A14" s="253" t="s">
        <v>518</v>
      </c>
      <c r="B14" s="309">
        <v>108</v>
      </c>
      <c r="C14" s="253" t="s">
        <v>519</v>
      </c>
      <c r="D14" s="253" t="s">
        <v>520</v>
      </c>
      <c r="E14" s="253" t="s">
        <v>376</v>
      </c>
      <c r="F14" s="304">
        <v>46300</v>
      </c>
      <c r="H14" s="251" t="s">
        <v>480</v>
      </c>
      <c r="I14" s="160">
        <f>'Electrical Consmp.'!H4+'Electrical Consmp.'!H10+'Electrical Consmp.'!H16+'Electrical Consmp.'!H23+'Electrical Consmp.'!H30+'Electrical Consmp.'!H37+'Electrical Consmp.'!H43+'Electrical Consmp.'!H49+'Electrical Consmp.'!H55+'Electrical Consmp.'!H61</f>
        <v>58080</v>
      </c>
      <c r="J14" s="160">
        <f>'Water Consmp.'!H3+'Water Consmp.'!H7+'Water Consmp.'!H11+'Water Consmp.'!H15+'Water Consmp.'!H19+'Water Consmp.'!H23+'Water Consmp.'!H27+'Water Consmp.'!H31+'Water Consmp.'!H35+'Water Consmp.'!H39</f>
        <v>3192958</v>
      </c>
      <c r="K14" s="160">
        <f>SUM('GENERATOR CONSMP.'!G6,'GENERATOR CONSMP.'!G12,'GENERATOR CONSMP.'!G18)</f>
        <v>200</v>
      </c>
    </row>
    <row r="15" spans="1:20" ht="30" x14ac:dyDescent="0.25">
      <c r="A15" s="253" t="s">
        <v>521</v>
      </c>
      <c r="B15" s="309">
        <f>COUNT('Electrical Consmp.'!C4:K4)</f>
        <v>8</v>
      </c>
      <c r="C15" s="253" t="s">
        <v>522</v>
      </c>
      <c r="D15" s="253" t="s">
        <v>523</v>
      </c>
      <c r="E15" s="253" t="s">
        <v>376</v>
      </c>
      <c r="F15" s="304">
        <v>46300</v>
      </c>
      <c r="H15" s="251" t="s">
        <v>481</v>
      </c>
      <c r="I15" s="160">
        <f>'Electrical Consmp.'!I4+'Electrical Consmp.'!I10+'Electrical Consmp.'!I16+'Electrical Consmp.'!I23+'Electrical Consmp.'!I30+'Electrical Consmp.'!I37+'Electrical Consmp.'!I43+'Electrical Consmp.'!I49+'Electrical Consmp.'!I55+'Electrical Consmp.'!I61</f>
        <v>61338</v>
      </c>
      <c r="J15" s="160">
        <f>'Water Consmp.'!I3+'Water Consmp.'!I7+'Water Consmp.'!I11+'Water Consmp.'!I15+'Water Consmp.'!I19+'Water Consmp.'!I23+'Water Consmp.'!I27+'Water Consmp.'!I31+'Water Consmp.'!I35+'Water Consmp.'!I39</f>
        <v>3834932</v>
      </c>
      <c r="K15" s="160">
        <f>SUM('GENERATOR CONSMP.'!H6,'GENERATOR CONSMP.'!H12,'GENERATOR CONSMP.'!H18)</f>
        <v>443.38</v>
      </c>
    </row>
    <row r="16" spans="1:20" ht="30" x14ac:dyDescent="0.25">
      <c r="A16" s="253" t="s">
        <v>524</v>
      </c>
      <c r="B16" s="309">
        <f>COUNT('Water Consmp.'!C3:K3)</f>
        <v>9</v>
      </c>
      <c r="C16" s="253" t="s">
        <v>522</v>
      </c>
      <c r="D16" s="253" t="s">
        <v>523</v>
      </c>
      <c r="E16" s="253" t="s">
        <v>376</v>
      </c>
      <c r="F16" s="304">
        <v>46300</v>
      </c>
      <c r="H16" s="251" t="s">
        <v>482</v>
      </c>
      <c r="I16" s="160">
        <f>'Electrical Consmp.'!J4+'Electrical Consmp.'!J10+'Electrical Consmp.'!J16+'Electrical Consmp.'!J23+'Electrical Consmp.'!J30+'Electrical Consmp.'!J37+'Electrical Consmp.'!J43+'Electrical Consmp.'!J49+'Electrical Consmp.'!J55+'Electrical Consmp.'!J61</f>
        <v>58854</v>
      </c>
      <c r="J16" s="160">
        <f>'Water Consmp.'!J3+'Water Consmp.'!J7+'Water Consmp.'!J11+'Water Consmp.'!J15+'Water Consmp.'!J19+'Water Consmp.'!J23+'Water Consmp.'!J27+'Water Consmp.'!J31+'Water Consmp.'!J35+'Water Consmp.'!J39</f>
        <v>3336373</v>
      </c>
      <c r="K16" s="160">
        <f>SUM('GENERATOR CONSMP.'!I6,'GENERATOR CONSMP.'!I12,'GENERATOR CONSMP.'!I18)</f>
        <v>339.08000000000004</v>
      </c>
    </row>
    <row r="17" spans="1:11" ht="30" x14ac:dyDescent="0.25">
      <c r="A17" s="253" t="s">
        <v>525</v>
      </c>
      <c r="B17" s="309">
        <f>COUNT('GENERATOR CONSMP.'!C5:K5)</f>
        <v>7</v>
      </c>
      <c r="C17" s="253" t="s">
        <v>522</v>
      </c>
      <c r="D17" s="253" t="s">
        <v>523</v>
      </c>
      <c r="E17" s="253" t="s">
        <v>376</v>
      </c>
      <c r="F17" s="304">
        <v>46300</v>
      </c>
      <c r="H17" s="251" t="s">
        <v>483</v>
      </c>
      <c r="I17" s="160">
        <f>'Electrical Consmp.'!K4+'Electrical Consmp.'!K10+'Electrical Consmp.'!K16+'Electrical Consmp.'!K23+'Electrical Consmp.'!K30+'Electrical Consmp.'!K37+'Electrical Consmp.'!K43+'Electrical Consmp.'!K49+'Electrical Consmp.'!K55+'Electrical Consmp.'!K61</f>
        <v>20775</v>
      </c>
      <c r="J17" s="160">
        <f>'Water Consmp.'!K3+'Water Consmp.'!K7+'Water Consmp.'!K11+'Water Consmp.'!K15+'Water Consmp.'!K19+'Water Consmp.'!K23+'Water Consmp.'!K27+'Water Consmp.'!K31+'Water Consmp.'!K35+'Water Consmp.'!K39</f>
        <v>3046376</v>
      </c>
      <c r="K17" s="160">
        <f>SUM('GENERATOR CONSMP.'!J6,'GENERATOR CONSMP.'!J12,'GENERATOR CONSMP.'!J18)</f>
        <v>60</v>
      </c>
    </row>
    <row r="18" spans="1:11" ht="30" x14ac:dyDescent="0.25">
      <c r="A18" s="253" t="s">
        <v>526</v>
      </c>
      <c r="B18" s="309">
        <v>9</v>
      </c>
      <c r="C18" s="253" t="s">
        <v>522</v>
      </c>
      <c r="D18" s="253" t="s">
        <v>527</v>
      </c>
      <c r="E18" s="253" t="s">
        <v>376</v>
      </c>
      <c r="F18" s="304">
        <v>46300</v>
      </c>
      <c r="H18" s="251" t="s">
        <v>484</v>
      </c>
      <c r="I18" s="160">
        <f>'Electrical Consmp.'!L4+'Electrical Consmp.'!L10+'Electrical Consmp.'!L16+'Electrical Consmp.'!L23+'Electrical Consmp.'!L30+'Electrical Consmp.'!L37+'Electrical Consmp.'!L43+'Electrical Consmp.'!L49+'Electrical Consmp.'!L55+'Electrical Consmp.'!L61</f>
        <v>0</v>
      </c>
      <c r="J18" s="160">
        <f>'Water Consmp.'!L3+'Water Consmp.'!L7+'Water Consmp.'!L11+'Water Consmp.'!L15+'Water Consmp.'!L19+'Water Consmp.'!L23+'Water Consmp.'!L27+'Water Consmp.'!L31+'Water Consmp.'!L35+'Water Consmp.'!L39</f>
        <v>0</v>
      </c>
      <c r="K18" s="160">
        <f>SUM('GENERATOR CONSMP.'!K6,'GENERATOR CONSMP.'!K12,'GENERATOR CONSMP.'!K18)</f>
        <v>0</v>
      </c>
    </row>
    <row r="19" spans="1:11" ht="30" x14ac:dyDescent="0.25">
      <c r="A19" s="253" t="s">
        <v>528</v>
      </c>
      <c r="B19" s="309">
        <v>2</v>
      </c>
      <c r="C19" s="253" t="s">
        <v>529</v>
      </c>
      <c r="D19" s="253" t="s">
        <v>530</v>
      </c>
      <c r="E19" s="253" t="s">
        <v>376</v>
      </c>
      <c r="F19" s="304">
        <v>46300</v>
      </c>
      <c r="H19" s="251" t="s">
        <v>485</v>
      </c>
      <c r="I19" s="160">
        <f>'Electrical Consmp.'!M4+'Electrical Consmp.'!M10+'Electrical Consmp.'!M16+'Electrical Consmp.'!M23+'Electrical Consmp.'!M30+'Electrical Consmp.'!M37+'Electrical Consmp.'!M43+'Electrical Consmp.'!M49+'Electrical Consmp.'!M55+'Electrical Consmp.'!M61</f>
        <v>0</v>
      </c>
      <c r="J19" s="160">
        <f>'Water Consmp.'!M3+'Water Consmp.'!M7+'Water Consmp.'!M11+'Water Consmp.'!M15+'Water Consmp.'!M19+'Water Consmp.'!M23+'Water Consmp.'!M27+'Water Consmp.'!M31+'Water Consmp.'!M35+'Water Consmp.'!M39</f>
        <v>0</v>
      </c>
      <c r="K19" s="160">
        <f>SUM('GENERATOR CONSMP.'!L6,'GENERATOR CONSMP.'!L12,'GENERATOR CONSMP.'!L18)</f>
        <v>0</v>
      </c>
    </row>
    <row r="20" spans="1:11" ht="30" x14ac:dyDescent="0.25">
      <c r="A20" s="253" t="s">
        <v>531</v>
      </c>
      <c r="B20" s="253" t="s">
        <v>532</v>
      </c>
      <c r="C20" s="253" t="s">
        <v>211</v>
      </c>
      <c r="D20" s="253" t="s">
        <v>533</v>
      </c>
      <c r="E20" s="253" t="s">
        <v>396</v>
      </c>
      <c r="F20" s="304">
        <v>46300</v>
      </c>
      <c r="H20" s="251" t="s">
        <v>486</v>
      </c>
      <c r="I20" s="160">
        <f>'Electrical Consmp.'!N4+'Electrical Consmp.'!N10+'Electrical Consmp.'!N16+'Electrical Consmp.'!N23+'Electrical Consmp.'!N30+'Electrical Consmp.'!N37+'Electrical Consmp.'!N43+'Electrical Consmp.'!N49+'Electrical Consmp.'!N55+'Electrical Consmp.'!N61</f>
        <v>0</v>
      </c>
      <c r="J20" s="160">
        <f>'Water Consmp.'!N3+'Water Consmp.'!N7+'Water Consmp.'!N11+'Water Consmp.'!N15+'Water Consmp.'!N19+'Water Consmp.'!N23+'Water Consmp.'!N27+'Water Consmp.'!N31+'Water Consmp.'!N35+'Water Consmp.'!N39</f>
        <v>0</v>
      </c>
      <c r="K20" s="160">
        <f>SUM('GENERATOR CONSMP.'!M6,'GENERATOR CONSMP.'!M12,'GENERATOR CONSMP.'!M18)</f>
        <v>0</v>
      </c>
    </row>
  </sheetData>
  <mergeCells count="2">
    <mergeCell ref="A1:F1"/>
    <mergeCell ref="H1:T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30"/>
  <sheetViews>
    <sheetView showGridLines="0" workbookViewId="0"/>
  </sheetViews>
  <sheetFormatPr defaultRowHeight="15" x14ac:dyDescent="0.25"/>
  <cols>
    <col min="1" max="1" width="10" customWidth="1"/>
    <col min="2" max="2" width="16" customWidth="1"/>
    <col min="3" max="3" width="36" customWidth="1"/>
    <col min="4" max="4" width="17" customWidth="1"/>
    <col min="5" max="5" width="30" customWidth="1"/>
    <col min="6" max="6" width="14" customWidth="1"/>
    <col min="7" max="14" width="12" customWidth="1"/>
  </cols>
  <sheetData>
    <row r="1" spans="1:14" x14ac:dyDescent="0.25">
      <c r="A1" s="731" t="s">
        <v>534</v>
      </c>
      <c r="B1" s="547"/>
      <c r="C1" s="547"/>
      <c r="D1" s="547"/>
      <c r="E1" s="547"/>
      <c r="F1" s="547"/>
      <c r="G1" s="547"/>
      <c r="H1" s="547"/>
      <c r="I1" s="547"/>
      <c r="J1" s="547"/>
      <c r="K1" s="547"/>
      <c r="L1" s="547"/>
      <c r="M1" s="547"/>
      <c r="N1" s="547"/>
    </row>
    <row r="2" spans="1:14" x14ac:dyDescent="0.25">
      <c r="A2" s="547"/>
      <c r="B2" s="547"/>
      <c r="C2" s="547"/>
      <c r="D2" s="547"/>
      <c r="E2" s="547"/>
      <c r="F2" s="547"/>
      <c r="G2" s="547"/>
      <c r="H2" s="547"/>
      <c r="I2" s="547"/>
      <c r="J2" s="547"/>
      <c r="K2" s="547"/>
      <c r="L2" s="547"/>
      <c r="M2" s="547"/>
      <c r="N2" s="547"/>
    </row>
    <row r="3" spans="1:14" ht="15" customHeight="1" x14ac:dyDescent="0.25">
      <c r="A3" s="730" t="s">
        <v>535</v>
      </c>
      <c r="B3" s="547"/>
      <c r="C3" s="547"/>
      <c r="D3" s="547"/>
      <c r="E3" s="547"/>
      <c r="F3" s="547"/>
      <c r="G3" s="547"/>
      <c r="H3" s="547"/>
      <c r="I3" s="547"/>
      <c r="J3" s="547"/>
      <c r="K3" s="547"/>
      <c r="L3" s="547"/>
      <c r="M3" s="547"/>
      <c r="N3" s="547"/>
    </row>
    <row r="4" spans="1:14" ht="15" customHeight="1" x14ac:dyDescent="0.25">
      <c r="A4" s="253"/>
      <c r="B4" s="253"/>
      <c r="C4" s="253"/>
      <c r="D4" s="253"/>
      <c r="E4" s="253"/>
      <c r="F4" s="253"/>
      <c r="G4" s="253"/>
      <c r="H4" s="253"/>
      <c r="I4" s="253"/>
      <c r="J4" s="253"/>
      <c r="K4" s="253"/>
      <c r="L4" s="253"/>
      <c r="M4" s="253"/>
      <c r="N4" s="253"/>
    </row>
    <row r="5" spans="1:14" ht="15" customHeight="1" x14ac:dyDescent="0.25">
      <c r="A5" s="727" t="s">
        <v>536</v>
      </c>
      <c r="B5" s="547"/>
      <c r="C5" s="547"/>
      <c r="D5" s="727" t="s">
        <v>492</v>
      </c>
      <c r="E5" s="547"/>
      <c r="F5" s="547"/>
      <c r="G5" s="727" t="s">
        <v>537</v>
      </c>
      <c r="H5" s="547"/>
      <c r="I5" s="547"/>
      <c r="J5" s="727" t="s">
        <v>511</v>
      </c>
      <c r="K5" s="547"/>
      <c r="L5" s="547"/>
      <c r="M5" s="727" t="s">
        <v>513</v>
      </c>
      <c r="N5" s="547"/>
    </row>
    <row r="6" spans="1:14" x14ac:dyDescent="0.25">
      <c r="A6" s="728">
        <f>'KPI ENGINE'!B3</f>
        <v>401232</v>
      </c>
      <c r="B6" s="547"/>
      <c r="C6" s="547"/>
      <c r="D6" s="728">
        <f>'KPI ENGINE'!B4</f>
        <v>4817873</v>
      </c>
      <c r="E6" s="547"/>
      <c r="F6" s="547"/>
      <c r="G6" s="728">
        <f>'KPI ENGINE'!B5</f>
        <v>26736768</v>
      </c>
      <c r="H6" s="547"/>
      <c r="I6" s="547"/>
      <c r="J6" s="728">
        <f>'KPI ENGINE'!B10</f>
        <v>1604542</v>
      </c>
      <c r="K6" s="547"/>
      <c r="L6" s="547"/>
      <c r="M6" s="726">
        <f>'KPI ENGINE'!B11</f>
        <v>12</v>
      </c>
      <c r="N6" s="547"/>
    </row>
    <row r="7" spans="1:14" x14ac:dyDescent="0.25">
      <c r="A7" s="547"/>
      <c r="B7" s="547"/>
      <c r="C7" s="547"/>
      <c r="D7" s="547"/>
      <c r="E7" s="547"/>
      <c r="F7" s="547"/>
      <c r="G7" s="547"/>
      <c r="H7" s="547"/>
      <c r="I7" s="547"/>
      <c r="J7" s="547"/>
      <c r="K7" s="547"/>
      <c r="L7" s="547"/>
      <c r="M7" s="547"/>
      <c r="N7" s="547"/>
    </row>
    <row r="8" spans="1:14" ht="15" customHeight="1" x14ac:dyDescent="0.25">
      <c r="A8" s="253"/>
      <c r="B8" s="253"/>
      <c r="C8" s="253"/>
      <c r="D8" s="253"/>
      <c r="E8" s="253"/>
      <c r="F8" s="253"/>
      <c r="G8" s="253"/>
      <c r="H8" s="253"/>
      <c r="I8" s="253"/>
      <c r="J8" s="253"/>
      <c r="K8" s="253"/>
      <c r="L8" s="253"/>
      <c r="M8" s="253"/>
      <c r="N8" s="253"/>
    </row>
    <row r="9" spans="1:14" ht="15" customHeight="1" x14ac:dyDescent="0.25">
      <c r="A9" s="727" t="s">
        <v>516</v>
      </c>
      <c r="B9" s="547"/>
      <c r="C9" s="547"/>
      <c r="D9" s="727" t="s">
        <v>518</v>
      </c>
      <c r="E9" s="547"/>
      <c r="F9" s="547"/>
      <c r="G9" s="727" t="s">
        <v>538</v>
      </c>
      <c r="H9" s="547"/>
      <c r="I9" s="547"/>
      <c r="J9" s="727" t="s">
        <v>539</v>
      </c>
      <c r="K9" s="547"/>
      <c r="L9" s="547"/>
      <c r="M9" s="727" t="s">
        <v>540</v>
      </c>
      <c r="N9" s="547"/>
    </row>
    <row r="10" spans="1:14" x14ac:dyDescent="0.25">
      <c r="A10" s="726">
        <f>'KPI ENGINE'!B12</f>
        <v>1</v>
      </c>
      <c r="B10" s="547"/>
      <c r="C10" s="547"/>
      <c r="D10" s="726">
        <f>'KPI ENGINE'!B14</f>
        <v>108</v>
      </c>
      <c r="E10" s="547"/>
      <c r="F10" s="547"/>
      <c r="G10" s="729" t="str">
        <f>COUNTIF('KPI ENGINE'!I3:T3,"&gt;0")&amp;" / 12"</f>
        <v>9 / 12</v>
      </c>
      <c r="H10" s="547"/>
      <c r="I10" s="547"/>
      <c r="J10" s="729" t="str">
        <f>COUNTIF('KPI ENGINE'!I4:T4,"&gt;0")&amp;" / 12"</f>
        <v>9 / 12</v>
      </c>
      <c r="K10" s="547"/>
      <c r="L10" s="547"/>
      <c r="M10" s="729" t="str">
        <f>COUNTIF('KPI ENGINE'!K9:K20,"&gt;0")&amp;" / 12"</f>
        <v>9 / 12</v>
      </c>
      <c r="N10" s="547"/>
    </row>
    <row r="11" spans="1:14" x14ac:dyDescent="0.25">
      <c r="A11" s="547"/>
      <c r="B11" s="547"/>
      <c r="C11" s="547"/>
      <c r="D11" s="547"/>
      <c r="E11" s="547"/>
      <c r="F11" s="547"/>
      <c r="G11" s="547"/>
      <c r="H11" s="547"/>
      <c r="I11" s="547"/>
      <c r="J11" s="547"/>
      <c r="K11" s="547"/>
      <c r="L11" s="547"/>
      <c r="M11" s="547"/>
      <c r="N11" s="547"/>
    </row>
    <row r="12" spans="1:14" ht="15" customHeight="1" x14ac:dyDescent="0.25">
      <c r="A12" s="253"/>
      <c r="B12" s="253"/>
      <c r="C12" s="253"/>
      <c r="D12" s="253"/>
      <c r="E12" s="253"/>
      <c r="F12" s="253"/>
      <c r="G12" s="253"/>
      <c r="H12" s="253"/>
      <c r="I12" s="253"/>
      <c r="J12" s="253"/>
      <c r="K12" s="253"/>
      <c r="L12" s="253"/>
      <c r="M12" s="253"/>
      <c r="N12" s="253"/>
    </row>
    <row r="13" spans="1:14" ht="15" customHeight="1" x14ac:dyDescent="0.25">
      <c r="A13" s="725" t="s">
        <v>541</v>
      </c>
      <c r="B13" s="547"/>
      <c r="C13" s="547"/>
      <c r="D13" s="547"/>
      <c r="E13" s="547"/>
      <c r="F13" s="547"/>
      <c r="G13" s="253"/>
      <c r="H13" s="253"/>
      <c r="I13" s="253"/>
      <c r="J13" s="253"/>
      <c r="K13" s="253"/>
      <c r="L13" s="253"/>
      <c r="M13" s="253"/>
      <c r="N13" s="253"/>
    </row>
    <row r="14" spans="1:14" ht="15" customHeight="1" x14ac:dyDescent="0.25">
      <c r="A14" s="310" t="s">
        <v>542</v>
      </c>
      <c r="B14" s="310" t="s">
        <v>543</v>
      </c>
      <c r="C14" s="310" t="s">
        <v>544</v>
      </c>
      <c r="D14" s="310" t="s">
        <v>545</v>
      </c>
      <c r="E14" s="310" t="s">
        <v>546</v>
      </c>
      <c r="F14" s="310" t="s">
        <v>547</v>
      </c>
      <c r="G14" s="253"/>
      <c r="H14" s="253"/>
      <c r="I14" s="253"/>
      <c r="J14" s="253"/>
      <c r="K14" s="253"/>
      <c r="L14" s="253"/>
      <c r="M14" s="253"/>
      <c r="N14" s="253"/>
    </row>
    <row r="15" spans="1:14" ht="44.1" customHeight="1" x14ac:dyDescent="0.25">
      <c r="A15" s="253" t="s">
        <v>548</v>
      </c>
      <c r="B15" s="253" t="s">
        <v>549</v>
      </c>
      <c r="C15" s="253" t="s">
        <v>550</v>
      </c>
      <c r="D15" s="253" t="s">
        <v>551</v>
      </c>
      <c r="E15" s="253" t="s">
        <v>552</v>
      </c>
      <c r="F15" s="253" t="s">
        <v>553</v>
      </c>
      <c r="G15" s="253"/>
      <c r="H15" s="253"/>
      <c r="I15" s="253"/>
      <c r="J15" s="253"/>
      <c r="K15" s="253"/>
      <c r="L15" s="253"/>
      <c r="M15" s="253"/>
      <c r="N15" s="253"/>
    </row>
    <row r="16" spans="1:14" ht="44.1" customHeight="1" x14ac:dyDescent="0.25">
      <c r="A16" s="253" t="s">
        <v>548</v>
      </c>
      <c r="B16" s="253" t="s">
        <v>554</v>
      </c>
      <c r="C16" s="253" t="s">
        <v>555</v>
      </c>
      <c r="D16" s="253" t="s">
        <v>551</v>
      </c>
      <c r="E16" s="253" t="s">
        <v>556</v>
      </c>
      <c r="F16" s="253" t="s">
        <v>553</v>
      </c>
      <c r="G16" s="253"/>
      <c r="H16" s="253"/>
      <c r="I16" s="253"/>
      <c r="J16" s="253"/>
      <c r="K16" s="253"/>
      <c r="L16" s="253"/>
      <c r="M16" s="253"/>
      <c r="N16" s="253"/>
    </row>
    <row r="17" spans="1:14" ht="44.1" customHeight="1" x14ac:dyDescent="0.25">
      <c r="A17" s="253" t="s">
        <v>548</v>
      </c>
      <c r="B17" s="253" t="s">
        <v>258</v>
      </c>
      <c r="C17" s="253" t="s">
        <v>557</v>
      </c>
      <c r="D17" s="253" t="s">
        <v>558</v>
      </c>
      <c r="E17" s="253" t="s">
        <v>559</v>
      </c>
      <c r="F17" s="253" t="s">
        <v>553</v>
      </c>
      <c r="G17" s="253"/>
      <c r="H17" s="253"/>
      <c r="I17" s="253"/>
      <c r="J17" s="253"/>
      <c r="K17" s="253"/>
      <c r="L17" s="253"/>
      <c r="M17" s="253"/>
      <c r="N17" s="253"/>
    </row>
    <row r="18" spans="1:14" ht="44.1" customHeight="1" x14ac:dyDescent="0.25">
      <c r="A18" s="253" t="s">
        <v>560</v>
      </c>
      <c r="B18" s="253" t="s">
        <v>561</v>
      </c>
      <c r="C18" s="253" t="s">
        <v>562</v>
      </c>
      <c r="D18" s="253" t="s">
        <v>563</v>
      </c>
      <c r="E18" s="253" t="s">
        <v>564</v>
      </c>
      <c r="F18" s="253" t="s">
        <v>565</v>
      </c>
      <c r="G18" s="253"/>
      <c r="H18" s="253"/>
      <c r="I18" s="253"/>
      <c r="J18" s="253"/>
      <c r="K18" s="253"/>
      <c r="L18" s="253"/>
      <c r="M18" s="253"/>
      <c r="N18" s="253"/>
    </row>
    <row r="19" spans="1:14" ht="15" customHeight="1" x14ac:dyDescent="0.25">
      <c r="A19" s="253"/>
      <c r="B19" s="253"/>
      <c r="C19" s="253"/>
      <c r="D19" s="253"/>
      <c r="E19" s="253"/>
      <c r="F19" s="253"/>
      <c r="G19" s="253"/>
      <c r="H19" s="253"/>
      <c r="I19" s="253"/>
      <c r="J19" s="253"/>
      <c r="K19" s="253"/>
      <c r="L19" s="253"/>
      <c r="M19" s="253"/>
      <c r="N19" s="253"/>
    </row>
    <row r="20" spans="1:14" ht="15" customHeight="1" x14ac:dyDescent="0.25">
      <c r="A20" s="253"/>
      <c r="B20" s="253"/>
      <c r="C20" s="253"/>
      <c r="D20" s="253"/>
      <c r="E20" s="253"/>
      <c r="F20" s="253"/>
      <c r="G20" s="253"/>
      <c r="H20" s="253"/>
      <c r="I20" s="253"/>
      <c r="J20" s="253"/>
      <c r="K20" s="253"/>
      <c r="L20" s="253"/>
      <c r="M20" s="253"/>
      <c r="N20" s="253"/>
    </row>
    <row r="21" spans="1:14" ht="15" customHeight="1" x14ac:dyDescent="0.25">
      <c r="A21" s="253"/>
      <c r="B21" s="253"/>
      <c r="C21" s="253"/>
      <c r="D21" s="253"/>
      <c r="E21" s="253"/>
      <c r="F21" s="253"/>
      <c r="G21" s="253"/>
      <c r="H21" s="253"/>
      <c r="I21" s="253"/>
      <c r="J21" s="253"/>
      <c r="K21" s="253"/>
      <c r="L21" s="253"/>
      <c r="M21" s="253"/>
      <c r="N21" s="253"/>
    </row>
    <row r="22" spans="1:14" ht="15" customHeight="1" x14ac:dyDescent="0.25">
      <c r="A22" s="253"/>
      <c r="B22" s="253"/>
      <c r="C22" s="253"/>
      <c r="D22" s="253"/>
      <c r="E22" s="253"/>
      <c r="F22" s="253"/>
      <c r="G22" s="253"/>
      <c r="H22" s="253"/>
      <c r="I22" s="253"/>
      <c r="J22" s="253"/>
      <c r="K22" s="253"/>
      <c r="L22" s="253"/>
      <c r="M22" s="253"/>
      <c r="N22" s="253"/>
    </row>
    <row r="23" spans="1:14" ht="15" customHeight="1" x14ac:dyDescent="0.25">
      <c r="A23" s="253"/>
      <c r="B23" s="253"/>
      <c r="C23" s="253"/>
      <c r="D23" s="253"/>
      <c r="E23" s="253"/>
      <c r="F23" s="253"/>
      <c r="G23" s="253"/>
      <c r="H23" s="253"/>
      <c r="I23" s="253"/>
      <c r="J23" s="253"/>
      <c r="K23" s="253"/>
      <c r="L23" s="253"/>
      <c r="M23" s="253"/>
      <c r="N23" s="253"/>
    </row>
    <row r="24" spans="1:14" ht="15" customHeight="1" x14ac:dyDescent="0.25">
      <c r="A24" s="253"/>
      <c r="B24" s="253"/>
      <c r="C24" s="253"/>
      <c r="D24" s="253"/>
      <c r="E24" s="253"/>
      <c r="F24" s="253"/>
      <c r="G24" s="253"/>
      <c r="H24" s="253"/>
      <c r="I24" s="253"/>
      <c r="J24" s="253"/>
      <c r="K24" s="253"/>
      <c r="L24" s="253"/>
      <c r="M24" s="253"/>
      <c r="N24" s="253"/>
    </row>
    <row r="25" spans="1:14" ht="15" customHeight="1" x14ac:dyDescent="0.25">
      <c r="A25" s="253"/>
      <c r="B25" s="253"/>
      <c r="C25" s="253"/>
      <c r="D25" s="253"/>
      <c r="E25" s="253"/>
      <c r="F25" s="253"/>
      <c r="G25" s="253"/>
      <c r="H25" s="253"/>
      <c r="I25" s="253"/>
      <c r="J25" s="253"/>
      <c r="K25" s="253"/>
      <c r="L25" s="253"/>
      <c r="M25" s="253"/>
      <c r="N25" s="253"/>
    </row>
    <row r="26" spans="1:14" ht="15" customHeight="1" x14ac:dyDescent="0.25">
      <c r="A26" s="253"/>
      <c r="B26" s="253"/>
      <c r="C26" s="253"/>
      <c r="D26" s="253"/>
      <c r="E26" s="253"/>
      <c r="F26" s="253"/>
      <c r="G26" s="253"/>
      <c r="H26" s="253"/>
      <c r="I26" s="253"/>
      <c r="J26" s="253"/>
      <c r="K26" s="253"/>
      <c r="L26" s="253"/>
      <c r="M26" s="253"/>
      <c r="N26" s="253"/>
    </row>
    <row r="27" spans="1:14" ht="15" customHeight="1" x14ac:dyDescent="0.25">
      <c r="A27" s="253"/>
      <c r="B27" s="253"/>
      <c r="C27" s="253"/>
      <c r="D27" s="253"/>
      <c r="E27" s="253"/>
      <c r="F27" s="253"/>
      <c r="G27" s="253"/>
      <c r="H27" s="253"/>
      <c r="I27" s="253"/>
      <c r="J27" s="253"/>
      <c r="K27" s="253"/>
      <c r="L27" s="253"/>
      <c r="M27" s="253"/>
      <c r="N27" s="253"/>
    </row>
    <row r="28" spans="1:14" ht="15" customHeight="1" x14ac:dyDescent="0.25">
      <c r="A28" s="253"/>
      <c r="B28" s="253"/>
      <c r="C28" s="253"/>
      <c r="D28" s="253"/>
      <c r="E28" s="253"/>
      <c r="F28" s="253"/>
      <c r="G28" s="253"/>
      <c r="H28" s="253"/>
      <c r="I28" s="253"/>
      <c r="J28" s="253"/>
      <c r="K28" s="253"/>
      <c r="L28" s="253"/>
      <c r="M28" s="253"/>
      <c r="N28" s="253"/>
    </row>
    <row r="29" spans="1:14" ht="15" customHeight="1" x14ac:dyDescent="0.25">
      <c r="A29" s="253"/>
      <c r="B29" s="253"/>
      <c r="C29" s="253"/>
      <c r="D29" s="253"/>
      <c r="E29" s="253"/>
      <c r="F29" s="253"/>
      <c r="G29" s="253"/>
      <c r="H29" s="253"/>
      <c r="I29" s="253"/>
      <c r="J29" s="253"/>
      <c r="K29" s="253"/>
      <c r="L29" s="253"/>
      <c r="M29" s="253"/>
      <c r="N29" s="253"/>
    </row>
    <row r="30" spans="1:14" ht="15" customHeight="1" x14ac:dyDescent="0.25">
      <c r="A30" s="253"/>
      <c r="B30" s="253"/>
      <c r="C30" s="253"/>
      <c r="D30" s="253"/>
      <c r="E30" s="253"/>
      <c r="F30" s="253"/>
      <c r="G30" s="253"/>
      <c r="H30" s="253"/>
      <c r="I30" s="253"/>
      <c r="J30" s="253"/>
      <c r="K30" s="253"/>
      <c r="L30" s="253"/>
      <c r="M30" s="253"/>
      <c r="N30" s="253"/>
    </row>
  </sheetData>
  <mergeCells count="23">
    <mergeCell ref="A1:N2"/>
    <mergeCell ref="J5:L5"/>
    <mergeCell ref="G6:I7"/>
    <mergeCell ref="M10:N11"/>
    <mergeCell ref="J9:L9"/>
    <mergeCell ref="A3:N3"/>
    <mergeCell ref="J6:L7"/>
    <mergeCell ref="D5:F5"/>
    <mergeCell ref="G10:I11"/>
    <mergeCell ref="A13:F13"/>
    <mergeCell ref="A9:C9"/>
    <mergeCell ref="G9:I9"/>
    <mergeCell ref="A10:C11"/>
    <mergeCell ref="M6:N7"/>
    <mergeCell ref="D10:F11"/>
    <mergeCell ref="M9:N9"/>
    <mergeCell ref="M5:N5"/>
    <mergeCell ref="D6:F7"/>
    <mergeCell ref="A5:C5"/>
    <mergeCell ref="G5:I5"/>
    <mergeCell ref="J10:L11"/>
    <mergeCell ref="D9:F9"/>
    <mergeCell ref="A6:C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W818"/>
  <sheetViews>
    <sheetView workbookViewId="0">
      <pane xSplit="1" ySplit="2" topLeftCell="B3" activePane="bottomRight" state="frozen"/>
      <selection pane="topRight"/>
      <selection pane="bottomLeft"/>
      <selection pane="bottomRight"/>
    </sheetView>
  </sheetViews>
  <sheetFormatPr defaultRowHeight="15" x14ac:dyDescent="0.25"/>
  <cols>
    <col min="1" max="1" width="40" customWidth="1"/>
    <col min="2" max="29" width="13" customWidth="1"/>
  </cols>
  <sheetData>
    <row r="1" spans="1:10" ht="15.75" x14ac:dyDescent="0.25">
      <c r="A1" s="522" t="s">
        <v>566</v>
      </c>
    </row>
    <row r="2" spans="1:10" ht="25.5" x14ac:dyDescent="0.25">
      <c r="A2" s="523" t="s">
        <v>388</v>
      </c>
      <c r="B2" s="523" t="s">
        <v>389</v>
      </c>
      <c r="E2" s="523" t="s">
        <v>567</v>
      </c>
      <c r="F2" s="523" t="s">
        <v>568</v>
      </c>
      <c r="G2" s="523" t="s">
        <v>569</v>
      </c>
      <c r="H2" s="523" t="s">
        <v>570</v>
      </c>
      <c r="I2" s="523" t="s">
        <v>571</v>
      </c>
      <c r="J2" s="523" t="s">
        <v>572</v>
      </c>
    </row>
    <row r="3" spans="1:10" x14ac:dyDescent="0.25">
      <c r="A3" t="s">
        <v>573</v>
      </c>
      <c r="B3" t="str">
        <f>FM_Dashboard!$D$5</f>
        <v>Sep-26</v>
      </c>
      <c r="E3" t="s">
        <v>574</v>
      </c>
      <c r="G3" t="s">
        <v>9</v>
      </c>
    </row>
    <row r="4" spans="1:10" x14ac:dyDescent="0.25">
      <c r="A4" t="s">
        <v>575</v>
      </c>
      <c r="B4" t="str">
        <f>FM_Dashboard!$J$5</f>
        <v>All Schools</v>
      </c>
      <c r="E4" t="s">
        <v>576</v>
      </c>
      <c r="F4">
        <f>CONFIG!B3</f>
        <v>31</v>
      </c>
      <c r="G4" t="s">
        <v>85</v>
      </c>
      <c r="H4" t="s">
        <v>85</v>
      </c>
      <c r="I4" t="s">
        <v>85</v>
      </c>
      <c r="J4">
        <v>1</v>
      </c>
    </row>
    <row r="5" spans="1:10" x14ac:dyDescent="0.25">
      <c r="A5" t="s">
        <v>577</v>
      </c>
      <c r="B5">
        <f>IF($B$3="2026 YTD",13,IFERROR(MATCH($B$3,$E$4:$E$15,0),13))</f>
        <v>9</v>
      </c>
      <c r="E5" t="s">
        <v>578</v>
      </c>
      <c r="F5">
        <f>CONFIG!C3</f>
        <v>28</v>
      </c>
      <c r="G5" t="s">
        <v>91</v>
      </c>
      <c r="H5" t="s">
        <v>91</v>
      </c>
      <c r="I5" t="s">
        <v>91</v>
      </c>
      <c r="J5">
        <v>3</v>
      </c>
    </row>
    <row r="6" spans="1:10" x14ac:dyDescent="0.25">
      <c r="A6" t="s">
        <v>579</v>
      </c>
      <c r="B6">
        <f>IF($B$4="All Schools",11,IFERROR(MATCH($B$4,$G$4:$G$13,0),11))</f>
        <v>11</v>
      </c>
      <c r="E6" t="s">
        <v>580</v>
      </c>
      <c r="F6">
        <f>CONFIG!D3</f>
        <v>31</v>
      </c>
      <c r="G6" t="s">
        <v>93</v>
      </c>
      <c r="H6" t="s">
        <v>93</v>
      </c>
      <c r="I6" t="s">
        <v>93</v>
      </c>
      <c r="J6">
        <v>13</v>
      </c>
    </row>
    <row r="7" spans="1:10" x14ac:dyDescent="0.25">
      <c r="A7" t="s">
        <v>581</v>
      </c>
      <c r="B7" t="str">
        <f>IF($B$8=0,"–",INDEX($E$4:$E$15,$B$8))</f>
        <v>Sep-26</v>
      </c>
      <c r="E7" t="s">
        <v>582</v>
      </c>
      <c r="F7">
        <f>CONFIG!E3</f>
        <v>30</v>
      </c>
      <c r="G7" t="s">
        <v>98</v>
      </c>
      <c r="H7" t="s">
        <v>98</v>
      </c>
      <c r="I7" t="s">
        <v>98</v>
      </c>
      <c r="J7">
        <v>15</v>
      </c>
    </row>
    <row r="8" spans="1:10" x14ac:dyDescent="0.25">
      <c r="A8" t="s">
        <v>583</v>
      </c>
      <c r="B8">
        <f>IFERROR(MATCH(9.99E+307,$B$32:$M$32),0)</f>
        <v>9</v>
      </c>
      <c r="E8" t="s">
        <v>584</v>
      </c>
      <c r="F8">
        <f>CONFIG!F3</f>
        <v>31</v>
      </c>
      <c r="G8" t="s">
        <v>100</v>
      </c>
      <c r="H8" t="s">
        <v>100</v>
      </c>
      <c r="I8" t="s">
        <v>100</v>
      </c>
      <c r="J8">
        <v>17</v>
      </c>
    </row>
    <row r="9" spans="1:10" x14ac:dyDescent="0.25">
      <c r="A9" t="s">
        <v>585</v>
      </c>
      <c r="B9" t="str">
        <f>IFERROR(LOOKUP(2,1/(($B$33:$M$33=10)*($B$78:$M$78=10)),$E$4:$E$15),"–")</f>
        <v>Jul-26</v>
      </c>
      <c r="E9" t="s">
        <v>586</v>
      </c>
      <c r="F9">
        <f>CONFIG!G3</f>
        <v>30</v>
      </c>
      <c r="G9" t="s">
        <v>224</v>
      </c>
      <c r="H9" t="s">
        <v>120</v>
      </c>
      <c r="I9" t="s">
        <v>224</v>
      </c>
      <c r="J9">
        <v>5</v>
      </c>
    </row>
    <row r="10" spans="1:10" x14ac:dyDescent="0.25">
      <c r="A10" t="s">
        <v>587</v>
      </c>
      <c r="B10">
        <f>IF($B$5=13,IF($B$8=0,"",SUM($F$4:INDEX($F$4:$F$15,$B$8))),INDEX($F$4:$F$15,$B$5))</f>
        <v>30</v>
      </c>
      <c r="E10" t="s">
        <v>588</v>
      </c>
      <c r="F10">
        <f>CONFIG!H3</f>
        <v>31</v>
      </c>
      <c r="G10" t="s">
        <v>106</v>
      </c>
      <c r="H10" t="s">
        <v>121</v>
      </c>
      <c r="I10" t="s">
        <v>230</v>
      </c>
      <c r="J10">
        <v>5</v>
      </c>
    </row>
    <row r="11" spans="1:10" x14ac:dyDescent="0.25">
      <c r="A11" t="s">
        <v>589</v>
      </c>
      <c r="B11">
        <f>IF(OR($B$5=13,$B$5=1),"",$B$5-1)</f>
        <v>8</v>
      </c>
      <c r="E11" t="s">
        <v>7</v>
      </c>
      <c r="F11">
        <f>CONFIG!I3</f>
        <v>31</v>
      </c>
      <c r="G11" t="s">
        <v>108</v>
      </c>
      <c r="H11" t="s">
        <v>108</v>
      </c>
      <c r="I11" t="s">
        <v>108</v>
      </c>
      <c r="J11">
        <v>9</v>
      </c>
    </row>
    <row r="12" spans="1:10" x14ac:dyDescent="0.25">
      <c r="A12" t="s">
        <v>590</v>
      </c>
      <c r="B12">
        <f>IF($B$6=7,6,$B$6)</f>
        <v>11</v>
      </c>
      <c r="E12" t="s">
        <v>591</v>
      </c>
      <c r="F12">
        <f>CONFIG!J3</f>
        <v>30</v>
      </c>
      <c r="G12" t="s">
        <v>110</v>
      </c>
      <c r="H12" t="s">
        <v>110</v>
      </c>
      <c r="I12" t="s">
        <v>110</v>
      </c>
      <c r="J12">
        <v>11</v>
      </c>
    </row>
    <row r="13" spans="1:10" x14ac:dyDescent="0.25">
      <c r="A13" t="s">
        <v>592</v>
      </c>
      <c r="B13" t="str">
        <f>IF($B$6=11,"",INDEX($J$4:$J$13,$B$6))</f>
        <v/>
      </c>
      <c r="E13" t="s">
        <v>593</v>
      </c>
      <c r="F13">
        <f>CONFIG!K3</f>
        <v>31</v>
      </c>
      <c r="G13" t="s">
        <v>112</v>
      </c>
      <c r="H13" t="s">
        <v>112</v>
      </c>
      <c r="I13" t="s">
        <v>112</v>
      </c>
      <c r="J13">
        <v>7</v>
      </c>
    </row>
    <row r="14" spans="1:10" x14ac:dyDescent="0.25">
      <c r="A14" t="s">
        <v>594</v>
      </c>
      <c r="B14" s="524">
        <v>0.15</v>
      </c>
      <c r="E14" t="s">
        <v>595</v>
      </c>
      <c r="F14">
        <f>CONFIG!L3</f>
        <v>30</v>
      </c>
    </row>
    <row r="15" spans="1:10" x14ac:dyDescent="0.25">
      <c r="E15" t="s">
        <v>596</v>
      </c>
      <c r="F15">
        <f>CONFIG!M3</f>
        <v>31</v>
      </c>
    </row>
    <row r="20" spans="1:15" x14ac:dyDescent="0.25">
      <c r="A20" s="525" t="s">
        <v>597</v>
      </c>
    </row>
    <row r="21" spans="1:15" ht="25.5" x14ac:dyDescent="0.25">
      <c r="A21" s="523" t="s">
        <v>36</v>
      </c>
      <c r="B21" s="523" t="s">
        <v>576</v>
      </c>
      <c r="C21" s="523" t="s">
        <v>578</v>
      </c>
      <c r="D21" s="523" t="s">
        <v>580</v>
      </c>
      <c r="E21" s="523" t="s">
        <v>582</v>
      </c>
      <c r="F21" s="523" t="s">
        <v>584</v>
      </c>
      <c r="G21" s="523" t="s">
        <v>586</v>
      </c>
      <c r="H21" s="523" t="s">
        <v>588</v>
      </c>
      <c r="I21" s="523" t="s">
        <v>7</v>
      </c>
      <c r="J21" s="523" t="s">
        <v>591</v>
      </c>
      <c r="K21" s="523" t="s">
        <v>593</v>
      </c>
      <c r="L21" s="523" t="s">
        <v>595</v>
      </c>
      <c r="M21" s="523" t="s">
        <v>596</v>
      </c>
      <c r="N21" s="523" t="s">
        <v>574</v>
      </c>
      <c r="O21" s="523" t="s">
        <v>598</v>
      </c>
    </row>
    <row r="22" spans="1:15" x14ac:dyDescent="0.25">
      <c r="A22" t="s">
        <v>85</v>
      </c>
      <c r="B22" s="160">
        <f>IF('Electrical Consmp.'!C4="","",'Electrical Consmp.'!C4)</f>
        <v>11200</v>
      </c>
      <c r="C22" s="160">
        <f>IF('Electrical Consmp.'!D4="","",'Electrical Consmp.'!D4)</f>
        <v>12400</v>
      </c>
      <c r="D22" s="160">
        <f>IF('Electrical Consmp.'!E4="","",'Electrical Consmp.'!E4)</f>
        <v>12000</v>
      </c>
      <c r="E22" s="160">
        <f>IF('Electrical Consmp.'!F4="","",'Electrical Consmp.'!F4)</f>
        <v>14600</v>
      </c>
      <c r="F22" s="160">
        <f>IF('Electrical Consmp.'!G4="","",'Electrical Consmp.'!G4)</f>
        <v>9000</v>
      </c>
      <c r="G22" s="160">
        <f>IF('Electrical Consmp.'!H4="","",'Electrical Consmp.'!H4)</f>
        <v>16800</v>
      </c>
      <c r="H22" s="160">
        <f>IF('Electrical Consmp.'!I4="","",'Electrical Consmp.'!I4)</f>
        <v>15000</v>
      </c>
      <c r="I22" s="160">
        <f>IF('Electrical Consmp.'!J4="","",'Electrical Consmp.'!J4)</f>
        <v>14800</v>
      </c>
      <c r="J22" s="160" t="str">
        <f>IF('Electrical Consmp.'!K4="","",'Electrical Consmp.'!K4)</f>
        <v/>
      </c>
      <c r="K22" s="160" t="str">
        <f>IF('Electrical Consmp.'!L4="","",'Electrical Consmp.'!L4)</f>
        <v/>
      </c>
      <c r="L22" s="160" t="str">
        <f>IF('Electrical Consmp.'!M4="","",'Electrical Consmp.'!M4)</f>
        <v/>
      </c>
      <c r="M22" s="160" t="str">
        <f>IF('Electrical Consmp.'!N4="","",'Electrical Consmp.'!N4)</f>
        <v/>
      </c>
      <c r="N22" s="160">
        <f t="shared" ref="N22:N31" si="0">IF(COUNT(B22:M22)=0,"",SUM(B22:M22))</f>
        <v>105800</v>
      </c>
      <c r="O22" s="160">
        <f t="shared" ref="O22:O31" si="1">IF(COUNT(B22:M22)=0,"",AVERAGE(B22:M22))</f>
        <v>13225</v>
      </c>
    </row>
    <row r="23" spans="1:15" x14ac:dyDescent="0.25">
      <c r="A23" t="s">
        <v>91</v>
      </c>
      <c r="B23" s="160">
        <f>IF('Electrical Consmp.'!C10="","",'Electrical Consmp.'!C10)</f>
        <v>2280</v>
      </c>
      <c r="C23" s="160">
        <f>IF('Electrical Consmp.'!D10="","",'Electrical Consmp.'!D10)</f>
        <v>2727</v>
      </c>
      <c r="D23" s="160">
        <f>IF('Electrical Consmp.'!E10="","",'Electrical Consmp.'!E10)</f>
        <v>3054</v>
      </c>
      <c r="E23" s="160">
        <f>IF('Electrical Consmp.'!F10="","",'Electrical Consmp.'!F10)</f>
        <v>3334</v>
      </c>
      <c r="F23" s="160">
        <f>IF('Electrical Consmp.'!G10="","",'Electrical Consmp.'!G10)</f>
        <v>2364</v>
      </c>
      <c r="G23" s="160">
        <f>IF('Electrical Consmp.'!H10="","",'Electrical Consmp.'!H10)</f>
        <v>2319</v>
      </c>
      <c r="H23" s="160">
        <f>IF('Electrical Consmp.'!I10="","",'Electrical Consmp.'!I10)</f>
        <v>3660</v>
      </c>
      <c r="I23" s="160">
        <f>IF('Electrical Consmp.'!J10="","",'Electrical Consmp.'!J10)</f>
        <v>3884</v>
      </c>
      <c r="J23" s="160">
        <f>IF('Electrical Consmp.'!K10="","",'Electrical Consmp.'!K10)</f>
        <v>3820</v>
      </c>
      <c r="K23" s="160" t="str">
        <f>IF('Electrical Consmp.'!L10="","",'Electrical Consmp.'!L10)</f>
        <v/>
      </c>
      <c r="L23" s="160" t="str">
        <f>IF('Electrical Consmp.'!M10="","",'Electrical Consmp.'!M10)</f>
        <v/>
      </c>
      <c r="M23" s="160" t="str">
        <f>IF('Electrical Consmp.'!N10="","",'Electrical Consmp.'!N10)</f>
        <v/>
      </c>
      <c r="N23" s="160">
        <f t="shared" si="0"/>
        <v>27442</v>
      </c>
      <c r="O23" s="160">
        <f t="shared" si="1"/>
        <v>3049.1111111111113</v>
      </c>
    </row>
    <row r="24" spans="1:15" x14ac:dyDescent="0.25">
      <c r="A24" t="s">
        <v>93</v>
      </c>
      <c r="B24" s="160">
        <f>IF('Electrical Consmp.'!C16="","",'Electrical Consmp.'!C16)</f>
        <v>1376</v>
      </c>
      <c r="C24" s="160">
        <f>IF('Electrical Consmp.'!D16="","",'Electrical Consmp.'!D16)</f>
        <v>1020</v>
      </c>
      <c r="D24" s="160">
        <f>IF('Electrical Consmp.'!E16="","",'Electrical Consmp.'!E16)</f>
        <v>1311</v>
      </c>
      <c r="E24" s="160">
        <f>IF('Electrical Consmp.'!F16="","",'Electrical Consmp.'!F16)</f>
        <v>2178</v>
      </c>
      <c r="F24" s="160">
        <f>IF('Electrical Consmp.'!G16="","",'Electrical Consmp.'!G16)</f>
        <v>338</v>
      </c>
      <c r="G24" s="160">
        <f>IF('Electrical Consmp.'!H16="","",'Electrical Consmp.'!H16)</f>
        <v>2400</v>
      </c>
      <c r="H24" s="160">
        <f>IF('Electrical Consmp.'!I16="","",'Electrical Consmp.'!I16)</f>
        <v>3596</v>
      </c>
      <c r="I24" s="160">
        <f>IF('Electrical Consmp.'!J16="","",'Electrical Consmp.'!J16)</f>
        <v>3502</v>
      </c>
      <c r="J24" s="160" t="str">
        <f>IF('Electrical Consmp.'!K16="","",'Electrical Consmp.'!K16)</f>
        <v/>
      </c>
      <c r="K24" s="160" t="str">
        <f>IF('Electrical Consmp.'!L16="","",'Electrical Consmp.'!L16)</f>
        <v/>
      </c>
      <c r="L24" s="160" t="str">
        <f>IF('Electrical Consmp.'!M16="","",'Electrical Consmp.'!M16)</f>
        <v/>
      </c>
      <c r="M24" s="160" t="str">
        <f>IF('Electrical Consmp.'!N16="","",'Electrical Consmp.'!N16)</f>
        <v/>
      </c>
      <c r="N24" s="160">
        <f t="shared" si="0"/>
        <v>15721</v>
      </c>
      <c r="O24" s="160">
        <f t="shared" si="1"/>
        <v>1965.125</v>
      </c>
    </row>
    <row r="25" spans="1:15" x14ac:dyDescent="0.25">
      <c r="A25" t="s">
        <v>98</v>
      </c>
      <c r="B25" s="160">
        <f>IF('Electrical Consmp.'!C23="","",'Electrical Consmp.'!C23)</f>
        <v>2261</v>
      </c>
      <c r="C25" s="160">
        <f>IF('Electrical Consmp.'!D23="","",'Electrical Consmp.'!D23)</f>
        <v>2111</v>
      </c>
      <c r="D25" s="160">
        <f>IF('Electrical Consmp.'!E23="","",'Electrical Consmp.'!E23)</f>
        <v>2872</v>
      </c>
      <c r="E25" s="160">
        <f>IF('Electrical Consmp.'!F23="","",'Electrical Consmp.'!F23)</f>
        <v>4747</v>
      </c>
      <c r="F25" s="160">
        <f>IF('Electrical Consmp.'!G23="","",'Electrical Consmp.'!G23)</f>
        <v>5189</v>
      </c>
      <c r="G25" s="160">
        <f>IF('Electrical Consmp.'!H23="","",'Electrical Consmp.'!H23)</f>
        <v>7265</v>
      </c>
      <c r="H25" s="160">
        <f>IF('Electrical Consmp.'!I23="","",'Electrical Consmp.'!I23)</f>
        <v>5844</v>
      </c>
      <c r="I25" s="160">
        <f>IF('Electrical Consmp.'!J23="","",'Electrical Consmp.'!J23)</f>
        <v>4860</v>
      </c>
      <c r="J25" s="160" t="str">
        <f>IF('Electrical Consmp.'!K23="","",'Electrical Consmp.'!K23)</f>
        <v/>
      </c>
      <c r="K25" s="160" t="str">
        <f>IF('Electrical Consmp.'!L23="","",'Electrical Consmp.'!L23)</f>
        <v/>
      </c>
      <c r="L25" s="160" t="str">
        <f>IF('Electrical Consmp.'!M23="","",'Electrical Consmp.'!M23)</f>
        <v/>
      </c>
      <c r="M25" s="160" t="str">
        <f>IF('Electrical Consmp.'!N23="","",'Electrical Consmp.'!N23)</f>
        <v/>
      </c>
      <c r="N25" s="160">
        <f t="shared" si="0"/>
        <v>35149</v>
      </c>
      <c r="O25" s="160">
        <f t="shared" si="1"/>
        <v>4393.625</v>
      </c>
    </row>
    <row r="26" spans="1:15" x14ac:dyDescent="0.25">
      <c r="A26" t="s">
        <v>100</v>
      </c>
      <c r="B26" s="160">
        <f>IF('Electrical Consmp.'!C30="","",'Electrical Consmp.'!C30)</f>
        <v>0</v>
      </c>
      <c r="C26" s="160">
        <f>IF('Electrical Consmp.'!D30="","",'Electrical Consmp.'!D30)</f>
        <v>0</v>
      </c>
      <c r="D26" s="160">
        <f>IF('Electrical Consmp.'!E30="","",'Electrical Consmp.'!E30)</f>
        <v>0</v>
      </c>
      <c r="E26" s="160">
        <f>IF('Electrical Consmp.'!F30="","",'Electrical Consmp.'!F30)</f>
        <v>0</v>
      </c>
      <c r="F26" s="160">
        <f>IF('Electrical Consmp.'!G30="","",'Electrical Consmp.'!G30)</f>
        <v>0</v>
      </c>
      <c r="G26" s="160">
        <f>IF('Electrical Consmp.'!H30="","",'Electrical Consmp.'!H30)</f>
        <v>5378</v>
      </c>
      <c r="H26" s="160">
        <f>IF('Electrical Consmp.'!I30="","",'Electrical Consmp.'!I30)</f>
        <v>6691</v>
      </c>
      <c r="I26" s="160">
        <f>IF('Electrical Consmp.'!J30="","",'Electrical Consmp.'!J30)</f>
        <v>7600</v>
      </c>
      <c r="J26" s="160" t="str">
        <f>IF('Electrical Consmp.'!K30="","",'Electrical Consmp.'!K30)</f>
        <v/>
      </c>
      <c r="K26" s="160" t="str">
        <f>IF('Electrical Consmp.'!L30="","",'Electrical Consmp.'!L30)</f>
        <v/>
      </c>
      <c r="L26" s="160" t="str">
        <f>IF('Electrical Consmp.'!M30="","",'Electrical Consmp.'!M30)</f>
        <v/>
      </c>
      <c r="M26" s="160" t="str">
        <f>IF('Electrical Consmp.'!N30="","",'Electrical Consmp.'!N30)</f>
        <v/>
      </c>
      <c r="N26" s="160">
        <f t="shared" si="0"/>
        <v>19669</v>
      </c>
      <c r="O26" s="160">
        <f t="shared" si="1"/>
        <v>2458.625</v>
      </c>
    </row>
    <row r="27" spans="1:15" x14ac:dyDescent="0.25">
      <c r="A27" t="s">
        <v>224</v>
      </c>
      <c r="B27" s="160">
        <f>IF('Electrical Consmp.'!C37="","",'Electrical Consmp.'!C37)</f>
        <v>783</v>
      </c>
      <c r="C27" s="160">
        <f>IF('Electrical Consmp.'!D37="","",'Electrical Consmp.'!D37)</f>
        <v>1022</v>
      </c>
      <c r="D27" s="160">
        <f>IF('Electrical Consmp.'!E37="","",'Electrical Consmp.'!E37)</f>
        <v>1065</v>
      </c>
      <c r="E27" s="160">
        <f>IF('Electrical Consmp.'!F37="","",'Electrical Consmp.'!F37)</f>
        <v>786</v>
      </c>
      <c r="F27" s="160">
        <f>IF('Electrical Consmp.'!G37="","",'Electrical Consmp.'!G37)</f>
        <v>531</v>
      </c>
      <c r="G27" s="160">
        <f>IF('Electrical Consmp.'!H37="","",'Electrical Consmp.'!H37)</f>
        <v>1165</v>
      </c>
      <c r="H27" s="160">
        <f>IF('Electrical Consmp.'!I37="","",'Electrical Consmp.'!I37)</f>
        <v>1300</v>
      </c>
      <c r="I27" s="160">
        <f>IF('Electrical Consmp.'!J37="","",'Electrical Consmp.'!J37)</f>
        <v>1330</v>
      </c>
      <c r="J27" s="160">
        <f>IF('Electrical Consmp.'!K37="","",'Electrical Consmp.'!K37)</f>
        <v>1187</v>
      </c>
      <c r="K27" s="160" t="str">
        <f>IF('Electrical Consmp.'!L37="","",'Electrical Consmp.'!L37)</f>
        <v/>
      </c>
      <c r="L27" s="160" t="str">
        <f>IF('Electrical Consmp.'!M37="","",'Electrical Consmp.'!M37)</f>
        <v/>
      </c>
      <c r="M27" s="160" t="str">
        <f>IF('Electrical Consmp.'!N37="","",'Electrical Consmp.'!N37)</f>
        <v/>
      </c>
      <c r="N27" s="160">
        <f t="shared" si="0"/>
        <v>9169</v>
      </c>
      <c r="O27" s="160">
        <f t="shared" si="1"/>
        <v>1018.7777777777778</v>
      </c>
    </row>
    <row r="28" spans="1:15" x14ac:dyDescent="0.25">
      <c r="A28" t="s">
        <v>106</v>
      </c>
      <c r="B28" s="160">
        <f>IF('Electrical Consmp.'!C43="","",'Electrical Consmp.'!C43)</f>
        <v>1873</v>
      </c>
      <c r="C28" s="160">
        <f>IF('Electrical Consmp.'!D43="","",'Electrical Consmp.'!D43)</f>
        <v>2273</v>
      </c>
      <c r="D28" s="160">
        <f>IF('Electrical Consmp.'!E43="","",'Electrical Consmp.'!E43)</f>
        <v>2436</v>
      </c>
      <c r="E28" s="160">
        <f>IF('Electrical Consmp.'!F43="","",'Electrical Consmp.'!F43)</f>
        <v>3214</v>
      </c>
      <c r="F28" s="160">
        <f>IF('Electrical Consmp.'!G43="","",'Electrical Consmp.'!G43)</f>
        <v>2853</v>
      </c>
      <c r="G28" s="160">
        <f>IF('Electrical Consmp.'!H43="","",'Electrical Consmp.'!H43)</f>
        <v>3226</v>
      </c>
      <c r="H28" s="160">
        <f>IF('Electrical Consmp.'!I43="","",'Electrical Consmp.'!I43)</f>
        <v>3270</v>
      </c>
      <c r="I28" s="160">
        <f>IF('Electrical Consmp.'!J43="","",'Electrical Consmp.'!J43)</f>
        <v>3062</v>
      </c>
      <c r="J28" s="160">
        <f>IF('Electrical Consmp.'!K43="","",'Electrical Consmp.'!K43)</f>
        <v>3427</v>
      </c>
      <c r="K28" s="160" t="str">
        <f>IF('Electrical Consmp.'!L43="","",'Electrical Consmp.'!L43)</f>
        <v/>
      </c>
      <c r="L28" s="160" t="str">
        <f>IF('Electrical Consmp.'!M43="","",'Electrical Consmp.'!M43)</f>
        <v/>
      </c>
      <c r="M28" s="160" t="str">
        <f>IF('Electrical Consmp.'!N43="","",'Electrical Consmp.'!N43)</f>
        <v/>
      </c>
      <c r="N28" s="160">
        <f t="shared" si="0"/>
        <v>25634</v>
      </c>
      <c r="O28" s="160">
        <f t="shared" si="1"/>
        <v>2848.2222222222222</v>
      </c>
    </row>
    <row r="29" spans="1:15" x14ac:dyDescent="0.25">
      <c r="A29" t="s">
        <v>108</v>
      </c>
      <c r="B29" s="160">
        <f>IF('Electrical Consmp.'!C49="","",'Electrical Consmp.'!C49)</f>
        <v>3548</v>
      </c>
      <c r="C29" s="160">
        <f>IF('Electrical Consmp.'!D49="","",'Electrical Consmp.'!D49)</f>
        <v>4827</v>
      </c>
      <c r="D29" s="160">
        <f>IF('Electrical Consmp.'!E49="","",'Electrical Consmp.'!E49)</f>
        <v>5086</v>
      </c>
      <c r="E29" s="160">
        <f>IF('Electrical Consmp.'!F49="","",'Electrical Consmp.'!F49)</f>
        <v>5320</v>
      </c>
      <c r="F29" s="160">
        <f>IF('Electrical Consmp.'!G49="","",'Electrical Consmp.'!G49)</f>
        <v>4331</v>
      </c>
      <c r="G29" s="160">
        <f>IF('Electrical Consmp.'!H49="","",'Electrical Consmp.'!H49)</f>
        <v>5754</v>
      </c>
      <c r="H29" s="160">
        <f>IF('Electrical Consmp.'!I49="","",'Electrical Consmp.'!I49)</f>
        <v>7480</v>
      </c>
      <c r="I29" s="160">
        <f>IF('Electrical Consmp.'!J49="","",'Electrical Consmp.'!J49)</f>
        <v>5901</v>
      </c>
      <c r="J29" s="160" t="str">
        <f>IF('Electrical Consmp.'!K49="","",'Electrical Consmp.'!K49)</f>
        <v/>
      </c>
      <c r="K29" s="160" t="str">
        <f>IF('Electrical Consmp.'!L49="","",'Electrical Consmp.'!L49)</f>
        <v/>
      </c>
      <c r="L29" s="160" t="str">
        <f>IF('Electrical Consmp.'!M49="","",'Electrical Consmp.'!M49)</f>
        <v/>
      </c>
      <c r="M29" s="160" t="str">
        <f>IF('Electrical Consmp.'!N49="","",'Electrical Consmp.'!N49)</f>
        <v/>
      </c>
      <c r="N29" s="160">
        <f t="shared" si="0"/>
        <v>42247</v>
      </c>
      <c r="O29" s="160">
        <f t="shared" si="1"/>
        <v>5280.875</v>
      </c>
    </row>
    <row r="30" spans="1:15" x14ac:dyDescent="0.25">
      <c r="A30" t="s">
        <v>110</v>
      </c>
      <c r="B30" s="160">
        <f>IF('Electrical Consmp.'!C55="","",'Electrical Consmp.'!C55)</f>
        <v>2616</v>
      </c>
      <c r="C30" s="160">
        <f>IF('Electrical Consmp.'!D55="","",'Electrical Consmp.'!D55)</f>
        <v>3235</v>
      </c>
      <c r="D30" s="160">
        <f>IF('Electrical Consmp.'!E55="","",'Electrical Consmp.'!E55)</f>
        <v>4519</v>
      </c>
      <c r="E30" s="160">
        <f>IF('Electrical Consmp.'!F55="","",'Electrical Consmp.'!F55)</f>
        <v>4456</v>
      </c>
      <c r="F30" s="160">
        <f>IF('Electrical Consmp.'!G55="","",'Electrical Consmp.'!G55)</f>
        <v>3614</v>
      </c>
      <c r="G30" s="160">
        <f>IF('Electrical Consmp.'!H55="","",'Electrical Consmp.'!H55)</f>
        <v>5666</v>
      </c>
      <c r="H30" s="160">
        <f>IF('Electrical Consmp.'!I55="","",'Electrical Consmp.'!I55)</f>
        <v>5226</v>
      </c>
      <c r="I30" s="160">
        <f>IF('Electrical Consmp.'!J55="","",'Electrical Consmp.'!J55)</f>
        <v>4200</v>
      </c>
      <c r="J30" s="160">
        <f>IF('Electrical Consmp.'!K55="","",'Electrical Consmp.'!K55)</f>
        <v>3089</v>
      </c>
      <c r="K30" s="160" t="str">
        <f>IF('Electrical Consmp.'!L55="","",'Electrical Consmp.'!L55)</f>
        <v/>
      </c>
      <c r="L30" s="160" t="str">
        <f>IF('Electrical Consmp.'!M55="","",'Electrical Consmp.'!M55)</f>
        <v/>
      </c>
      <c r="M30" s="160" t="str">
        <f>IF('Electrical Consmp.'!N55="","",'Electrical Consmp.'!N55)</f>
        <v/>
      </c>
      <c r="N30" s="160">
        <f t="shared" si="0"/>
        <v>36621</v>
      </c>
      <c r="O30" s="160">
        <f t="shared" si="1"/>
        <v>4069</v>
      </c>
    </row>
    <row r="31" spans="1:15" x14ac:dyDescent="0.25">
      <c r="A31" t="s">
        <v>112</v>
      </c>
      <c r="B31" s="160">
        <f>IF('Electrical Consmp.'!C61="","",'Electrical Consmp.'!C61)</f>
        <v>12593</v>
      </c>
      <c r="C31" s="160">
        <f>IF('Electrical Consmp.'!D61="","",'Electrical Consmp.'!D61)</f>
        <v>12752</v>
      </c>
      <c r="D31" s="160">
        <f>IF('Electrical Consmp.'!E61="","",'Electrical Consmp.'!E61)</f>
        <v>8431</v>
      </c>
      <c r="E31" s="160">
        <f>IF('Electrical Consmp.'!F61="","",'Electrical Consmp.'!F61)</f>
        <v>8840</v>
      </c>
      <c r="F31" s="160">
        <f>IF('Electrical Consmp.'!G61="","",'Electrical Consmp.'!G61)</f>
        <v>4819</v>
      </c>
      <c r="G31" s="160">
        <f>IF('Electrical Consmp.'!H61="","",'Electrical Consmp.'!H61)</f>
        <v>8107</v>
      </c>
      <c r="H31" s="160">
        <f>IF('Electrical Consmp.'!I61="","",'Electrical Consmp.'!I61)</f>
        <v>9271</v>
      </c>
      <c r="I31" s="160">
        <f>IF('Electrical Consmp.'!J61="","",'Electrical Consmp.'!J61)</f>
        <v>9715</v>
      </c>
      <c r="J31" s="160">
        <f>IF('Electrical Consmp.'!K61="","",'Electrical Consmp.'!K61)</f>
        <v>9252</v>
      </c>
      <c r="K31" s="160" t="str">
        <f>IF('Electrical Consmp.'!L61="","",'Electrical Consmp.'!L61)</f>
        <v/>
      </c>
      <c r="L31" s="160" t="str">
        <f>IF('Electrical Consmp.'!M61="","",'Electrical Consmp.'!M61)</f>
        <v/>
      </c>
      <c r="M31" s="160" t="str">
        <f>IF('Electrical Consmp.'!N61="","",'Electrical Consmp.'!N61)</f>
        <v/>
      </c>
      <c r="N31" s="160">
        <f t="shared" si="0"/>
        <v>83780</v>
      </c>
      <c r="O31" s="160">
        <f t="shared" si="1"/>
        <v>9308.8888888888887</v>
      </c>
    </row>
    <row r="32" spans="1:15" x14ac:dyDescent="0.25">
      <c r="A32" s="526" t="s">
        <v>9</v>
      </c>
      <c r="B32" s="527">
        <f t="shared" ref="B32:O32" si="2">IF(COUNT(B22:B31)=0,"",SUM(B22:B31))</f>
        <v>38530</v>
      </c>
      <c r="C32" s="527">
        <f t="shared" si="2"/>
        <v>42367</v>
      </c>
      <c r="D32" s="527">
        <f t="shared" si="2"/>
        <v>40774</v>
      </c>
      <c r="E32" s="527">
        <f t="shared" si="2"/>
        <v>47475</v>
      </c>
      <c r="F32" s="527">
        <f t="shared" si="2"/>
        <v>33039</v>
      </c>
      <c r="G32" s="527">
        <f t="shared" si="2"/>
        <v>58080</v>
      </c>
      <c r="H32" s="527">
        <f t="shared" si="2"/>
        <v>61338</v>
      </c>
      <c r="I32" s="527">
        <f t="shared" si="2"/>
        <v>58854</v>
      </c>
      <c r="J32" s="527">
        <f t="shared" si="2"/>
        <v>20775</v>
      </c>
      <c r="K32" s="527" t="str">
        <f t="shared" si="2"/>
        <v/>
      </c>
      <c r="L32" s="527" t="str">
        <f t="shared" si="2"/>
        <v/>
      </c>
      <c r="M32" s="527" t="str">
        <f t="shared" si="2"/>
        <v/>
      </c>
      <c r="N32" s="527">
        <f t="shared" si="2"/>
        <v>401232</v>
      </c>
      <c r="O32" s="527">
        <f t="shared" si="2"/>
        <v>47617.25</v>
      </c>
    </row>
    <row r="33" spans="1:15" x14ac:dyDescent="0.25">
      <c r="A33" s="528" t="s">
        <v>599</v>
      </c>
      <c r="B33" s="529">
        <f t="shared" ref="B33:M33" si="3">COUNT(B22:B31)</f>
        <v>10</v>
      </c>
      <c r="C33" s="529">
        <f t="shared" si="3"/>
        <v>10</v>
      </c>
      <c r="D33" s="529">
        <f t="shared" si="3"/>
        <v>10</v>
      </c>
      <c r="E33" s="529">
        <f t="shared" si="3"/>
        <v>10</v>
      </c>
      <c r="F33" s="529">
        <f t="shared" si="3"/>
        <v>10</v>
      </c>
      <c r="G33" s="529">
        <f t="shared" si="3"/>
        <v>10</v>
      </c>
      <c r="H33" s="529">
        <f t="shared" si="3"/>
        <v>10</v>
      </c>
      <c r="I33" s="529">
        <f t="shared" si="3"/>
        <v>10</v>
      </c>
      <c r="J33" s="529">
        <f t="shared" si="3"/>
        <v>5</v>
      </c>
      <c r="K33" s="529">
        <f t="shared" si="3"/>
        <v>0</v>
      </c>
      <c r="L33" s="529">
        <f t="shared" si="3"/>
        <v>0</v>
      </c>
      <c r="M33" s="529">
        <f t="shared" si="3"/>
        <v>0</v>
      </c>
      <c r="N33" s="529">
        <f>COUNT(B32:M32)</f>
        <v>9</v>
      </c>
    </row>
    <row r="35" spans="1:15" x14ac:dyDescent="0.25">
      <c r="A35" s="525" t="s">
        <v>600</v>
      </c>
    </row>
    <row r="36" spans="1:15" ht="25.5" x14ac:dyDescent="0.25">
      <c r="A36" s="523" t="s">
        <v>36</v>
      </c>
      <c r="B36" s="523" t="s">
        <v>576</v>
      </c>
      <c r="C36" s="523" t="s">
        <v>578</v>
      </c>
      <c r="D36" s="523" t="s">
        <v>580</v>
      </c>
      <c r="E36" s="523" t="s">
        <v>582</v>
      </c>
      <c r="F36" s="523" t="s">
        <v>584</v>
      </c>
      <c r="G36" s="523" t="s">
        <v>586</v>
      </c>
      <c r="H36" s="523" t="s">
        <v>588</v>
      </c>
      <c r="I36" s="523" t="s">
        <v>7</v>
      </c>
      <c r="J36" s="523" t="s">
        <v>591</v>
      </c>
      <c r="K36" s="523" t="s">
        <v>593</v>
      </c>
      <c r="L36" s="523" t="s">
        <v>595</v>
      </c>
      <c r="M36" s="523" t="s">
        <v>596</v>
      </c>
      <c r="N36" s="523" t="s">
        <v>574</v>
      </c>
      <c r="O36" s="523" t="s">
        <v>598</v>
      </c>
    </row>
    <row r="37" spans="1:15" x14ac:dyDescent="0.25">
      <c r="A37" t="s">
        <v>85</v>
      </c>
      <c r="B37" s="160">
        <f>IF('Electrical Consmp.'!C5="","",'Electrical Consmp.'!C5)</f>
        <v>138780</v>
      </c>
      <c r="C37" s="160">
        <f>IF('Electrical Consmp.'!D5="","",'Electrical Consmp.'!D5)</f>
        <v>169170</v>
      </c>
      <c r="D37" s="160">
        <f>IF('Electrical Consmp.'!E5="","",'Electrical Consmp.'!E5)</f>
        <v>187880</v>
      </c>
      <c r="E37" s="160">
        <f>IF('Electrical Consmp.'!F5="","",'Electrical Consmp.'!F5)</f>
        <v>215190</v>
      </c>
      <c r="F37" s="160">
        <f>IF('Electrical Consmp.'!G5="","",'Electrical Consmp.'!G5)</f>
        <v>160300</v>
      </c>
      <c r="G37" s="160">
        <f>IF('Electrical Consmp.'!H5="","",'Electrical Consmp.'!H5)</f>
        <v>248550</v>
      </c>
      <c r="H37" s="160">
        <f>IF('Electrical Consmp.'!I5="","",'Electrical Consmp.'!I5)</f>
        <v>231650</v>
      </c>
      <c r="I37" s="160">
        <f>IF('Electrical Consmp.'!J5="","",'Electrical Consmp.'!J5)</f>
        <v>242730</v>
      </c>
      <c r="J37" s="160" t="str">
        <f>IF('Electrical Consmp.'!K5="","",'Electrical Consmp.'!K5)</f>
        <v/>
      </c>
      <c r="K37" s="160" t="str">
        <f>IF('Electrical Consmp.'!L5="","",'Electrical Consmp.'!L5)</f>
        <v/>
      </c>
      <c r="L37" s="160" t="str">
        <f>IF('Electrical Consmp.'!M5="","",'Electrical Consmp.'!M5)</f>
        <v/>
      </c>
      <c r="M37" s="160" t="str">
        <f>IF('Electrical Consmp.'!N5="","",'Electrical Consmp.'!N5)</f>
        <v/>
      </c>
      <c r="N37" s="160">
        <f t="shared" ref="N37:N46" si="4">IF(COUNT(B37:M37)=0,"",SUM(B37:M37))</f>
        <v>1594250</v>
      </c>
      <c r="O37" s="160">
        <f t="shared" ref="O37:O46" si="5">IF(COUNT(B37:M37)=0,"",AVERAGE(B37:M37))</f>
        <v>199281.25</v>
      </c>
    </row>
    <row r="38" spans="1:15" x14ac:dyDescent="0.25">
      <c r="A38" t="s">
        <v>91</v>
      </c>
      <c r="B38" s="160">
        <f>IF('Electrical Consmp.'!C11="","",'Electrical Consmp.'!C11)</f>
        <v>24771</v>
      </c>
      <c r="C38" s="160">
        <f>IF('Electrical Consmp.'!D11="","",'Electrical Consmp.'!D11)</f>
        <v>29093</v>
      </c>
      <c r="D38" s="160">
        <f>IF('Electrical Consmp.'!E11="","",'Electrical Consmp.'!E11)</f>
        <v>25707</v>
      </c>
      <c r="E38" s="160">
        <f>IF('Electrical Consmp.'!F11="","",'Electrical Consmp.'!F11)</f>
        <v>34139</v>
      </c>
      <c r="F38" s="160">
        <f>IF('Electrical Consmp.'!G11="","",'Electrical Consmp.'!G11)</f>
        <v>24188</v>
      </c>
      <c r="G38" s="160">
        <f>IF('Electrical Consmp.'!H11="","",'Electrical Consmp.'!H11)</f>
        <v>24045</v>
      </c>
      <c r="H38" s="160">
        <f>IF('Electrical Consmp.'!I11="","",'Electrical Consmp.'!I11)</f>
        <v>38889</v>
      </c>
      <c r="I38" s="160">
        <f>IF('Electrical Consmp.'!J11="","",'Electrical Consmp.'!J11)</f>
        <v>41583</v>
      </c>
      <c r="J38" s="160">
        <f>IF('Electrical Consmp.'!K11="","",'Electrical Consmp.'!K11)</f>
        <v>43607</v>
      </c>
      <c r="K38" s="160" t="str">
        <f>IF('Electrical Consmp.'!L11="","",'Electrical Consmp.'!L11)</f>
        <v/>
      </c>
      <c r="L38" s="160" t="str">
        <f>IF('Electrical Consmp.'!M11="","",'Electrical Consmp.'!M11)</f>
        <v/>
      </c>
      <c r="M38" s="160" t="str">
        <f>IF('Electrical Consmp.'!N11="","",'Electrical Consmp.'!N11)</f>
        <v/>
      </c>
      <c r="N38" s="160">
        <f t="shared" si="4"/>
        <v>286022</v>
      </c>
      <c r="O38" s="160">
        <f t="shared" si="5"/>
        <v>31780.222222222223</v>
      </c>
    </row>
    <row r="39" spans="1:15" x14ac:dyDescent="0.25">
      <c r="A39" t="s">
        <v>93</v>
      </c>
      <c r="B39" s="160">
        <f>IF('Electrical Consmp.'!C17="","",'Electrical Consmp.'!C17)</f>
        <v>19601</v>
      </c>
      <c r="C39" s="160">
        <f>IF('Electrical Consmp.'!D17="","",'Electrical Consmp.'!D17)</f>
        <v>17021</v>
      </c>
      <c r="D39" s="160">
        <f>IF('Electrical Consmp.'!E17="","",'Electrical Consmp.'!E17)</f>
        <v>22189</v>
      </c>
      <c r="E39" s="160">
        <f>IF('Electrical Consmp.'!F17="","",'Electrical Consmp.'!F17)</f>
        <v>27504</v>
      </c>
      <c r="F39" s="160">
        <f>IF('Electrical Consmp.'!G17="","",'Electrical Consmp.'!G17)</f>
        <v>10224</v>
      </c>
      <c r="G39" s="160">
        <f>IF('Electrical Consmp.'!H17="","",'Electrical Consmp.'!H17)</f>
        <v>22056</v>
      </c>
      <c r="H39" s="160">
        <f>IF('Electrical Consmp.'!I17="","",'Electrical Consmp.'!I17)</f>
        <v>44149</v>
      </c>
      <c r="I39" s="160">
        <f>IF('Electrical Consmp.'!J17="","",'Electrical Consmp.'!J17)</f>
        <v>46165</v>
      </c>
      <c r="J39" s="160" t="str">
        <f>IF('Electrical Consmp.'!K17="","",'Electrical Consmp.'!K17)</f>
        <v/>
      </c>
      <c r="K39" s="160" t="str">
        <f>IF('Electrical Consmp.'!L17="","",'Electrical Consmp.'!L17)</f>
        <v/>
      </c>
      <c r="L39" s="160" t="str">
        <f>IF('Electrical Consmp.'!M17="","",'Electrical Consmp.'!M17)</f>
        <v/>
      </c>
      <c r="M39" s="160" t="str">
        <f>IF('Electrical Consmp.'!N17="","",'Electrical Consmp.'!N17)</f>
        <v/>
      </c>
      <c r="N39" s="160">
        <f t="shared" si="4"/>
        <v>208909</v>
      </c>
      <c r="O39" s="160">
        <f t="shared" si="5"/>
        <v>26113.625</v>
      </c>
    </row>
    <row r="40" spans="1:15" x14ac:dyDescent="0.25">
      <c r="A40" t="s">
        <v>98</v>
      </c>
      <c r="B40" s="160">
        <f>IF('Electrical Consmp.'!C24="","",'Electrical Consmp.'!C24)</f>
        <v>16587</v>
      </c>
      <c r="C40" s="160">
        <f>IF('Electrical Consmp.'!D24="","",'Electrical Consmp.'!D24)</f>
        <v>15540</v>
      </c>
      <c r="D40" s="160">
        <f>IF('Electrical Consmp.'!E24="","",'Electrical Consmp.'!E24)</f>
        <v>20966</v>
      </c>
      <c r="E40" s="160">
        <f>IF('Electrical Consmp.'!F24="","",'Electrical Consmp.'!F24)</f>
        <v>29893</v>
      </c>
      <c r="F40" s="160">
        <f>IF('Electrical Consmp.'!G24="","",'Electrical Consmp.'!G24)</f>
        <v>32910</v>
      </c>
      <c r="G40" s="160">
        <f>IF('Electrical Consmp.'!H24="","",'Electrical Consmp.'!H24)</f>
        <v>50078</v>
      </c>
      <c r="H40" s="160">
        <f>IF('Electrical Consmp.'!I24="","",'Electrical Consmp.'!I24)</f>
        <v>40421</v>
      </c>
      <c r="I40" s="160">
        <f>IF('Electrical Consmp.'!J24="","",'Electrical Consmp.'!J24)</f>
        <v>33765</v>
      </c>
      <c r="J40" s="160" t="str">
        <f>IF('Electrical Consmp.'!K24="","",'Electrical Consmp.'!K24)</f>
        <v/>
      </c>
      <c r="K40" s="160" t="str">
        <f>IF('Electrical Consmp.'!L24="","",'Electrical Consmp.'!L24)</f>
        <v/>
      </c>
      <c r="L40" s="160" t="str">
        <f>IF('Electrical Consmp.'!M24="","",'Electrical Consmp.'!M24)</f>
        <v/>
      </c>
      <c r="M40" s="160" t="str">
        <f>IF('Electrical Consmp.'!N24="","",'Electrical Consmp.'!N24)</f>
        <v/>
      </c>
      <c r="N40" s="160">
        <f t="shared" si="4"/>
        <v>240160</v>
      </c>
      <c r="O40" s="160">
        <f t="shared" si="5"/>
        <v>30020</v>
      </c>
    </row>
    <row r="41" spans="1:15" x14ac:dyDescent="0.25">
      <c r="A41" t="s">
        <v>100</v>
      </c>
      <c r="B41" s="160">
        <f>IF('Electrical Consmp.'!C31="","",'Electrical Consmp.'!C31)</f>
        <v>0</v>
      </c>
      <c r="C41" s="160">
        <f>IF('Electrical Consmp.'!D31="","",'Electrical Consmp.'!D31)</f>
        <v>0</v>
      </c>
      <c r="D41" s="160">
        <f>IF('Electrical Consmp.'!E31="","",'Electrical Consmp.'!E31)</f>
        <v>0</v>
      </c>
      <c r="E41" s="160">
        <f>IF('Electrical Consmp.'!F31="","",'Electrical Consmp.'!F31)</f>
        <v>0</v>
      </c>
      <c r="F41" s="160">
        <f>IF('Electrical Consmp.'!G31="","",'Electrical Consmp.'!G31)</f>
        <v>0</v>
      </c>
      <c r="G41" s="160">
        <f>IF('Electrical Consmp.'!H31="","",'Electrical Consmp.'!H31)</f>
        <v>9906</v>
      </c>
      <c r="H41" s="160">
        <f>IF('Electrical Consmp.'!I31="","",'Electrical Consmp.'!I31)</f>
        <v>8931</v>
      </c>
      <c r="I41" s="160">
        <f>IF('Electrical Consmp.'!J31="","",'Electrical Consmp.'!J31)</f>
        <v>6492</v>
      </c>
      <c r="J41" s="160" t="str">
        <f>IF('Electrical Consmp.'!K31="","",'Electrical Consmp.'!K31)</f>
        <v/>
      </c>
      <c r="K41" s="160" t="str">
        <f>IF('Electrical Consmp.'!L31="","",'Electrical Consmp.'!L31)</f>
        <v/>
      </c>
      <c r="L41" s="160" t="str">
        <f>IF('Electrical Consmp.'!M31="","",'Electrical Consmp.'!M31)</f>
        <v/>
      </c>
      <c r="M41" s="160" t="str">
        <f>IF('Electrical Consmp.'!N31="","",'Electrical Consmp.'!N31)</f>
        <v/>
      </c>
      <c r="N41" s="160">
        <f t="shared" si="4"/>
        <v>25329</v>
      </c>
      <c r="O41" s="160">
        <f t="shared" si="5"/>
        <v>3166.125</v>
      </c>
    </row>
    <row r="42" spans="1:15" x14ac:dyDescent="0.25">
      <c r="A42" t="s">
        <v>224</v>
      </c>
      <c r="B42" s="160">
        <f>IF('Electrical Consmp.'!C38="","",'Electrical Consmp.'!C38)</f>
        <v>9143</v>
      </c>
      <c r="C42" s="160">
        <f>IF('Electrical Consmp.'!D38="","",'Electrical Consmp.'!D38)</f>
        <v>11632</v>
      </c>
      <c r="D42" s="160">
        <f>IF('Electrical Consmp.'!E38="","",'Electrical Consmp.'!E38)</f>
        <v>12149</v>
      </c>
      <c r="E42" s="160">
        <f>IF('Electrical Consmp.'!F38="","",'Electrical Consmp.'!F38)</f>
        <v>9142</v>
      </c>
      <c r="F42" s="160">
        <f>IF('Electrical Consmp.'!G38="","",'Electrical Consmp.'!G38)</f>
        <v>6147</v>
      </c>
      <c r="G42" s="160">
        <f>IF('Electrical Consmp.'!H38="","",'Electrical Consmp.'!H38)</f>
        <v>13295</v>
      </c>
      <c r="H42" s="160">
        <f>IF('Electrical Consmp.'!I38="","",'Electrical Consmp.'!I38)</f>
        <v>14805</v>
      </c>
      <c r="I42" s="160">
        <f>IF('Electrical Consmp.'!J38="","",'Electrical Consmp.'!J38)</f>
        <v>15043</v>
      </c>
      <c r="J42" s="160">
        <f>IF('Electrical Consmp.'!K38="","",'Electrical Consmp.'!K38)</f>
        <v>13538</v>
      </c>
      <c r="K42" s="160" t="str">
        <f>IF('Electrical Consmp.'!L38="","",'Electrical Consmp.'!L38)</f>
        <v/>
      </c>
      <c r="L42" s="160" t="str">
        <f>IF('Electrical Consmp.'!M38="","",'Electrical Consmp.'!M38)</f>
        <v/>
      </c>
      <c r="M42" s="160" t="str">
        <f>IF('Electrical Consmp.'!N38="","",'Electrical Consmp.'!N38)</f>
        <v/>
      </c>
      <c r="N42" s="160">
        <f t="shared" si="4"/>
        <v>104894</v>
      </c>
      <c r="O42" s="160">
        <f t="shared" si="5"/>
        <v>11654.888888888889</v>
      </c>
    </row>
    <row r="43" spans="1:15" x14ac:dyDescent="0.25">
      <c r="A43" t="s">
        <v>106</v>
      </c>
      <c r="B43" s="160">
        <f>IF('Electrical Consmp.'!C44="","",'Electrical Consmp.'!C44)</f>
        <v>22078</v>
      </c>
      <c r="C43" s="160">
        <f>IF('Electrical Consmp.'!D44="","",'Electrical Consmp.'!D44)</f>
        <v>25744</v>
      </c>
      <c r="D43" s="160">
        <f>IF('Electrical Consmp.'!E44="","",'Electrical Consmp.'!E44)</f>
        <v>28239</v>
      </c>
      <c r="E43" s="160">
        <f>IF('Electrical Consmp.'!F44="","",'Electrical Consmp.'!F44)</f>
        <v>36550</v>
      </c>
      <c r="F43" s="160">
        <f>IF('Electrical Consmp.'!G44="","",'Electrical Consmp.'!G44)</f>
        <v>32194</v>
      </c>
      <c r="G43" s="160">
        <f>IF('Electrical Consmp.'!H44="","",'Electrical Consmp.'!H44)</f>
        <v>37067</v>
      </c>
      <c r="H43" s="160">
        <f>IF('Electrical Consmp.'!I44="","",'Electrical Consmp.'!I44)</f>
        <v>37399</v>
      </c>
      <c r="I43" s="160">
        <f>IF('Electrical Consmp.'!J44="","",'Electrical Consmp.'!J44)</f>
        <v>35075</v>
      </c>
      <c r="J43" s="160">
        <f>IF('Electrical Consmp.'!K44="","",'Electrical Consmp.'!K44)</f>
        <v>38841</v>
      </c>
      <c r="K43" s="160" t="str">
        <f>IF('Electrical Consmp.'!L44="","",'Electrical Consmp.'!L44)</f>
        <v/>
      </c>
      <c r="L43" s="160" t="str">
        <f>IF('Electrical Consmp.'!M44="","",'Electrical Consmp.'!M44)</f>
        <v/>
      </c>
      <c r="M43" s="160" t="str">
        <f>IF('Electrical Consmp.'!N44="","",'Electrical Consmp.'!N44)</f>
        <v/>
      </c>
      <c r="N43" s="160">
        <f t="shared" si="4"/>
        <v>293187</v>
      </c>
      <c r="O43" s="160">
        <f t="shared" si="5"/>
        <v>32576.333333333332</v>
      </c>
    </row>
    <row r="44" spans="1:15" x14ac:dyDescent="0.25">
      <c r="A44" t="s">
        <v>108</v>
      </c>
      <c r="B44" s="160">
        <f>IF('Electrical Consmp.'!C50="","",'Electrical Consmp.'!C50)</f>
        <v>63259</v>
      </c>
      <c r="C44" s="160">
        <f>IF('Electrical Consmp.'!D50="","",'Electrical Consmp.'!D50)</f>
        <v>75296</v>
      </c>
      <c r="D44" s="160">
        <f>IF('Electrical Consmp.'!E50="","",'Electrical Consmp.'!E50)</f>
        <v>78616</v>
      </c>
      <c r="E44" s="160">
        <f>IF('Electrical Consmp.'!F50="","",'Electrical Consmp.'!F50)</f>
        <v>78945</v>
      </c>
      <c r="F44" s="160">
        <f>IF('Electrical Consmp.'!G50="","",'Electrical Consmp.'!G50)</f>
        <v>61458</v>
      </c>
      <c r="G44" s="160">
        <f>IF('Electrical Consmp.'!H50="","",'Electrical Consmp.'!H50)</f>
        <v>83750</v>
      </c>
      <c r="H44" s="160">
        <f>IF('Electrical Consmp.'!I50="","",'Electrical Consmp.'!I50)</f>
        <v>99704</v>
      </c>
      <c r="I44" s="160">
        <f>IF('Electrical Consmp.'!J50="","",'Electrical Consmp.'!J50)</f>
        <v>85110</v>
      </c>
      <c r="J44" s="160" t="str">
        <f>IF('Electrical Consmp.'!K50="","",'Electrical Consmp.'!K50)</f>
        <v/>
      </c>
      <c r="K44" s="160" t="str">
        <f>IF('Electrical Consmp.'!L50="","",'Electrical Consmp.'!L50)</f>
        <v/>
      </c>
      <c r="L44" s="160" t="str">
        <f>IF('Electrical Consmp.'!M50="","",'Electrical Consmp.'!M50)</f>
        <v/>
      </c>
      <c r="M44" s="160" t="str">
        <f>IF('Electrical Consmp.'!N50="","",'Electrical Consmp.'!N50)</f>
        <v/>
      </c>
      <c r="N44" s="160">
        <f t="shared" si="4"/>
        <v>626138</v>
      </c>
      <c r="O44" s="160">
        <f t="shared" si="5"/>
        <v>78267.25</v>
      </c>
    </row>
    <row r="45" spans="1:15" x14ac:dyDescent="0.25">
      <c r="A45" t="s">
        <v>110</v>
      </c>
      <c r="B45" s="160">
        <f>IF('Electrical Consmp.'!C56="","",'Electrical Consmp.'!C56)</f>
        <v>33010</v>
      </c>
      <c r="C45" s="160">
        <f>IF('Electrical Consmp.'!D56="","",'Electrical Consmp.'!D56)</f>
        <v>39842</v>
      </c>
      <c r="D45" s="160">
        <f>IF('Electrical Consmp.'!E56="","",'Electrical Consmp.'!E56)</f>
        <v>54358</v>
      </c>
      <c r="E45" s="160">
        <f>IF('Electrical Consmp.'!F56="","",'Electrical Consmp.'!F56)</f>
        <v>53596</v>
      </c>
      <c r="F45" s="160">
        <f>IF('Electrical Consmp.'!G56="","",'Electrical Consmp.'!G56)</f>
        <v>38750</v>
      </c>
      <c r="G45" s="160">
        <f>IF('Electrical Consmp.'!H56="","",'Electrical Consmp.'!H56)</f>
        <v>66835</v>
      </c>
      <c r="H45" s="160">
        <f>IF('Electrical Consmp.'!I56="","",'Electrical Consmp.'!I56)</f>
        <v>68262</v>
      </c>
      <c r="I45" s="160">
        <f>IF('Electrical Consmp.'!J56="","",'Electrical Consmp.'!J56)</f>
        <v>50662</v>
      </c>
      <c r="J45" s="160">
        <f>IF('Electrical Consmp.'!K56="","",'Electrical Consmp.'!K56)</f>
        <v>37962</v>
      </c>
      <c r="K45" s="160" t="str">
        <f>IF('Electrical Consmp.'!L56="","",'Electrical Consmp.'!L56)</f>
        <v/>
      </c>
      <c r="L45" s="160" t="str">
        <f>IF('Electrical Consmp.'!M56="","",'Electrical Consmp.'!M56)</f>
        <v/>
      </c>
      <c r="M45" s="160" t="str">
        <f>IF('Electrical Consmp.'!N56="","",'Electrical Consmp.'!N56)</f>
        <v/>
      </c>
      <c r="N45" s="160">
        <f t="shared" si="4"/>
        <v>443277</v>
      </c>
      <c r="O45" s="160">
        <f t="shared" si="5"/>
        <v>49253</v>
      </c>
    </row>
    <row r="46" spans="1:15" x14ac:dyDescent="0.25">
      <c r="A46" t="s">
        <v>112</v>
      </c>
      <c r="B46" s="160">
        <f>IF('Electrical Consmp.'!C62="","",'Electrical Consmp.'!C62)</f>
        <v>149994</v>
      </c>
      <c r="C46" s="160">
        <f>IF('Electrical Consmp.'!D62="","",'Electrical Consmp.'!D62)</f>
        <v>151920</v>
      </c>
      <c r="D46" s="160">
        <f>IF('Electrical Consmp.'!E62="","",'Electrical Consmp.'!E62)</f>
        <v>12040</v>
      </c>
      <c r="E46" s="160">
        <f>IF('Electrical Consmp.'!F62="","",'Electrical Consmp.'!F62)</f>
        <v>63091</v>
      </c>
      <c r="F46" s="160">
        <f>IF('Electrical Consmp.'!G62="","",'Electrical Consmp.'!G62)</f>
        <v>116411</v>
      </c>
      <c r="G46" s="160">
        <f>IF('Electrical Consmp.'!H62="","",'Electrical Consmp.'!H62)</f>
        <v>129165</v>
      </c>
      <c r="H46" s="160">
        <f>IF('Electrical Consmp.'!I62="","",'Electrical Consmp.'!I62)</f>
        <v>123948</v>
      </c>
      <c r="I46" s="160">
        <f>IF('Electrical Consmp.'!J62="","",'Electrical Consmp.'!J62)</f>
        <v>126848</v>
      </c>
      <c r="J46" s="160">
        <f>IF('Electrical Consmp.'!K62="","",'Electrical Consmp.'!K62)</f>
        <v>122290</v>
      </c>
      <c r="K46" s="160" t="str">
        <f>IF('Electrical Consmp.'!L62="","",'Electrical Consmp.'!L62)</f>
        <v/>
      </c>
      <c r="L46" s="160" t="str">
        <f>IF('Electrical Consmp.'!M62="","",'Electrical Consmp.'!M62)</f>
        <v/>
      </c>
      <c r="M46" s="160" t="str">
        <f>IF('Electrical Consmp.'!N62="","",'Electrical Consmp.'!N62)</f>
        <v/>
      </c>
      <c r="N46" s="160">
        <f t="shared" si="4"/>
        <v>995707</v>
      </c>
      <c r="O46" s="160">
        <f t="shared" si="5"/>
        <v>110634.11111111111</v>
      </c>
    </row>
    <row r="47" spans="1:15" x14ac:dyDescent="0.25">
      <c r="A47" s="526" t="s">
        <v>9</v>
      </c>
      <c r="B47" s="527">
        <f t="shared" ref="B47:O47" si="6">IF(COUNT(B37:B46)=0,"",SUM(B37:B46))</f>
        <v>477223</v>
      </c>
      <c r="C47" s="527">
        <f t="shared" si="6"/>
        <v>535258</v>
      </c>
      <c r="D47" s="527">
        <f t="shared" si="6"/>
        <v>442144</v>
      </c>
      <c r="E47" s="527">
        <f t="shared" si="6"/>
        <v>548050</v>
      </c>
      <c r="F47" s="527">
        <f t="shared" si="6"/>
        <v>482582</v>
      </c>
      <c r="G47" s="527">
        <f t="shared" si="6"/>
        <v>684747</v>
      </c>
      <c r="H47" s="527">
        <f t="shared" si="6"/>
        <v>708158</v>
      </c>
      <c r="I47" s="527">
        <f t="shared" si="6"/>
        <v>683473</v>
      </c>
      <c r="J47" s="527">
        <f t="shared" si="6"/>
        <v>256238</v>
      </c>
      <c r="K47" s="527" t="str">
        <f t="shared" si="6"/>
        <v/>
      </c>
      <c r="L47" s="527" t="str">
        <f t="shared" si="6"/>
        <v/>
      </c>
      <c r="M47" s="527" t="str">
        <f t="shared" si="6"/>
        <v/>
      </c>
      <c r="N47" s="527">
        <f t="shared" si="6"/>
        <v>4817873</v>
      </c>
      <c r="O47" s="527">
        <f t="shared" si="6"/>
        <v>572746.8055555555</v>
      </c>
    </row>
    <row r="48" spans="1:15" x14ac:dyDescent="0.25">
      <c r="A48" s="528" t="s">
        <v>599</v>
      </c>
      <c r="B48" s="529">
        <f t="shared" ref="B48:M48" si="7">COUNT(B37:B46)</f>
        <v>10</v>
      </c>
      <c r="C48" s="529">
        <f t="shared" si="7"/>
        <v>10</v>
      </c>
      <c r="D48" s="529">
        <f t="shared" si="7"/>
        <v>10</v>
      </c>
      <c r="E48" s="529">
        <f t="shared" si="7"/>
        <v>10</v>
      </c>
      <c r="F48" s="529">
        <f t="shared" si="7"/>
        <v>10</v>
      </c>
      <c r="G48" s="529">
        <f t="shared" si="7"/>
        <v>10</v>
      </c>
      <c r="H48" s="529">
        <f t="shared" si="7"/>
        <v>10</v>
      </c>
      <c r="I48" s="529">
        <f t="shared" si="7"/>
        <v>10</v>
      </c>
      <c r="J48" s="529">
        <f t="shared" si="7"/>
        <v>5</v>
      </c>
      <c r="K48" s="529">
        <f t="shared" si="7"/>
        <v>0</v>
      </c>
      <c r="L48" s="529">
        <f t="shared" si="7"/>
        <v>0</v>
      </c>
      <c r="M48" s="529">
        <f t="shared" si="7"/>
        <v>0</v>
      </c>
      <c r="N48" s="529">
        <f>COUNT(B47:M47)</f>
        <v>9</v>
      </c>
    </row>
    <row r="50" spans="1:15" x14ac:dyDescent="0.25">
      <c r="A50" s="525" t="s">
        <v>601</v>
      </c>
    </row>
    <row r="51" spans="1:15" ht="25.5" x14ac:dyDescent="0.25">
      <c r="A51" s="523" t="s">
        <v>36</v>
      </c>
      <c r="B51" s="523" t="s">
        <v>576</v>
      </c>
      <c r="C51" s="523" t="s">
        <v>578</v>
      </c>
      <c r="D51" s="523" t="s">
        <v>580</v>
      </c>
      <c r="E51" s="523" t="s">
        <v>582</v>
      </c>
      <c r="F51" s="523" t="s">
        <v>584</v>
      </c>
      <c r="G51" s="523" t="s">
        <v>586</v>
      </c>
      <c r="H51" s="523" t="s">
        <v>588</v>
      </c>
      <c r="I51" s="523" t="s">
        <v>7</v>
      </c>
      <c r="J51" s="523" t="s">
        <v>591</v>
      </c>
      <c r="K51" s="523" t="s">
        <v>593</v>
      </c>
      <c r="L51" s="523" t="s">
        <v>595</v>
      </c>
      <c r="M51" s="523" t="s">
        <v>596</v>
      </c>
      <c r="N51" s="523" t="s">
        <v>574</v>
      </c>
      <c r="O51" s="523" t="s">
        <v>598</v>
      </c>
    </row>
    <row r="52" spans="1:15" x14ac:dyDescent="0.25">
      <c r="A52" t="s">
        <v>85</v>
      </c>
      <c r="B52" s="160">
        <f>IF('Electrical Consmp.'!C7="","",'Electrical Consmp.'!C7)</f>
        <v>0</v>
      </c>
      <c r="C52" s="160">
        <f>IF('Electrical Consmp.'!D7="","",'Electrical Consmp.'!D7)</f>
        <v>0</v>
      </c>
      <c r="D52" s="160">
        <f>IF('Electrical Consmp.'!E7="","",'Electrical Consmp.'!E7)</f>
        <v>0</v>
      </c>
      <c r="E52" s="160">
        <f>IF('Electrical Consmp.'!F7="","",'Electrical Consmp.'!F7)</f>
        <v>0</v>
      </c>
      <c r="F52" s="160">
        <f>IF('Electrical Consmp.'!G7="","",'Electrical Consmp.'!G7)</f>
        <v>0</v>
      </c>
      <c r="G52" s="160">
        <f>IF('Electrical Consmp.'!H7="","",'Electrical Consmp.'!H7)</f>
        <v>0</v>
      </c>
      <c r="H52" s="160">
        <f>IF('Electrical Consmp.'!I7="","",'Electrical Consmp.'!I7)</f>
        <v>0</v>
      </c>
      <c r="I52" s="160">
        <f>IF('Electrical Consmp.'!J7="","",'Electrical Consmp.'!J7)</f>
        <v>0</v>
      </c>
      <c r="J52" s="160" t="str">
        <f>IF('Electrical Consmp.'!K7="","",'Electrical Consmp.'!K7)</f>
        <v/>
      </c>
      <c r="K52" s="160" t="str">
        <f>IF('Electrical Consmp.'!L7="","",'Electrical Consmp.'!L7)</f>
        <v/>
      </c>
      <c r="L52" s="160" t="str">
        <f>IF('Electrical Consmp.'!M7="","",'Electrical Consmp.'!M7)</f>
        <v/>
      </c>
      <c r="M52" s="160" t="str">
        <f>IF('Electrical Consmp.'!N7="","",'Electrical Consmp.'!N7)</f>
        <v/>
      </c>
      <c r="N52" s="160">
        <f t="shared" ref="N52:N61" si="8">IF(COUNT(B52:M52)=0,"",SUM(B52:M52))</f>
        <v>0</v>
      </c>
      <c r="O52" s="160">
        <f t="shared" ref="O52:O61" si="9">IF(COUNT(B52:M52)=0,"",AVERAGE(B52:M52))</f>
        <v>0</v>
      </c>
    </row>
    <row r="53" spans="1:15" x14ac:dyDescent="0.25">
      <c r="A53" t="s">
        <v>91</v>
      </c>
      <c r="B53" s="160">
        <f>IF('Electrical Consmp.'!C13="","",'Electrical Consmp.'!C13)</f>
        <v>0</v>
      </c>
      <c r="C53" s="160">
        <f>IF('Electrical Consmp.'!D13="","",'Electrical Consmp.'!D13)</f>
        <v>0</v>
      </c>
      <c r="D53" s="160">
        <f>IF('Electrical Consmp.'!E13="","",'Electrical Consmp.'!E13)</f>
        <v>0</v>
      </c>
      <c r="E53" s="160">
        <f>IF('Electrical Consmp.'!F13="","",'Electrical Consmp.'!F13)</f>
        <v>0</v>
      </c>
      <c r="F53" s="160">
        <f>IF('Electrical Consmp.'!G13="","",'Electrical Consmp.'!G13)</f>
        <v>0</v>
      </c>
      <c r="G53" s="160">
        <f>IF('Electrical Consmp.'!H13="","",'Electrical Consmp.'!H13)</f>
        <v>0</v>
      </c>
      <c r="H53" s="160">
        <f>IF('Electrical Consmp.'!I13="","",'Electrical Consmp.'!I13)</f>
        <v>0</v>
      </c>
      <c r="I53" s="160">
        <f>IF('Electrical Consmp.'!J13="","",'Electrical Consmp.'!J13)</f>
        <v>0</v>
      </c>
      <c r="J53" s="160">
        <f>IF('Electrical Consmp.'!K13="","",'Electrical Consmp.'!K13)</f>
        <v>0</v>
      </c>
      <c r="K53" s="160" t="str">
        <f>IF('Electrical Consmp.'!L13="","",'Electrical Consmp.'!L13)</f>
        <v/>
      </c>
      <c r="L53" s="160" t="str">
        <f>IF('Electrical Consmp.'!M13="","",'Electrical Consmp.'!M13)</f>
        <v/>
      </c>
      <c r="M53" s="160" t="str">
        <f>IF('Electrical Consmp.'!N13="","",'Electrical Consmp.'!N13)</f>
        <v/>
      </c>
      <c r="N53" s="160">
        <f t="shared" si="8"/>
        <v>0</v>
      </c>
      <c r="O53" s="160">
        <f t="shared" si="9"/>
        <v>0</v>
      </c>
    </row>
    <row r="54" spans="1:15" x14ac:dyDescent="0.25">
      <c r="A54" t="s">
        <v>93</v>
      </c>
      <c r="B54" s="160">
        <f>IF('Electrical Consmp.'!C19="","",'Electrical Consmp.'!C19)</f>
        <v>1829</v>
      </c>
      <c r="C54" s="160">
        <f>IF('Electrical Consmp.'!D19="","",'Electrical Consmp.'!D19)</f>
        <v>2464</v>
      </c>
      <c r="D54" s="160">
        <f>IF('Electrical Consmp.'!E19="","",'Electrical Consmp.'!E19)</f>
        <v>2982</v>
      </c>
      <c r="E54" s="160">
        <f>IF('Electrical Consmp.'!F19="","",'Electrical Consmp.'!F19)</f>
        <v>2965</v>
      </c>
      <c r="F54" s="160">
        <f>IF('Electrical Consmp.'!G19="","",'Electrical Consmp.'!G19)</f>
        <v>2826</v>
      </c>
      <c r="G54" s="160">
        <f>IF('Electrical Consmp.'!H19="","",'Electrical Consmp.'!H19)</f>
        <v>2617</v>
      </c>
      <c r="H54" s="160">
        <f>IF('Electrical Consmp.'!I19="","",'Electrical Consmp.'!I19)</f>
        <v>3348</v>
      </c>
      <c r="I54" s="160">
        <f>IF('Electrical Consmp.'!J19="","",'Electrical Consmp.'!J19)</f>
        <v>3594</v>
      </c>
      <c r="J54" s="160" t="str">
        <f>IF('Electrical Consmp.'!K19="","",'Electrical Consmp.'!K19)</f>
        <v/>
      </c>
      <c r="K54" s="160" t="str">
        <f>IF('Electrical Consmp.'!L19="","",'Electrical Consmp.'!L19)</f>
        <v/>
      </c>
      <c r="L54" s="160" t="str">
        <f>IF('Electrical Consmp.'!M19="","",'Electrical Consmp.'!M19)</f>
        <v/>
      </c>
      <c r="M54" s="160" t="str">
        <f>IF('Electrical Consmp.'!N19="","",'Electrical Consmp.'!N19)</f>
        <v/>
      </c>
      <c r="N54" s="160">
        <f t="shared" si="8"/>
        <v>22625</v>
      </c>
      <c r="O54" s="160">
        <f t="shared" si="9"/>
        <v>2828.125</v>
      </c>
    </row>
    <row r="55" spans="1:15" x14ac:dyDescent="0.25">
      <c r="A55" t="s">
        <v>98</v>
      </c>
      <c r="B55" s="160">
        <f>IF('Electrical Consmp.'!C26="","",'Electrical Consmp.'!C26)</f>
        <v>0</v>
      </c>
      <c r="C55" s="160">
        <f>IF('Electrical Consmp.'!D26="","",'Electrical Consmp.'!D26)</f>
        <v>0</v>
      </c>
      <c r="D55" s="160">
        <f>IF('Electrical Consmp.'!E26="","",'Electrical Consmp.'!E26)</f>
        <v>0</v>
      </c>
      <c r="E55" s="160">
        <f>IF('Electrical Consmp.'!F26="","",'Electrical Consmp.'!F26)</f>
        <v>0</v>
      </c>
      <c r="F55" s="160">
        <f>IF('Electrical Consmp.'!G26="","",'Electrical Consmp.'!G26)</f>
        <v>0</v>
      </c>
      <c r="G55" s="160">
        <f>IF('Electrical Consmp.'!H26="","",'Electrical Consmp.'!H26)</f>
        <v>0</v>
      </c>
      <c r="H55" s="160">
        <f>IF('Electrical Consmp.'!I26="","",'Electrical Consmp.'!I26)</f>
        <v>0</v>
      </c>
      <c r="I55" s="160">
        <f>IF('Electrical Consmp.'!J26="","",'Electrical Consmp.'!J26)</f>
        <v>0</v>
      </c>
      <c r="J55" s="160" t="str">
        <f>IF('Electrical Consmp.'!K26="","",'Electrical Consmp.'!K26)</f>
        <v/>
      </c>
      <c r="K55" s="160" t="str">
        <f>IF('Electrical Consmp.'!L26="","",'Electrical Consmp.'!L26)</f>
        <v/>
      </c>
      <c r="L55" s="160" t="str">
        <f>IF('Electrical Consmp.'!M26="","",'Electrical Consmp.'!M26)</f>
        <v/>
      </c>
      <c r="M55" s="160" t="str">
        <f>IF('Electrical Consmp.'!N26="","",'Electrical Consmp.'!N26)</f>
        <v/>
      </c>
      <c r="N55" s="160">
        <f t="shared" si="8"/>
        <v>0</v>
      </c>
      <c r="O55" s="160">
        <f t="shared" si="9"/>
        <v>0</v>
      </c>
    </row>
    <row r="56" spans="1:15" x14ac:dyDescent="0.25">
      <c r="A56" t="s">
        <v>100</v>
      </c>
      <c r="B56" s="160">
        <f>IF('Electrical Consmp.'!C33="","",'Electrical Consmp.'!C33)</f>
        <v>1215.3</v>
      </c>
      <c r="C56" s="160">
        <f>IF('Electrical Consmp.'!D33="","",'Electrical Consmp.'!D33)</f>
        <v>1061.5</v>
      </c>
      <c r="D56" s="160">
        <f>IF('Electrical Consmp.'!E33="","",'Electrical Consmp.'!E33)</f>
        <v>1071.8</v>
      </c>
      <c r="E56" s="160">
        <f>IF('Electrical Consmp.'!F33="","",'Electrical Consmp.'!F33)</f>
        <v>8483</v>
      </c>
      <c r="F56" s="160">
        <f>IF('Electrical Consmp.'!G33="","",'Electrical Consmp.'!G33)</f>
        <v>10107</v>
      </c>
      <c r="G56" s="160">
        <f>IF('Electrical Consmp.'!H33="","",'Electrical Consmp.'!H33)</f>
        <v>11913</v>
      </c>
      <c r="H56" s="160">
        <f>IF('Electrical Consmp.'!I33="","",'Electrical Consmp.'!I33)</f>
        <v>13477</v>
      </c>
      <c r="I56" s="160">
        <f>IF('Electrical Consmp.'!J33="","",'Electrical Consmp.'!J33)</f>
        <v>14795</v>
      </c>
      <c r="J56" s="160" t="str">
        <f>IF('Electrical Consmp.'!K33="","",'Electrical Consmp.'!K33)</f>
        <v/>
      </c>
      <c r="K56" s="160" t="str">
        <f>IF('Electrical Consmp.'!L33="","",'Electrical Consmp.'!L33)</f>
        <v/>
      </c>
      <c r="L56" s="160" t="str">
        <f>IF('Electrical Consmp.'!M33="","",'Electrical Consmp.'!M33)</f>
        <v/>
      </c>
      <c r="M56" s="160" t="str">
        <f>IF('Electrical Consmp.'!N33="","",'Electrical Consmp.'!N33)</f>
        <v/>
      </c>
      <c r="N56" s="160">
        <f t="shared" si="8"/>
        <v>62123.6</v>
      </c>
      <c r="O56" s="160">
        <f t="shared" si="9"/>
        <v>7765.45</v>
      </c>
    </row>
    <row r="57" spans="1:15" x14ac:dyDescent="0.25">
      <c r="A57" t="s">
        <v>224</v>
      </c>
      <c r="B57" s="160">
        <f>IF('Electrical Consmp.'!C40="","",'Electrical Consmp.'!C40)</f>
        <v>0</v>
      </c>
      <c r="C57" s="160">
        <f>IF('Electrical Consmp.'!D40="","",'Electrical Consmp.'!D40)</f>
        <v>0</v>
      </c>
      <c r="D57" s="160">
        <f>IF('Electrical Consmp.'!E40="","",'Electrical Consmp.'!E40)</f>
        <v>0</v>
      </c>
      <c r="E57" s="160">
        <f>IF('Electrical Consmp.'!F40="","",'Electrical Consmp.'!F40)</f>
        <v>0</v>
      </c>
      <c r="F57" s="160">
        <f>IF('Electrical Consmp.'!G40="","",'Electrical Consmp.'!G40)</f>
        <v>0</v>
      </c>
      <c r="G57" s="160">
        <f>IF('Electrical Consmp.'!H40="","",'Electrical Consmp.'!H40)</f>
        <v>0</v>
      </c>
      <c r="H57" s="160">
        <f>IF('Electrical Consmp.'!I40="","",'Electrical Consmp.'!I40)</f>
        <v>0</v>
      </c>
      <c r="I57" s="160">
        <f>IF('Electrical Consmp.'!J40="","",'Electrical Consmp.'!J40)</f>
        <v>0</v>
      </c>
      <c r="J57" s="160">
        <f>IF('Electrical Consmp.'!K40="","",'Electrical Consmp.'!K40)</f>
        <v>0</v>
      </c>
      <c r="K57" s="160" t="str">
        <f>IF('Electrical Consmp.'!L40="","",'Electrical Consmp.'!L40)</f>
        <v/>
      </c>
      <c r="L57" s="160" t="str">
        <f>IF('Electrical Consmp.'!M40="","",'Electrical Consmp.'!M40)</f>
        <v/>
      </c>
      <c r="M57" s="160" t="str">
        <f>IF('Electrical Consmp.'!N40="","",'Electrical Consmp.'!N40)</f>
        <v/>
      </c>
      <c r="N57" s="160">
        <f t="shared" si="8"/>
        <v>0</v>
      </c>
      <c r="O57" s="160">
        <f t="shared" si="9"/>
        <v>0</v>
      </c>
    </row>
    <row r="58" spans="1:15" x14ac:dyDescent="0.25">
      <c r="A58" t="s">
        <v>106</v>
      </c>
      <c r="B58" s="160">
        <f>IF('Electrical Consmp.'!C46="","",'Electrical Consmp.'!C46)</f>
        <v>0</v>
      </c>
      <c r="C58" s="160">
        <f>IF('Electrical Consmp.'!D46="","",'Electrical Consmp.'!D46)</f>
        <v>0</v>
      </c>
      <c r="D58" s="160">
        <f>IF('Electrical Consmp.'!E46="","",'Electrical Consmp.'!E46)</f>
        <v>0</v>
      </c>
      <c r="E58" s="160">
        <f>IF('Electrical Consmp.'!F46="","",'Electrical Consmp.'!F46)</f>
        <v>0</v>
      </c>
      <c r="F58" s="160">
        <f>IF('Electrical Consmp.'!G46="","",'Electrical Consmp.'!G46)</f>
        <v>0</v>
      </c>
      <c r="G58" s="160">
        <f>IF('Electrical Consmp.'!H46="","",'Electrical Consmp.'!H46)</f>
        <v>0</v>
      </c>
      <c r="H58" s="160">
        <f>IF('Electrical Consmp.'!I46="","",'Electrical Consmp.'!I46)</f>
        <v>0</v>
      </c>
      <c r="I58" s="160">
        <f>IF('Electrical Consmp.'!J46="","",'Electrical Consmp.'!J46)</f>
        <v>0</v>
      </c>
      <c r="J58" s="160">
        <f>IF('Electrical Consmp.'!K46="","",'Electrical Consmp.'!K46)</f>
        <v>0</v>
      </c>
      <c r="K58" s="160" t="str">
        <f>IF('Electrical Consmp.'!L46="","",'Electrical Consmp.'!L46)</f>
        <v/>
      </c>
      <c r="L58" s="160" t="str">
        <f>IF('Electrical Consmp.'!M46="","",'Electrical Consmp.'!M46)</f>
        <v/>
      </c>
      <c r="M58" s="160" t="str">
        <f>IF('Electrical Consmp.'!N46="","",'Electrical Consmp.'!N46)</f>
        <v/>
      </c>
      <c r="N58" s="160">
        <f t="shared" si="8"/>
        <v>0</v>
      </c>
      <c r="O58" s="160">
        <f t="shared" si="9"/>
        <v>0</v>
      </c>
    </row>
    <row r="59" spans="1:15" x14ac:dyDescent="0.25">
      <c r="A59" t="s">
        <v>108</v>
      </c>
      <c r="B59" s="160">
        <f>IF('Electrical Consmp.'!C52="","",'Electrical Consmp.'!C52)</f>
        <v>0</v>
      </c>
      <c r="C59" s="160">
        <f>IF('Electrical Consmp.'!D52="","",'Electrical Consmp.'!D52)</f>
        <v>0</v>
      </c>
      <c r="D59" s="160">
        <f>IF('Electrical Consmp.'!E52="","",'Electrical Consmp.'!E52)</f>
        <v>0</v>
      </c>
      <c r="E59" s="160">
        <f>IF('Electrical Consmp.'!F52="","",'Electrical Consmp.'!F52)</f>
        <v>0</v>
      </c>
      <c r="F59" s="160">
        <f>IF('Electrical Consmp.'!G52="","",'Electrical Consmp.'!G52)</f>
        <v>0</v>
      </c>
      <c r="G59" s="160">
        <f>IF('Electrical Consmp.'!H52="","",'Electrical Consmp.'!H52)</f>
        <v>0</v>
      </c>
      <c r="H59" s="160">
        <f>IF('Electrical Consmp.'!I52="","",'Electrical Consmp.'!I52)</f>
        <v>0</v>
      </c>
      <c r="I59" s="160">
        <f>IF('Electrical Consmp.'!J52="","",'Electrical Consmp.'!J52)</f>
        <v>0</v>
      </c>
      <c r="J59" s="160" t="str">
        <f>IF('Electrical Consmp.'!K52="","",'Electrical Consmp.'!K52)</f>
        <v/>
      </c>
      <c r="K59" s="160" t="str">
        <f>IF('Electrical Consmp.'!L52="","",'Electrical Consmp.'!L52)</f>
        <v/>
      </c>
      <c r="L59" s="160" t="str">
        <f>IF('Electrical Consmp.'!M52="","",'Electrical Consmp.'!M52)</f>
        <v/>
      </c>
      <c r="M59" s="160" t="str">
        <f>IF('Electrical Consmp.'!N52="","",'Electrical Consmp.'!N52)</f>
        <v/>
      </c>
      <c r="N59" s="160">
        <f t="shared" si="8"/>
        <v>0</v>
      </c>
      <c r="O59" s="160">
        <f t="shared" si="9"/>
        <v>0</v>
      </c>
    </row>
    <row r="60" spans="1:15" x14ac:dyDescent="0.25">
      <c r="A60" t="s">
        <v>110</v>
      </c>
      <c r="B60" s="160">
        <f>IF('Electrical Consmp.'!C58="","",'Electrical Consmp.'!C58)</f>
        <v>0</v>
      </c>
      <c r="C60" s="160">
        <f>IF('Electrical Consmp.'!D58="","",'Electrical Consmp.'!D58)</f>
        <v>0</v>
      </c>
      <c r="D60" s="160">
        <f>IF('Electrical Consmp.'!E58="","",'Electrical Consmp.'!E58)</f>
        <v>0</v>
      </c>
      <c r="E60" s="160">
        <f>IF('Electrical Consmp.'!F58="","",'Electrical Consmp.'!F58)</f>
        <v>0</v>
      </c>
      <c r="F60" s="160">
        <f>IF('Electrical Consmp.'!G58="","",'Electrical Consmp.'!G58)</f>
        <v>0</v>
      </c>
      <c r="G60" s="160">
        <f>IF('Electrical Consmp.'!H58="","",'Electrical Consmp.'!H58)</f>
        <v>0</v>
      </c>
      <c r="H60" s="160">
        <f>IF('Electrical Consmp.'!I58="","",'Electrical Consmp.'!I58)</f>
        <v>0</v>
      </c>
      <c r="I60" s="160">
        <f>IF('Electrical Consmp.'!J58="","",'Electrical Consmp.'!J58)</f>
        <v>0</v>
      </c>
      <c r="J60" s="160">
        <f>IF('Electrical Consmp.'!K58="","",'Electrical Consmp.'!K58)</f>
        <v>0</v>
      </c>
      <c r="K60" s="160" t="str">
        <f>IF('Electrical Consmp.'!L58="","",'Electrical Consmp.'!L58)</f>
        <v/>
      </c>
      <c r="L60" s="160" t="str">
        <f>IF('Electrical Consmp.'!M58="","",'Electrical Consmp.'!M58)</f>
        <v/>
      </c>
      <c r="M60" s="160" t="str">
        <f>IF('Electrical Consmp.'!N58="","",'Electrical Consmp.'!N58)</f>
        <v/>
      </c>
      <c r="N60" s="160">
        <f t="shared" si="8"/>
        <v>0</v>
      </c>
      <c r="O60" s="160">
        <f t="shared" si="9"/>
        <v>0</v>
      </c>
    </row>
    <row r="61" spans="1:15" x14ac:dyDescent="0.25">
      <c r="A61" t="s">
        <v>112</v>
      </c>
      <c r="B61" s="160">
        <f>IF('Electrical Consmp.'!C64="","",'Electrical Consmp.'!C64)</f>
        <v>5265</v>
      </c>
      <c r="C61" s="160">
        <f>IF('Electrical Consmp.'!D64="","",'Electrical Consmp.'!D64)</f>
        <v>5543</v>
      </c>
      <c r="D61" s="160">
        <f>IF('Electrical Consmp.'!E64="","",'Electrical Consmp.'!E64)</f>
        <v>11156</v>
      </c>
      <c r="E61" s="160">
        <f>IF('Electrical Consmp.'!F64="","",'Electrical Consmp.'!F64)</f>
        <v>8556</v>
      </c>
      <c r="F61" s="160">
        <f>IF('Electrical Consmp.'!G64="","",'Electrical Consmp.'!G64)</f>
        <v>8417</v>
      </c>
      <c r="G61" s="160">
        <f>IF('Electrical Consmp.'!H64="","",'Electrical Consmp.'!H64)</f>
        <v>7590</v>
      </c>
      <c r="H61" s="160">
        <f>IF('Electrical Consmp.'!I64="","",'Electrical Consmp.'!I64)</f>
        <v>10958</v>
      </c>
      <c r="I61" s="160">
        <f>IF('Electrical Consmp.'!J64="","",'Electrical Consmp.'!J64)</f>
        <v>12043</v>
      </c>
      <c r="J61" s="160">
        <f>IF('Electrical Consmp.'!K64="","",'Electrical Consmp.'!K64)</f>
        <v>7494</v>
      </c>
      <c r="K61" s="160" t="str">
        <f>IF('Electrical Consmp.'!L64="","",'Electrical Consmp.'!L64)</f>
        <v/>
      </c>
      <c r="L61" s="160" t="str">
        <f>IF('Electrical Consmp.'!M64="","",'Electrical Consmp.'!M64)</f>
        <v/>
      </c>
      <c r="M61" s="160" t="str">
        <f>IF('Electrical Consmp.'!N64="","",'Electrical Consmp.'!N64)</f>
        <v/>
      </c>
      <c r="N61" s="160">
        <f t="shared" si="8"/>
        <v>77022</v>
      </c>
      <c r="O61" s="160">
        <f t="shared" si="9"/>
        <v>8558</v>
      </c>
    </row>
    <row r="62" spans="1:15" x14ac:dyDescent="0.25">
      <c r="A62" s="526" t="s">
        <v>9</v>
      </c>
      <c r="B62" s="527">
        <f t="shared" ref="B62:O62" si="10">IF(COUNT(B52:B61)=0,"",SUM(B52:B61))</f>
        <v>8309.2999999999993</v>
      </c>
      <c r="C62" s="527">
        <f t="shared" si="10"/>
        <v>9068.5</v>
      </c>
      <c r="D62" s="527">
        <f t="shared" si="10"/>
        <v>15209.8</v>
      </c>
      <c r="E62" s="527">
        <f t="shared" si="10"/>
        <v>20004</v>
      </c>
      <c r="F62" s="527">
        <f t="shared" si="10"/>
        <v>21350</v>
      </c>
      <c r="G62" s="527">
        <f t="shared" si="10"/>
        <v>22120</v>
      </c>
      <c r="H62" s="527">
        <f t="shared" si="10"/>
        <v>27783</v>
      </c>
      <c r="I62" s="527">
        <f t="shared" si="10"/>
        <v>30432</v>
      </c>
      <c r="J62" s="527">
        <f t="shared" si="10"/>
        <v>7494</v>
      </c>
      <c r="K62" s="527" t="str">
        <f t="shared" si="10"/>
        <v/>
      </c>
      <c r="L62" s="527" t="str">
        <f t="shared" si="10"/>
        <v/>
      </c>
      <c r="M62" s="527" t="str">
        <f t="shared" si="10"/>
        <v/>
      </c>
      <c r="N62" s="527">
        <f t="shared" si="10"/>
        <v>161770.6</v>
      </c>
      <c r="O62" s="527">
        <f t="shared" si="10"/>
        <v>19151.575000000001</v>
      </c>
    </row>
    <row r="63" spans="1:15" x14ac:dyDescent="0.25">
      <c r="A63" s="528" t="s">
        <v>599</v>
      </c>
      <c r="B63" s="529">
        <f t="shared" ref="B63:M63" si="11">COUNT(B52:B61)</f>
        <v>10</v>
      </c>
      <c r="C63" s="529">
        <f t="shared" si="11"/>
        <v>10</v>
      </c>
      <c r="D63" s="529">
        <f t="shared" si="11"/>
        <v>10</v>
      </c>
      <c r="E63" s="529">
        <f t="shared" si="11"/>
        <v>10</v>
      </c>
      <c r="F63" s="529">
        <f t="shared" si="11"/>
        <v>10</v>
      </c>
      <c r="G63" s="529">
        <f t="shared" si="11"/>
        <v>10</v>
      </c>
      <c r="H63" s="529">
        <f t="shared" si="11"/>
        <v>10</v>
      </c>
      <c r="I63" s="529">
        <f t="shared" si="11"/>
        <v>10</v>
      </c>
      <c r="J63" s="529">
        <f t="shared" si="11"/>
        <v>5</v>
      </c>
      <c r="K63" s="529">
        <f t="shared" si="11"/>
        <v>0</v>
      </c>
      <c r="L63" s="529">
        <f t="shared" si="11"/>
        <v>0</v>
      </c>
      <c r="M63" s="529">
        <f t="shared" si="11"/>
        <v>0</v>
      </c>
      <c r="N63" s="529">
        <f>COUNT(B62:M62)</f>
        <v>9</v>
      </c>
    </row>
    <row r="65" spans="1:15" x14ac:dyDescent="0.25">
      <c r="A65" s="525" t="s">
        <v>602</v>
      </c>
    </row>
    <row r="66" spans="1:15" ht="25.5" x14ac:dyDescent="0.25">
      <c r="A66" s="523" t="s">
        <v>36</v>
      </c>
      <c r="B66" s="523" t="s">
        <v>576</v>
      </c>
      <c r="C66" s="523" t="s">
        <v>578</v>
      </c>
      <c r="D66" s="523" t="s">
        <v>580</v>
      </c>
      <c r="E66" s="523" t="s">
        <v>582</v>
      </c>
      <c r="F66" s="523" t="s">
        <v>584</v>
      </c>
      <c r="G66" s="523" t="s">
        <v>586</v>
      </c>
      <c r="H66" s="523" t="s">
        <v>588</v>
      </c>
      <c r="I66" s="523" t="s">
        <v>7</v>
      </c>
      <c r="J66" s="523" t="s">
        <v>591</v>
      </c>
      <c r="K66" s="523" t="s">
        <v>593</v>
      </c>
      <c r="L66" s="523" t="s">
        <v>595</v>
      </c>
      <c r="M66" s="523" t="s">
        <v>596</v>
      </c>
      <c r="N66" s="523" t="s">
        <v>574</v>
      </c>
      <c r="O66" s="523" t="s">
        <v>598</v>
      </c>
    </row>
    <row r="67" spans="1:15" x14ac:dyDescent="0.25">
      <c r="A67" t="s">
        <v>85</v>
      </c>
      <c r="B67" s="160">
        <f>IF('Water Consmp.'!C3="","",'Water Consmp.'!C3)</f>
        <v>58399.999999999636</v>
      </c>
      <c r="C67" s="160">
        <f>IF('Water Consmp.'!D3="","",'Water Consmp.'!D3)</f>
        <v>60100.000000000364</v>
      </c>
      <c r="D67" s="160">
        <f>IF('Water Consmp.'!E3="","",'Water Consmp.'!E3)</f>
        <v>54899.999999999636</v>
      </c>
      <c r="E67" s="160">
        <f>IF('Water Consmp.'!F3="","",'Water Consmp.'!F3)</f>
        <v>54000</v>
      </c>
      <c r="F67" s="160">
        <f>IF('Water Consmp.'!G3="","",'Water Consmp.'!G3)</f>
        <v>67900.000000000087</v>
      </c>
      <c r="G67" s="160">
        <f>IF('Water Consmp.'!H3="","",'Water Consmp.'!H3)</f>
        <v>40400.000000000087</v>
      </c>
      <c r="H67" s="160">
        <f>IF('Water Consmp.'!I3="","",'Water Consmp.'!I3)</f>
        <v>50500</v>
      </c>
      <c r="I67" s="160">
        <f>IF('Water Consmp.'!J3="","",'Water Consmp.'!J3)</f>
        <v>43400.000000000087</v>
      </c>
      <c r="J67" s="160">
        <f>IF('Water Consmp.'!K3="","",'Water Consmp.'!K3)</f>
        <v>42299.999999999724</v>
      </c>
      <c r="K67" s="160" t="str">
        <f>IF('Water Consmp.'!L3="","",'Water Consmp.'!L3)</f>
        <v/>
      </c>
      <c r="L67" s="160" t="str">
        <f>IF('Water Consmp.'!M3="","",'Water Consmp.'!M3)</f>
        <v/>
      </c>
      <c r="M67" s="160" t="str">
        <f>IF('Water Consmp.'!N3="","",'Water Consmp.'!N3)</f>
        <v/>
      </c>
      <c r="N67" s="160">
        <f t="shared" ref="N67:N76" si="12">IF(COUNT(B67:M67)=0,"",SUM(B67:M67))</f>
        <v>471899.99999999971</v>
      </c>
      <c r="O67" s="160">
        <f t="shared" ref="O67:O76" si="13">IF(COUNT(B67:M67)=0,"",AVERAGE(B67:M67))</f>
        <v>52433.333333333299</v>
      </c>
    </row>
    <row r="68" spans="1:15" x14ac:dyDescent="0.25">
      <c r="A68" t="s">
        <v>91</v>
      </c>
      <c r="B68" s="160">
        <f>IF('Water Consmp.'!C7="","",'Water Consmp.'!C7)</f>
        <v>16184</v>
      </c>
      <c r="C68" s="160">
        <f>IF('Water Consmp.'!D7="","",'Water Consmp.'!D7)</f>
        <v>13357</v>
      </c>
      <c r="D68" s="160">
        <f>IF('Water Consmp.'!E7="","",'Water Consmp.'!E7)</f>
        <v>14763</v>
      </c>
      <c r="E68" s="160">
        <f>IF('Water Consmp.'!F7="","",'Water Consmp.'!F7)</f>
        <v>8947</v>
      </c>
      <c r="F68" s="160">
        <f>IF('Water Consmp.'!G7="","",'Water Consmp.'!G7)</f>
        <v>5991</v>
      </c>
      <c r="G68" s="160">
        <f>IF('Water Consmp.'!H7="","",'Water Consmp.'!H7)</f>
        <v>12743</v>
      </c>
      <c r="H68" s="160">
        <f>IF('Water Consmp.'!I7="","",'Water Consmp.'!I7)</f>
        <v>16086</v>
      </c>
      <c r="I68" s="160">
        <f>IF('Water Consmp.'!J7="","",'Water Consmp.'!J7)</f>
        <v>15124</v>
      </c>
      <c r="J68" s="160">
        <f>IF('Water Consmp.'!K7="","",'Water Consmp.'!K7)</f>
        <v>13436</v>
      </c>
      <c r="K68" s="160" t="str">
        <f>IF('Water Consmp.'!L7="","",'Water Consmp.'!L7)</f>
        <v/>
      </c>
      <c r="L68" s="160" t="str">
        <f>IF('Water Consmp.'!M7="","",'Water Consmp.'!M7)</f>
        <v/>
      </c>
      <c r="M68" s="160" t="str">
        <f>IF('Water Consmp.'!N7="","",'Water Consmp.'!N7)</f>
        <v/>
      </c>
      <c r="N68" s="160">
        <f t="shared" si="12"/>
        <v>116631</v>
      </c>
      <c r="O68" s="160">
        <f t="shared" si="13"/>
        <v>12959</v>
      </c>
    </row>
    <row r="69" spans="1:15" x14ac:dyDescent="0.25">
      <c r="A69" t="s">
        <v>93</v>
      </c>
      <c r="B69" s="160">
        <f>IF('Water Consmp.'!C19="","",'Water Consmp.'!C19)</f>
        <v>435000</v>
      </c>
      <c r="C69" s="160">
        <f>IF('Water Consmp.'!D19="","",'Water Consmp.'!D19)</f>
        <v>321000</v>
      </c>
      <c r="D69" s="160">
        <f>IF('Water Consmp.'!E19="","",'Water Consmp.'!E19)</f>
        <v>209000</v>
      </c>
      <c r="E69" s="160">
        <f>IF('Water Consmp.'!F19="","",'Water Consmp.'!F19)</f>
        <v>91000</v>
      </c>
      <c r="F69" s="160">
        <f>IF('Water Consmp.'!G19="","",'Water Consmp.'!G19)</f>
        <v>165000</v>
      </c>
      <c r="G69" s="160">
        <f>IF('Water Consmp.'!H19="","",'Water Consmp.'!H19)</f>
        <v>223000</v>
      </c>
      <c r="H69" s="160">
        <f>IF('Water Consmp.'!I19="","",'Water Consmp.'!I19)</f>
        <v>185000</v>
      </c>
      <c r="I69" s="160" t="str">
        <f>IF('Water Consmp.'!J19="","",'Water Consmp.'!J19)</f>
        <v/>
      </c>
      <c r="J69" s="160" t="str">
        <f>IF('Water Consmp.'!K19="","",'Water Consmp.'!K19)</f>
        <v/>
      </c>
      <c r="K69" s="160" t="str">
        <f>IF('Water Consmp.'!L19="","",'Water Consmp.'!L19)</f>
        <v/>
      </c>
      <c r="L69" s="160" t="str">
        <f>IF('Water Consmp.'!M19="","",'Water Consmp.'!M19)</f>
        <v/>
      </c>
      <c r="M69" s="160" t="str">
        <f>IF('Water Consmp.'!N19="","",'Water Consmp.'!N19)</f>
        <v/>
      </c>
      <c r="N69" s="160">
        <f t="shared" si="12"/>
        <v>1629000</v>
      </c>
      <c r="O69" s="160">
        <f t="shared" si="13"/>
        <v>232714.28571428571</v>
      </c>
    </row>
    <row r="70" spans="1:15" x14ac:dyDescent="0.25">
      <c r="A70" t="s">
        <v>98</v>
      </c>
      <c r="B70" s="160">
        <f>IF('Water Consmp.'!C11="","",'Water Consmp.'!C11)</f>
        <v>48300</v>
      </c>
      <c r="C70" s="160">
        <f>IF('Water Consmp.'!D11="","",'Water Consmp.'!D11)</f>
        <v>41200</v>
      </c>
      <c r="D70" s="160">
        <f>IF('Water Consmp.'!E11="","",'Water Consmp.'!E11)</f>
        <v>51200</v>
      </c>
      <c r="E70" s="160">
        <f>IF('Water Consmp.'!F11="","",'Water Consmp.'!F11)</f>
        <v>63600</v>
      </c>
      <c r="F70" s="160">
        <f>IF('Water Consmp.'!G11="","",'Water Consmp.'!G11)</f>
        <v>33800</v>
      </c>
      <c r="G70" s="160">
        <f>IF('Water Consmp.'!H11="","",'Water Consmp.'!H11)</f>
        <v>66300</v>
      </c>
      <c r="H70" s="160">
        <f>IF('Water Consmp.'!I11="","",'Water Consmp.'!I11)</f>
        <v>12000</v>
      </c>
      <c r="I70" s="160">
        <f>IF('Water Consmp.'!J11="","",'Water Consmp.'!J11)</f>
        <v>27900</v>
      </c>
      <c r="J70" s="160">
        <f>IF('Water Consmp.'!K11="","",'Water Consmp.'!K11)</f>
        <v>27900</v>
      </c>
      <c r="K70" s="160" t="str">
        <f>IF('Water Consmp.'!L11="","",'Water Consmp.'!L11)</f>
        <v/>
      </c>
      <c r="L70" s="160" t="str">
        <f>IF('Water Consmp.'!M11="","",'Water Consmp.'!M11)</f>
        <v/>
      </c>
      <c r="M70" s="160" t="str">
        <f>IF('Water Consmp.'!N11="","",'Water Consmp.'!N11)</f>
        <v/>
      </c>
      <c r="N70" s="160">
        <f t="shared" si="12"/>
        <v>372200</v>
      </c>
      <c r="O70" s="160">
        <f t="shared" si="13"/>
        <v>41355.555555555555</v>
      </c>
    </row>
    <row r="71" spans="1:15" x14ac:dyDescent="0.25">
      <c r="A71" t="s">
        <v>100</v>
      </c>
      <c r="B71" s="160">
        <f>IF('Water Consmp.'!C15="","",'Water Consmp.'!C15)</f>
        <v>240000</v>
      </c>
      <c r="C71" s="160">
        <f>IF('Water Consmp.'!D15="","",'Water Consmp.'!D15)</f>
        <v>220000</v>
      </c>
      <c r="D71" s="160">
        <f>IF('Water Consmp.'!E15="","",'Water Consmp.'!E15)</f>
        <v>258000</v>
      </c>
      <c r="E71" s="160">
        <f>IF('Water Consmp.'!F15="","",'Water Consmp.'!F15)</f>
        <v>280000</v>
      </c>
      <c r="F71" s="160">
        <f>IF('Water Consmp.'!G15="","",'Water Consmp.'!G15)</f>
        <v>265000</v>
      </c>
      <c r="G71" s="160">
        <f>IF('Water Consmp.'!H15="","",'Water Consmp.'!H15)</f>
        <v>240000</v>
      </c>
      <c r="H71" s="160">
        <f>IF('Water Consmp.'!I15="","",'Water Consmp.'!I15)</f>
        <v>270000</v>
      </c>
      <c r="I71" s="160">
        <f>IF('Water Consmp.'!J15="","",'Water Consmp.'!J15)</f>
        <v>255000</v>
      </c>
      <c r="J71" s="160" t="str">
        <f>IF('Water Consmp.'!K15="","",'Water Consmp.'!K15)</f>
        <v/>
      </c>
      <c r="K71" s="160" t="str">
        <f>IF('Water Consmp.'!L15="","",'Water Consmp.'!L15)</f>
        <v/>
      </c>
      <c r="L71" s="160" t="str">
        <f>IF('Water Consmp.'!M15="","",'Water Consmp.'!M15)</f>
        <v/>
      </c>
      <c r="M71" s="160" t="str">
        <f>IF('Water Consmp.'!N15="","",'Water Consmp.'!N15)</f>
        <v/>
      </c>
      <c r="N71" s="160">
        <f t="shared" si="12"/>
        <v>2028000</v>
      </c>
      <c r="O71" s="160">
        <f t="shared" si="13"/>
        <v>253500</v>
      </c>
    </row>
    <row r="72" spans="1:15" x14ac:dyDescent="0.25">
      <c r="A72" t="s">
        <v>224</v>
      </c>
      <c r="B72" s="160">
        <f>IF('Water Consmp.'!C31="","",'Water Consmp.'!C31)</f>
        <v>78000</v>
      </c>
      <c r="C72" s="160">
        <f>IF('Water Consmp.'!D31="","",'Water Consmp.'!D31)</f>
        <v>81000</v>
      </c>
      <c r="D72" s="160">
        <f>IF('Water Consmp.'!E31="","",'Water Consmp.'!E31)</f>
        <v>71940</v>
      </c>
      <c r="E72" s="160">
        <f>IF('Water Consmp.'!F31="","",'Water Consmp.'!F31)</f>
        <v>65370</v>
      </c>
      <c r="F72" s="160">
        <f>IF('Water Consmp.'!G31="","",'Water Consmp.'!G31)</f>
        <v>52650</v>
      </c>
      <c r="G72" s="160">
        <f>IF('Water Consmp.'!H31="","",'Water Consmp.'!H31)</f>
        <v>47761</v>
      </c>
      <c r="H72" s="160">
        <f>IF('Water Consmp.'!I31="","",'Water Consmp.'!I31)</f>
        <v>142210</v>
      </c>
      <c r="I72" s="160">
        <f>IF('Water Consmp.'!J31="","",'Water Consmp.'!J31)</f>
        <v>85920</v>
      </c>
      <c r="J72" s="160">
        <f>IF('Water Consmp.'!K31="","",'Water Consmp.'!K31)</f>
        <v>78110</v>
      </c>
      <c r="K72" s="160" t="str">
        <f>IF('Water Consmp.'!L31="","",'Water Consmp.'!L31)</f>
        <v/>
      </c>
      <c r="L72" s="160" t="str">
        <f>IF('Water Consmp.'!M31="","",'Water Consmp.'!M31)</f>
        <v/>
      </c>
      <c r="M72" s="160" t="str">
        <f>IF('Water Consmp.'!N31="","",'Water Consmp.'!N31)</f>
        <v/>
      </c>
      <c r="N72" s="160">
        <f t="shared" si="12"/>
        <v>702961</v>
      </c>
      <c r="O72" s="160">
        <f t="shared" si="13"/>
        <v>78106.777777777781</v>
      </c>
    </row>
    <row r="73" spans="1:15" x14ac:dyDescent="0.25">
      <c r="A73" t="s">
        <v>106</v>
      </c>
      <c r="B73" s="160">
        <f>IF('Water Consmp.'!C35="","",'Water Consmp.'!C35)</f>
        <v>225000</v>
      </c>
      <c r="C73" s="160">
        <f>IF('Water Consmp.'!D35="","",'Water Consmp.'!D35)</f>
        <v>174000</v>
      </c>
      <c r="D73" s="160">
        <f>IF('Water Consmp.'!E35="","",'Water Consmp.'!E35)</f>
        <v>130000</v>
      </c>
      <c r="E73" s="160">
        <f>IF('Water Consmp.'!F35="","",'Water Consmp.'!F35)</f>
        <v>165000</v>
      </c>
      <c r="F73" s="160">
        <f>IF('Water Consmp.'!G35="","",'Water Consmp.'!G35)</f>
        <v>66400</v>
      </c>
      <c r="G73" s="160">
        <f>IF('Water Consmp.'!H35="","",'Water Consmp.'!H35)</f>
        <v>107400</v>
      </c>
      <c r="H73" s="160">
        <f>IF('Water Consmp.'!I35="","",'Water Consmp.'!I35)</f>
        <v>168800</v>
      </c>
      <c r="I73" s="160">
        <f>IF('Water Consmp.'!J35="","",'Water Consmp.'!J35)</f>
        <v>169700</v>
      </c>
      <c r="J73" s="160">
        <f>IF('Water Consmp.'!K35="","",'Water Consmp.'!K35)</f>
        <v>141300</v>
      </c>
      <c r="K73" s="160" t="str">
        <f>IF('Water Consmp.'!L35="","",'Water Consmp.'!L35)</f>
        <v/>
      </c>
      <c r="L73" s="160" t="str">
        <f>IF('Water Consmp.'!M35="","",'Water Consmp.'!M35)</f>
        <v/>
      </c>
      <c r="M73" s="160" t="str">
        <f>IF('Water Consmp.'!N35="","",'Water Consmp.'!N35)</f>
        <v/>
      </c>
      <c r="N73" s="160">
        <f t="shared" si="12"/>
        <v>1347600</v>
      </c>
      <c r="O73" s="160">
        <f t="shared" si="13"/>
        <v>149733.33333333334</v>
      </c>
    </row>
    <row r="74" spans="1:15" x14ac:dyDescent="0.25">
      <c r="A74" t="s">
        <v>108</v>
      </c>
      <c r="B74" s="160">
        <f>IF('Water Consmp.'!C23="","",'Water Consmp.'!C23)</f>
        <v>558700</v>
      </c>
      <c r="C74" s="160">
        <f>IF('Water Consmp.'!D23="","",'Water Consmp.'!D23)</f>
        <v>569000</v>
      </c>
      <c r="D74" s="160">
        <f>IF('Water Consmp.'!E23="","",'Water Consmp.'!E23)</f>
        <v>565238</v>
      </c>
      <c r="E74" s="160">
        <f>IF('Water Consmp.'!F23="","",'Water Consmp.'!F23)</f>
        <v>380900</v>
      </c>
      <c r="F74" s="160">
        <f>IF('Water Consmp.'!G23="","",'Water Consmp.'!G23)</f>
        <v>256875</v>
      </c>
      <c r="G74" s="160">
        <f>IF('Water Consmp.'!H23="","",'Water Consmp.'!H23)</f>
        <v>446000</v>
      </c>
      <c r="H74" s="160">
        <f>IF('Water Consmp.'!I23="","",'Water Consmp.'!I23)</f>
        <v>659000</v>
      </c>
      <c r="I74" s="160">
        <f>IF('Water Consmp.'!J23="","",'Water Consmp.'!J23)</f>
        <v>669440</v>
      </c>
      <c r="J74" s="160">
        <f>IF('Water Consmp.'!K23="","",'Water Consmp.'!K23)</f>
        <v>699000</v>
      </c>
      <c r="K74" s="160" t="str">
        <f>IF('Water Consmp.'!L23="","",'Water Consmp.'!L23)</f>
        <v/>
      </c>
      <c r="L74" s="160" t="str">
        <f>IF('Water Consmp.'!M23="","",'Water Consmp.'!M23)</f>
        <v/>
      </c>
      <c r="M74" s="160" t="str">
        <f>IF('Water Consmp.'!N23="","",'Water Consmp.'!N23)</f>
        <v/>
      </c>
      <c r="N74" s="160">
        <f t="shared" si="12"/>
        <v>4804153</v>
      </c>
      <c r="O74" s="160">
        <f t="shared" si="13"/>
        <v>533794.77777777775</v>
      </c>
    </row>
    <row r="75" spans="1:15" x14ac:dyDescent="0.25">
      <c r="A75" t="s">
        <v>110</v>
      </c>
      <c r="B75" s="160">
        <f>IF('Water Consmp.'!C27="","",'Water Consmp.'!C27)</f>
        <v>333860</v>
      </c>
      <c r="C75" s="160">
        <f>IF('Water Consmp.'!D27="","",'Water Consmp.'!D27)</f>
        <v>264500</v>
      </c>
      <c r="D75" s="160">
        <f>IF('Water Consmp.'!E27="","",'Water Consmp.'!E27)</f>
        <v>432756</v>
      </c>
      <c r="E75" s="160">
        <f>IF('Water Consmp.'!F27="","",'Water Consmp.'!F27)</f>
        <v>248950</v>
      </c>
      <c r="F75" s="160">
        <f>IF('Water Consmp.'!G27="","",'Water Consmp.'!G27)</f>
        <v>117348</v>
      </c>
      <c r="G75" s="160">
        <f>IF('Water Consmp.'!H27="","",'Water Consmp.'!H27)</f>
        <v>288354</v>
      </c>
      <c r="H75" s="160">
        <f>IF('Water Consmp.'!I27="","",'Water Consmp.'!I27)</f>
        <v>402336</v>
      </c>
      <c r="I75" s="160">
        <f>IF('Water Consmp.'!J27="","",'Water Consmp.'!J27)</f>
        <v>435889</v>
      </c>
      <c r="J75" s="160">
        <f>IF('Water Consmp.'!K27="","",'Water Consmp.'!K27)</f>
        <v>456330</v>
      </c>
      <c r="K75" s="160" t="str">
        <f>IF('Water Consmp.'!L27="","",'Water Consmp.'!L27)</f>
        <v/>
      </c>
      <c r="L75" s="160" t="str">
        <f>IF('Water Consmp.'!M27="","",'Water Consmp.'!M27)</f>
        <v/>
      </c>
      <c r="M75" s="160" t="str">
        <f>IF('Water Consmp.'!N27="","",'Water Consmp.'!N27)</f>
        <v/>
      </c>
      <c r="N75" s="160">
        <f t="shared" si="12"/>
        <v>2980323</v>
      </c>
      <c r="O75" s="160">
        <f t="shared" si="13"/>
        <v>331147</v>
      </c>
    </row>
    <row r="76" spans="1:15" x14ac:dyDescent="0.25">
      <c r="A76" t="s">
        <v>112</v>
      </c>
      <c r="B76" s="160">
        <f>IF('Water Consmp.'!C39="","",'Water Consmp.'!C39)</f>
        <v>1351000</v>
      </c>
      <c r="C76" s="160">
        <f>IF('Water Consmp.'!D39="","",'Water Consmp.'!D39)</f>
        <v>1351000</v>
      </c>
      <c r="D76" s="160">
        <f>IF('Water Consmp.'!E39="","",'Water Consmp.'!E39)</f>
        <v>880000</v>
      </c>
      <c r="E76" s="160">
        <f>IF('Water Consmp.'!F39="","",'Water Consmp.'!F39)</f>
        <v>779000</v>
      </c>
      <c r="F76" s="160">
        <f>IF('Water Consmp.'!G39="","",'Water Consmp.'!G39)</f>
        <v>1051000</v>
      </c>
      <c r="G76" s="160">
        <f>IF('Water Consmp.'!H39="","",'Water Consmp.'!H39)</f>
        <v>1721000</v>
      </c>
      <c r="H76" s="160">
        <f>IF('Water Consmp.'!I39="","",'Water Consmp.'!I39)</f>
        <v>1929000</v>
      </c>
      <c r="I76" s="160">
        <f>IF('Water Consmp.'!J39="","",'Water Consmp.'!J39)</f>
        <v>1634000</v>
      </c>
      <c r="J76" s="160">
        <f>IF('Water Consmp.'!K39="","",'Water Consmp.'!K39)</f>
        <v>1588000</v>
      </c>
      <c r="K76" s="160" t="str">
        <f>IF('Water Consmp.'!L39="","",'Water Consmp.'!L39)</f>
        <v/>
      </c>
      <c r="L76" s="160" t="str">
        <f>IF('Water Consmp.'!M39="","",'Water Consmp.'!M39)</f>
        <v/>
      </c>
      <c r="M76" s="160" t="str">
        <f>IF('Water Consmp.'!N39="","",'Water Consmp.'!N39)</f>
        <v/>
      </c>
      <c r="N76" s="160">
        <f t="shared" si="12"/>
        <v>12284000</v>
      </c>
      <c r="O76" s="160">
        <f t="shared" si="13"/>
        <v>1364888.888888889</v>
      </c>
    </row>
    <row r="77" spans="1:15" x14ac:dyDescent="0.25">
      <c r="A77" s="526" t="s">
        <v>9</v>
      </c>
      <c r="B77" s="527">
        <f t="shared" ref="B77:O77" si="14">IF(COUNT(B67:B76)=0,"",SUM(B67:B76))</f>
        <v>3344443.9999999995</v>
      </c>
      <c r="C77" s="527">
        <f t="shared" si="14"/>
        <v>3095157.0000000005</v>
      </c>
      <c r="D77" s="527">
        <f t="shared" si="14"/>
        <v>2667796.9999999995</v>
      </c>
      <c r="E77" s="527">
        <f t="shared" si="14"/>
        <v>2136767</v>
      </c>
      <c r="F77" s="527">
        <f t="shared" si="14"/>
        <v>2081964</v>
      </c>
      <c r="G77" s="527">
        <f t="shared" si="14"/>
        <v>3192958</v>
      </c>
      <c r="H77" s="527">
        <f t="shared" si="14"/>
        <v>3834932</v>
      </c>
      <c r="I77" s="527">
        <f t="shared" si="14"/>
        <v>3336373</v>
      </c>
      <c r="J77" s="527">
        <f t="shared" si="14"/>
        <v>3046376</v>
      </c>
      <c r="K77" s="527" t="str">
        <f t="shared" si="14"/>
        <v/>
      </c>
      <c r="L77" s="527" t="str">
        <f t="shared" si="14"/>
        <v/>
      </c>
      <c r="M77" s="527" t="str">
        <f t="shared" si="14"/>
        <v/>
      </c>
      <c r="N77" s="527">
        <f t="shared" si="14"/>
        <v>26736768</v>
      </c>
      <c r="O77" s="527">
        <f t="shared" si="14"/>
        <v>3050632.9523809524</v>
      </c>
    </row>
    <row r="78" spans="1:15" x14ac:dyDescent="0.25">
      <c r="A78" s="528" t="s">
        <v>599</v>
      </c>
      <c r="B78" s="529">
        <f t="shared" ref="B78:M78" si="15">COUNT(B67:B76)</f>
        <v>10</v>
      </c>
      <c r="C78" s="529">
        <f t="shared" si="15"/>
        <v>10</v>
      </c>
      <c r="D78" s="529">
        <f t="shared" si="15"/>
        <v>10</v>
      </c>
      <c r="E78" s="529">
        <f t="shared" si="15"/>
        <v>10</v>
      </c>
      <c r="F78" s="529">
        <f t="shared" si="15"/>
        <v>10</v>
      </c>
      <c r="G78" s="529">
        <f t="shared" si="15"/>
        <v>10</v>
      </c>
      <c r="H78" s="529">
        <f t="shared" si="15"/>
        <v>10</v>
      </c>
      <c r="I78" s="529">
        <f t="shared" si="15"/>
        <v>9</v>
      </c>
      <c r="J78" s="529">
        <f t="shared" si="15"/>
        <v>8</v>
      </c>
      <c r="K78" s="529">
        <f t="shared" si="15"/>
        <v>0</v>
      </c>
      <c r="L78" s="529">
        <f t="shared" si="15"/>
        <v>0</v>
      </c>
      <c r="M78" s="529">
        <f t="shared" si="15"/>
        <v>0</v>
      </c>
      <c r="N78" s="529">
        <f>COUNT(B77:M77)</f>
        <v>9</v>
      </c>
    </row>
    <row r="80" spans="1:15" x14ac:dyDescent="0.25">
      <c r="A80" s="525" t="s">
        <v>603</v>
      </c>
    </row>
    <row r="81" spans="1:15" ht="25.5" x14ac:dyDescent="0.25">
      <c r="A81" s="523" t="s">
        <v>36</v>
      </c>
      <c r="B81" s="523" t="s">
        <v>576</v>
      </c>
      <c r="C81" s="523" t="s">
        <v>578</v>
      </c>
      <c r="D81" s="523" t="s">
        <v>580</v>
      </c>
      <c r="E81" s="523" t="s">
        <v>582</v>
      </c>
      <c r="F81" s="523" t="s">
        <v>584</v>
      </c>
      <c r="G81" s="523" t="s">
        <v>586</v>
      </c>
      <c r="H81" s="523" t="s">
        <v>588</v>
      </c>
      <c r="I81" s="523" t="s">
        <v>7</v>
      </c>
      <c r="J81" s="523" t="s">
        <v>591</v>
      </c>
      <c r="K81" s="523" t="s">
        <v>593</v>
      </c>
      <c r="L81" s="523" t="s">
        <v>595</v>
      </c>
      <c r="M81" s="523" t="s">
        <v>596</v>
      </c>
      <c r="N81" s="523" t="s">
        <v>574</v>
      </c>
      <c r="O81" s="523" t="s">
        <v>598</v>
      </c>
    </row>
    <row r="82" spans="1:15" x14ac:dyDescent="0.25">
      <c r="A82" t="s">
        <v>85</v>
      </c>
      <c r="B82" s="160">
        <f>IF('Water Consmp.'!C4="","",'Water Consmp.'!C4)</f>
        <v>1271</v>
      </c>
      <c r="C82" s="160">
        <f>IF('Water Consmp.'!D4="","",'Water Consmp.'!D4)</f>
        <v>1241</v>
      </c>
      <c r="D82" s="160">
        <f>IF('Water Consmp.'!E4="","",'Water Consmp.'!E4)</f>
        <v>1240</v>
      </c>
      <c r="E82" s="160">
        <f>IF('Water Consmp.'!F4="","",'Water Consmp.'!F4)</f>
        <v>1240</v>
      </c>
      <c r="F82" s="160">
        <f>IF('Water Consmp.'!G4="","",'Water Consmp.'!G4)</f>
        <v>41</v>
      </c>
      <c r="G82" s="160">
        <f>IF('Water Consmp.'!H4="","",'Water Consmp.'!H4)</f>
        <v>1183</v>
      </c>
      <c r="H82" s="160">
        <f>IF('Water Consmp.'!I4="","",'Water Consmp.'!I4)</f>
        <v>1196</v>
      </c>
      <c r="I82" s="160">
        <f>IF('Water Consmp.'!J4="","",'Water Consmp.'!J4)</f>
        <v>1203</v>
      </c>
      <c r="J82" s="160">
        <f>IF('Water Consmp.'!K4="","",'Water Consmp.'!K4)</f>
        <v>1207</v>
      </c>
      <c r="K82" s="160" t="str">
        <f>IF('Water Consmp.'!L4="","",'Water Consmp.'!L4)</f>
        <v/>
      </c>
      <c r="L82" s="160" t="str">
        <f>IF('Water Consmp.'!M4="","",'Water Consmp.'!M4)</f>
        <v/>
      </c>
      <c r="M82" s="160" t="str">
        <f>IF('Water Consmp.'!N4="","",'Water Consmp.'!N4)</f>
        <v/>
      </c>
      <c r="N82" s="160">
        <f t="shared" ref="N82:N92" si="16">IF(COUNT(B82:M82)=0,"",AVERAGE(B82:M82))</f>
        <v>1091.3333333333333</v>
      </c>
      <c r="O82" s="160">
        <f t="shared" ref="O82:O91" si="17">IF(COUNT(B82:M82)=0,"",AVERAGE(B82:M82))</f>
        <v>1091.3333333333333</v>
      </c>
    </row>
    <row r="83" spans="1:15" x14ac:dyDescent="0.25">
      <c r="A83" t="s">
        <v>91</v>
      </c>
      <c r="B83" s="160">
        <f>IF('Water Consmp.'!C8="","",'Water Consmp.'!C8)</f>
        <v>1010</v>
      </c>
      <c r="C83" s="160">
        <f>IF('Water Consmp.'!D8="","",'Water Consmp.'!D8)</f>
        <v>1010</v>
      </c>
      <c r="D83" s="160">
        <f>IF('Water Consmp.'!E8="","",'Water Consmp.'!E8)</f>
        <v>1010</v>
      </c>
      <c r="E83" s="160">
        <f>IF('Water Consmp.'!F8="","",'Water Consmp.'!F8)</f>
        <v>1008</v>
      </c>
      <c r="F83" s="160">
        <f>IF('Water Consmp.'!G8="","",'Water Consmp.'!G8)</f>
        <v>20</v>
      </c>
      <c r="G83" s="160">
        <f>IF('Water Consmp.'!H8="","",'Water Consmp.'!H8)</f>
        <v>1019</v>
      </c>
      <c r="H83" s="160">
        <f>IF('Water Consmp.'!I8="","",'Water Consmp.'!I8)</f>
        <v>1020</v>
      </c>
      <c r="I83" s="160">
        <f>IF('Water Consmp.'!J8="","",'Water Consmp.'!J8)</f>
        <v>1020</v>
      </c>
      <c r="J83" s="160">
        <f>IF('Water Consmp.'!K8="","",'Water Consmp.'!K8)</f>
        <v>1020</v>
      </c>
      <c r="K83" s="160" t="str">
        <f>IF('Water Consmp.'!L8="","",'Water Consmp.'!L8)</f>
        <v/>
      </c>
      <c r="L83" s="160" t="str">
        <f>IF('Water Consmp.'!M8="","",'Water Consmp.'!M8)</f>
        <v/>
      </c>
      <c r="M83" s="160" t="str">
        <f>IF('Water Consmp.'!N8="","",'Water Consmp.'!N8)</f>
        <v/>
      </c>
      <c r="N83" s="160">
        <f t="shared" si="16"/>
        <v>904.11111111111109</v>
      </c>
      <c r="O83" s="160">
        <f t="shared" si="17"/>
        <v>904.11111111111109</v>
      </c>
    </row>
    <row r="84" spans="1:15" x14ac:dyDescent="0.25">
      <c r="A84" t="s">
        <v>93</v>
      </c>
      <c r="B84" s="160">
        <f>IF('Water Consmp.'!C20="","",'Water Consmp.'!C20)</f>
        <v>811</v>
      </c>
      <c r="C84" s="160">
        <f>IF('Water Consmp.'!D20="","",'Water Consmp.'!D20)</f>
        <v>811</v>
      </c>
      <c r="D84" s="160">
        <f>IF('Water Consmp.'!E20="","",'Water Consmp.'!E20)</f>
        <v>756</v>
      </c>
      <c r="E84" s="160">
        <f>IF('Water Consmp.'!F20="","",'Water Consmp.'!F20)</f>
        <v>756</v>
      </c>
      <c r="F84" s="160">
        <f>IF('Water Consmp.'!G20="","",'Water Consmp.'!G20)</f>
        <v>756</v>
      </c>
      <c r="G84" s="160">
        <f>IF('Water Consmp.'!H20="","",'Water Consmp.'!H20)</f>
        <v>756</v>
      </c>
      <c r="H84" s="160">
        <f>IF('Water Consmp.'!I20="","",'Water Consmp.'!I20)</f>
        <v>826</v>
      </c>
      <c r="I84" s="160" t="str">
        <f>IF('Water Consmp.'!J20="","",'Water Consmp.'!J20)</f>
        <v/>
      </c>
      <c r="J84" s="160" t="str">
        <f>IF('Water Consmp.'!K20="","",'Water Consmp.'!K20)</f>
        <v/>
      </c>
      <c r="K84" s="160" t="str">
        <f>IF('Water Consmp.'!L20="","",'Water Consmp.'!L20)</f>
        <v/>
      </c>
      <c r="L84" s="160" t="str">
        <f>IF('Water Consmp.'!M20="","",'Water Consmp.'!M20)</f>
        <v/>
      </c>
      <c r="M84" s="160" t="str">
        <f>IF('Water Consmp.'!N20="","",'Water Consmp.'!N20)</f>
        <v/>
      </c>
      <c r="N84" s="160">
        <f t="shared" si="16"/>
        <v>781.71428571428567</v>
      </c>
      <c r="O84" s="160">
        <f t="shared" si="17"/>
        <v>781.71428571428567</v>
      </c>
    </row>
    <row r="85" spans="1:15" x14ac:dyDescent="0.25">
      <c r="A85" t="s">
        <v>98</v>
      </c>
      <c r="B85" s="160">
        <f>IF('Water Consmp.'!C12="","",'Water Consmp.'!C12)</f>
        <v>505</v>
      </c>
      <c r="C85" s="160">
        <f>IF('Water Consmp.'!D12="","",'Water Consmp.'!D12)</f>
        <v>505</v>
      </c>
      <c r="D85" s="160">
        <f>IF('Water Consmp.'!E12="","",'Water Consmp.'!E12)</f>
        <v>505</v>
      </c>
      <c r="E85" s="160">
        <f>IF('Water Consmp.'!F12="","",'Water Consmp.'!F12)</f>
        <v>505</v>
      </c>
      <c r="F85" s="160">
        <f>IF('Water Consmp.'!G12="","",'Water Consmp.'!G12)</f>
        <v>25</v>
      </c>
      <c r="G85" s="160">
        <f>IF('Water Consmp.'!H12="","",'Water Consmp.'!H12)</f>
        <v>530</v>
      </c>
      <c r="H85" s="160">
        <f>IF('Water Consmp.'!I12="","",'Water Consmp.'!I12)</f>
        <v>530</v>
      </c>
      <c r="I85" s="160">
        <f>IF('Water Consmp.'!J12="","",'Water Consmp.'!J12)</f>
        <v>530</v>
      </c>
      <c r="J85" s="160">
        <f>IF('Water Consmp.'!K12="","",'Water Consmp.'!K12)</f>
        <v>530</v>
      </c>
      <c r="K85" s="160" t="str">
        <f>IF('Water Consmp.'!L12="","",'Water Consmp.'!L12)</f>
        <v/>
      </c>
      <c r="L85" s="160" t="str">
        <f>IF('Water Consmp.'!M12="","",'Water Consmp.'!M12)</f>
        <v/>
      </c>
      <c r="M85" s="160" t="str">
        <f>IF('Water Consmp.'!N12="","",'Water Consmp.'!N12)</f>
        <v/>
      </c>
      <c r="N85" s="160">
        <f t="shared" si="16"/>
        <v>462.77777777777777</v>
      </c>
      <c r="O85" s="160">
        <f t="shared" si="17"/>
        <v>462.77777777777777</v>
      </c>
    </row>
    <row r="86" spans="1:15" x14ac:dyDescent="0.25">
      <c r="A86" t="s">
        <v>100</v>
      </c>
      <c r="B86" s="160">
        <f>IF('Water Consmp.'!C16="","",'Water Consmp.'!C16)</f>
        <v>347</v>
      </c>
      <c r="C86" s="160">
        <f>IF('Water Consmp.'!D16="","",'Water Consmp.'!D16)</f>
        <v>345</v>
      </c>
      <c r="D86" s="160">
        <f>IF('Water Consmp.'!E16="","",'Water Consmp.'!E16)</f>
        <v>345</v>
      </c>
      <c r="E86" s="160">
        <f>IF('Water Consmp.'!F16="","",'Water Consmp.'!F16)</f>
        <v>345</v>
      </c>
      <c r="F86" s="160">
        <f>IF('Water Consmp.'!G16="","",'Water Consmp.'!G16)</f>
        <v>345</v>
      </c>
      <c r="G86" s="160">
        <f>IF('Water Consmp.'!H16="","",'Water Consmp.'!H16)</f>
        <v>362</v>
      </c>
      <c r="H86" s="160">
        <f>IF('Water Consmp.'!I16="","",'Water Consmp.'!I16)</f>
        <v>370</v>
      </c>
      <c r="I86" s="160">
        <f>IF('Water Consmp.'!J16="","",'Water Consmp.'!J16)</f>
        <v>370</v>
      </c>
      <c r="J86" s="160" t="str">
        <f>IF('Water Consmp.'!K16="","",'Water Consmp.'!K16)</f>
        <v/>
      </c>
      <c r="K86" s="160" t="str">
        <f>IF('Water Consmp.'!L16="","",'Water Consmp.'!L16)</f>
        <v/>
      </c>
      <c r="L86" s="160" t="str">
        <f>IF('Water Consmp.'!M16="","",'Water Consmp.'!M16)</f>
        <v/>
      </c>
      <c r="M86" s="160" t="str">
        <f>IF('Water Consmp.'!N16="","",'Water Consmp.'!N16)</f>
        <v/>
      </c>
      <c r="N86" s="160">
        <f t="shared" si="16"/>
        <v>353.625</v>
      </c>
      <c r="O86" s="160">
        <f t="shared" si="17"/>
        <v>353.625</v>
      </c>
    </row>
    <row r="87" spans="1:15" x14ac:dyDescent="0.25">
      <c r="A87" t="s">
        <v>224</v>
      </c>
      <c r="B87" s="160">
        <f>IF('Water Consmp.'!C32="","",'Water Consmp.'!C32)</f>
        <v>300</v>
      </c>
      <c r="C87" s="160">
        <f>IF('Water Consmp.'!D32="","",'Water Consmp.'!D32)</f>
        <v>300</v>
      </c>
      <c r="D87" s="160">
        <f>IF('Water Consmp.'!E32="","",'Water Consmp.'!E32)</f>
        <v>300</v>
      </c>
      <c r="E87" s="160">
        <f>IF('Water Consmp.'!F32="","",'Water Consmp.'!F32)</f>
        <v>300</v>
      </c>
      <c r="F87" s="160">
        <f>IF('Water Consmp.'!G32="","",'Water Consmp.'!G32)</f>
        <v>10</v>
      </c>
      <c r="G87" s="160">
        <f>IF('Water Consmp.'!H32="","",'Water Consmp.'!H32)</f>
        <v>288</v>
      </c>
      <c r="H87" s="160">
        <f>IF('Water Consmp.'!I32="","",'Water Consmp.'!I32)</f>
        <v>288</v>
      </c>
      <c r="I87" s="160">
        <f>IF('Water Consmp.'!J32="","",'Water Consmp.'!J32)</f>
        <v>288</v>
      </c>
      <c r="J87" s="160">
        <f>IF('Water Consmp.'!K32="","",'Water Consmp.'!K32)</f>
        <v>288</v>
      </c>
      <c r="K87" s="160" t="str">
        <f>IF('Water Consmp.'!L32="","",'Water Consmp.'!L32)</f>
        <v/>
      </c>
      <c r="L87" s="160" t="str">
        <f>IF('Water Consmp.'!M32="","",'Water Consmp.'!M32)</f>
        <v/>
      </c>
      <c r="M87" s="160" t="str">
        <f>IF('Water Consmp.'!N32="","",'Water Consmp.'!N32)</f>
        <v/>
      </c>
      <c r="N87" s="160">
        <f t="shared" si="16"/>
        <v>262.44444444444446</v>
      </c>
      <c r="O87" s="160">
        <f t="shared" si="17"/>
        <v>262.44444444444446</v>
      </c>
    </row>
    <row r="88" spans="1:15" x14ac:dyDescent="0.25">
      <c r="A88" t="s">
        <v>106</v>
      </c>
      <c r="B88" s="160">
        <f>IF('Water Consmp.'!C36="","",'Water Consmp.'!C36)</f>
        <v>560</v>
      </c>
      <c r="C88" s="160">
        <f>IF('Water Consmp.'!D36="","",'Water Consmp.'!D36)</f>
        <v>560</v>
      </c>
      <c r="D88" s="160">
        <f>IF('Water Consmp.'!E36="","",'Water Consmp.'!E36)</f>
        <v>560</v>
      </c>
      <c r="E88" s="160">
        <f>IF('Water Consmp.'!F36="","",'Water Consmp.'!F36)</f>
        <v>560</v>
      </c>
      <c r="F88" s="160">
        <f>IF('Water Consmp.'!G36="","",'Water Consmp.'!G36)</f>
        <v>20</v>
      </c>
      <c r="G88" s="160">
        <f>IF('Water Consmp.'!H36="","",'Water Consmp.'!H36)</f>
        <v>600</v>
      </c>
      <c r="H88" s="160">
        <f>IF('Water Consmp.'!I36="","",'Water Consmp.'!I36)</f>
        <v>600</v>
      </c>
      <c r="I88" s="160">
        <f>IF('Water Consmp.'!J36="","",'Water Consmp.'!J36)</f>
        <v>600</v>
      </c>
      <c r="J88" s="160">
        <f>IF('Water Consmp.'!K36="","",'Water Consmp.'!K36)</f>
        <v>600</v>
      </c>
      <c r="K88" s="160" t="str">
        <f>IF('Water Consmp.'!L36="","",'Water Consmp.'!L36)</f>
        <v/>
      </c>
      <c r="L88" s="160" t="str">
        <f>IF('Water Consmp.'!M36="","",'Water Consmp.'!M36)</f>
        <v/>
      </c>
      <c r="M88" s="160" t="str">
        <f>IF('Water Consmp.'!N36="","",'Water Consmp.'!N36)</f>
        <v/>
      </c>
      <c r="N88" s="160">
        <f t="shared" si="16"/>
        <v>517.77777777777783</v>
      </c>
      <c r="O88" s="160">
        <f t="shared" si="17"/>
        <v>517.77777777777783</v>
      </c>
    </row>
    <row r="89" spans="1:15" x14ac:dyDescent="0.25">
      <c r="A89" t="s">
        <v>108</v>
      </c>
      <c r="B89" s="160">
        <f>IF('Water Consmp.'!C24="","",'Water Consmp.'!C24)</f>
        <v>1445</v>
      </c>
      <c r="C89" s="160">
        <f>IF('Water Consmp.'!D24="","",'Water Consmp.'!D24)</f>
        <v>1445</v>
      </c>
      <c r="D89" s="160">
        <f>IF('Water Consmp.'!E24="","",'Water Consmp.'!E24)</f>
        <v>1445</v>
      </c>
      <c r="E89" s="160">
        <f>IF('Water Consmp.'!F24="","",'Water Consmp.'!F24)</f>
        <v>1445</v>
      </c>
      <c r="F89" s="160">
        <f>IF('Water Consmp.'!G24="","",'Water Consmp.'!G24)</f>
        <v>1445</v>
      </c>
      <c r="G89" s="160">
        <f>IF('Water Consmp.'!H24="","",'Water Consmp.'!H24)</f>
        <v>1384</v>
      </c>
      <c r="H89" s="160">
        <f>IF('Water Consmp.'!I24="","",'Water Consmp.'!I24)</f>
        <v>1400</v>
      </c>
      <c r="I89" s="160">
        <f>IF('Water Consmp.'!J24="","",'Water Consmp.'!J24)</f>
        <v>1400</v>
      </c>
      <c r="J89" s="160">
        <f>IF('Water Consmp.'!K24="","",'Water Consmp.'!K24)</f>
        <v>1422</v>
      </c>
      <c r="K89" s="160" t="str">
        <f>IF('Water Consmp.'!L24="","",'Water Consmp.'!L24)</f>
        <v/>
      </c>
      <c r="L89" s="160" t="str">
        <f>IF('Water Consmp.'!M24="","",'Water Consmp.'!M24)</f>
        <v/>
      </c>
      <c r="M89" s="160" t="str">
        <f>IF('Water Consmp.'!N24="","",'Water Consmp.'!N24)</f>
        <v/>
      </c>
      <c r="N89" s="160">
        <f t="shared" si="16"/>
        <v>1425.6666666666667</v>
      </c>
      <c r="O89" s="160">
        <f t="shared" si="17"/>
        <v>1425.6666666666667</v>
      </c>
    </row>
    <row r="90" spans="1:15" x14ac:dyDescent="0.25">
      <c r="A90" t="s">
        <v>110</v>
      </c>
      <c r="B90" s="160">
        <f>IF('Water Consmp.'!C28="","",'Water Consmp.'!C28)</f>
        <v>1229</v>
      </c>
      <c r="C90" s="160">
        <f>IF('Water Consmp.'!D28="","",'Water Consmp.'!D28)</f>
        <v>1229</v>
      </c>
      <c r="D90" s="160">
        <f>IF('Water Consmp.'!E28="","",'Water Consmp.'!E28)</f>
        <v>1229</v>
      </c>
      <c r="E90" s="160">
        <f>IF('Water Consmp.'!F28="","",'Water Consmp.'!F28)</f>
        <v>1229</v>
      </c>
      <c r="F90" s="160">
        <f>IF('Water Consmp.'!G28="","",'Water Consmp.'!G28)</f>
        <v>22</v>
      </c>
      <c r="G90" s="160">
        <f>IF('Water Consmp.'!H28="","",'Water Consmp.'!H28)</f>
        <v>1151</v>
      </c>
      <c r="H90" s="160">
        <f>IF('Water Consmp.'!I28="","",'Water Consmp.'!I28)</f>
        <v>1154</v>
      </c>
      <c r="I90" s="160">
        <f>IF('Water Consmp.'!J28="","",'Water Consmp.'!J28)</f>
        <v>1154</v>
      </c>
      <c r="J90" s="160">
        <f>IF('Water Consmp.'!K28="","",'Water Consmp.'!K28)</f>
        <v>1154</v>
      </c>
      <c r="K90" s="160" t="str">
        <f>IF('Water Consmp.'!L28="","",'Water Consmp.'!L28)</f>
        <v/>
      </c>
      <c r="L90" s="160" t="str">
        <f>IF('Water Consmp.'!M28="","",'Water Consmp.'!M28)</f>
        <v/>
      </c>
      <c r="M90" s="160" t="str">
        <f>IF('Water Consmp.'!N28="","",'Water Consmp.'!N28)</f>
        <v/>
      </c>
      <c r="N90" s="160">
        <f t="shared" si="16"/>
        <v>1061.2222222222222</v>
      </c>
      <c r="O90" s="160">
        <f t="shared" si="17"/>
        <v>1061.2222222222222</v>
      </c>
    </row>
    <row r="91" spans="1:15" x14ac:dyDescent="0.25">
      <c r="A91" t="s">
        <v>112</v>
      </c>
      <c r="B91" s="160">
        <f>IF('Water Consmp.'!C40="","",'Water Consmp.'!C40)</f>
        <v>140</v>
      </c>
      <c r="C91" s="160">
        <f>IF('Water Consmp.'!D40="","",'Water Consmp.'!D40)</f>
        <v>140</v>
      </c>
      <c r="D91" s="160">
        <f>IF('Water Consmp.'!E40="","",'Water Consmp.'!E40)</f>
        <v>140</v>
      </c>
      <c r="E91" s="160">
        <f>IF('Water Consmp.'!F40="","",'Water Consmp.'!F40)</f>
        <v>140</v>
      </c>
      <c r="F91" s="160">
        <f>IF('Water Consmp.'!G40="","",'Water Consmp.'!G40)</f>
        <v>90</v>
      </c>
      <c r="G91" s="160">
        <f>IF('Water Consmp.'!H40="","",'Water Consmp.'!H40)</f>
        <v>153</v>
      </c>
      <c r="H91" s="160">
        <f>IF('Water Consmp.'!I40="","",'Water Consmp.'!I40)</f>
        <v>153</v>
      </c>
      <c r="I91" s="160">
        <f>IF('Water Consmp.'!J40="","",'Water Consmp.'!J40)</f>
        <v>153</v>
      </c>
      <c r="J91" s="160">
        <f>IF('Water Consmp.'!K40="","",'Water Consmp.'!K40)</f>
        <v>153</v>
      </c>
      <c r="K91" s="160" t="str">
        <f>IF('Water Consmp.'!L40="","",'Water Consmp.'!L40)</f>
        <v/>
      </c>
      <c r="L91" s="160" t="str">
        <f>IF('Water Consmp.'!M40="","",'Water Consmp.'!M40)</f>
        <v/>
      </c>
      <c r="M91" s="160" t="str">
        <f>IF('Water Consmp.'!N40="","",'Water Consmp.'!N40)</f>
        <v/>
      </c>
      <c r="N91" s="160">
        <f t="shared" si="16"/>
        <v>140.22222222222223</v>
      </c>
      <c r="O91" s="160">
        <f t="shared" si="17"/>
        <v>140.22222222222223</v>
      </c>
    </row>
    <row r="92" spans="1:15" x14ac:dyDescent="0.25">
      <c r="A92" s="526" t="s">
        <v>9</v>
      </c>
      <c r="B92" s="527">
        <f t="shared" ref="B92:M92" si="18">IF(COUNT(B82:B91)=0,"",SUM(B82:B91))</f>
        <v>7618</v>
      </c>
      <c r="C92" s="527">
        <f t="shared" si="18"/>
        <v>7586</v>
      </c>
      <c r="D92" s="527">
        <f t="shared" si="18"/>
        <v>7530</v>
      </c>
      <c r="E92" s="527">
        <f t="shared" si="18"/>
        <v>7528</v>
      </c>
      <c r="F92" s="527">
        <f t="shared" si="18"/>
        <v>2774</v>
      </c>
      <c r="G92" s="527">
        <f t="shared" si="18"/>
        <v>7426</v>
      </c>
      <c r="H92" s="527">
        <f t="shared" si="18"/>
        <v>7537</v>
      </c>
      <c r="I92" s="527">
        <f t="shared" si="18"/>
        <v>6718</v>
      </c>
      <c r="J92" s="527">
        <f t="shared" si="18"/>
        <v>6374</v>
      </c>
      <c r="K92" s="527" t="str">
        <f t="shared" si="18"/>
        <v/>
      </c>
      <c r="L92" s="527" t="str">
        <f t="shared" si="18"/>
        <v/>
      </c>
      <c r="M92" s="527" t="str">
        <f t="shared" si="18"/>
        <v/>
      </c>
      <c r="N92" s="527">
        <f t="shared" si="16"/>
        <v>6787.8888888888887</v>
      </c>
      <c r="O92" s="527">
        <f>IF(COUNT(O82:O91)=0,"",SUM(O82:O91))</f>
        <v>7000.894841269841</v>
      </c>
    </row>
    <row r="93" spans="1:15" x14ac:dyDescent="0.25">
      <c r="A93" s="528" t="s">
        <v>599</v>
      </c>
      <c r="B93" s="529">
        <f t="shared" ref="B93:M93" si="19">COUNT(B82:B91)</f>
        <v>10</v>
      </c>
      <c r="C93" s="529">
        <f t="shared" si="19"/>
        <v>10</v>
      </c>
      <c r="D93" s="529">
        <f t="shared" si="19"/>
        <v>10</v>
      </c>
      <c r="E93" s="529">
        <f t="shared" si="19"/>
        <v>10</v>
      </c>
      <c r="F93" s="529">
        <f t="shared" si="19"/>
        <v>10</v>
      </c>
      <c r="G93" s="529">
        <f t="shared" si="19"/>
        <v>10</v>
      </c>
      <c r="H93" s="529">
        <f t="shared" si="19"/>
        <v>10</v>
      </c>
      <c r="I93" s="529">
        <f t="shared" si="19"/>
        <v>9</v>
      </c>
      <c r="J93" s="529">
        <f t="shared" si="19"/>
        <v>8</v>
      </c>
      <c r="K93" s="529">
        <f t="shared" si="19"/>
        <v>0</v>
      </c>
      <c r="L93" s="529">
        <f t="shared" si="19"/>
        <v>0</v>
      </c>
      <c r="M93" s="529">
        <f t="shared" si="19"/>
        <v>0</v>
      </c>
      <c r="N93" s="529">
        <f>COUNT(B92:M92)</f>
        <v>9</v>
      </c>
    </row>
    <row r="95" spans="1:15" x14ac:dyDescent="0.25">
      <c r="A95" s="525" t="s">
        <v>604</v>
      </c>
    </row>
    <row r="96" spans="1:15" ht="25.5" x14ac:dyDescent="0.25">
      <c r="A96" s="523" t="s">
        <v>36</v>
      </c>
      <c r="B96" s="523" t="s">
        <v>576</v>
      </c>
      <c r="C96" s="523" t="s">
        <v>578</v>
      </c>
      <c r="D96" s="523" t="s">
        <v>580</v>
      </c>
      <c r="E96" s="523" t="s">
        <v>582</v>
      </c>
      <c r="F96" s="523" t="s">
        <v>584</v>
      </c>
      <c r="G96" s="523" t="s">
        <v>586</v>
      </c>
      <c r="H96" s="523" t="s">
        <v>588</v>
      </c>
      <c r="I96" s="523" t="s">
        <v>7</v>
      </c>
      <c r="J96" s="523" t="s">
        <v>591</v>
      </c>
      <c r="K96" s="523" t="s">
        <v>593</v>
      </c>
      <c r="L96" s="523" t="s">
        <v>595</v>
      </c>
      <c r="M96" s="523" t="s">
        <v>596</v>
      </c>
      <c r="N96" s="523" t="s">
        <v>574</v>
      </c>
      <c r="O96" s="523" t="s">
        <v>598</v>
      </c>
    </row>
    <row r="97" spans="1:15" x14ac:dyDescent="0.25">
      <c r="A97" t="s">
        <v>85</v>
      </c>
      <c r="B97" s="160">
        <f t="shared" ref="B97:B106" si="20">IF(OR(B67="",B82=""),"",B82*$F$4)</f>
        <v>39401</v>
      </c>
      <c r="C97" s="160">
        <f t="shared" ref="C97:C106" si="21">IF(OR(C67="",C82=""),"",C82*$F$5)</f>
        <v>34748</v>
      </c>
      <c r="D97" s="160">
        <f t="shared" ref="D97:D106" si="22">IF(OR(D67="",D82=""),"",D82*$F$6)</f>
        <v>38440</v>
      </c>
      <c r="E97" s="160">
        <f t="shared" ref="E97:E106" si="23">IF(OR(E67="",E82=""),"",E82*$F$7)</f>
        <v>37200</v>
      </c>
      <c r="F97" s="160">
        <f t="shared" ref="F97:F106" si="24">IF(OR(F67="",F82=""),"",F82*$F$8)</f>
        <v>1271</v>
      </c>
      <c r="G97" s="160">
        <f t="shared" ref="G97:G106" si="25">IF(OR(G67="",G82=""),"",G82*$F$9)</f>
        <v>35490</v>
      </c>
      <c r="H97" s="160">
        <f t="shared" ref="H97:H106" si="26">IF(OR(H67="",H82=""),"",H82*$F$10)</f>
        <v>37076</v>
      </c>
      <c r="I97" s="160">
        <f t="shared" ref="I97:I106" si="27">IF(OR(I67="",I82=""),"",I82*$F$11)</f>
        <v>37293</v>
      </c>
      <c r="J97" s="160">
        <f t="shared" ref="J97:J106" si="28">IF(OR(J67="",J82=""),"",J82*$F$12)</f>
        <v>36210</v>
      </c>
      <c r="K97" s="160" t="str">
        <f t="shared" ref="K97:K106" si="29">IF(OR(K67="",K82=""),"",K82*$F$13)</f>
        <v/>
      </c>
      <c r="L97" s="160" t="str">
        <f t="shared" ref="L97:L106" si="30">IF(OR(L67="",L82=""),"",L82*$F$14)</f>
        <v/>
      </c>
      <c r="M97" s="160" t="str">
        <f t="shared" ref="M97:M106" si="31">IF(OR(M67="",M82=""),"",M82*$F$15)</f>
        <v/>
      </c>
      <c r="N97" s="160">
        <f t="shared" ref="N97:N106" si="32">IF(COUNT(B97:M97)=0,"",SUM(B97:M97))</f>
        <v>297129</v>
      </c>
      <c r="O97" s="160">
        <f t="shared" ref="O97:O106" si="33">IF(COUNT(B97:M97)=0,"",AVERAGE(B97:M97))</f>
        <v>33014.333333333336</v>
      </c>
    </row>
    <row r="98" spans="1:15" x14ac:dyDescent="0.25">
      <c r="A98" t="s">
        <v>91</v>
      </c>
      <c r="B98" s="160">
        <f t="shared" si="20"/>
        <v>31310</v>
      </c>
      <c r="C98" s="160">
        <f t="shared" si="21"/>
        <v>28280</v>
      </c>
      <c r="D98" s="160">
        <f t="shared" si="22"/>
        <v>31310</v>
      </c>
      <c r="E98" s="160">
        <f t="shared" si="23"/>
        <v>30240</v>
      </c>
      <c r="F98" s="160">
        <f t="shared" si="24"/>
        <v>620</v>
      </c>
      <c r="G98" s="160">
        <f t="shared" si="25"/>
        <v>30570</v>
      </c>
      <c r="H98" s="160">
        <f t="shared" si="26"/>
        <v>31620</v>
      </c>
      <c r="I98" s="160">
        <f t="shared" si="27"/>
        <v>31620</v>
      </c>
      <c r="J98" s="160">
        <f t="shared" si="28"/>
        <v>30600</v>
      </c>
      <c r="K98" s="160" t="str">
        <f t="shared" si="29"/>
        <v/>
      </c>
      <c r="L98" s="160" t="str">
        <f t="shared" si="30"/>
        <v/>
      </c>
      <c r="M98" s="160" t="str">
        <f t="shared" si="31"/>
        <v/>
      </c>
      <c r="N98" s="160">
        <f t="shared" si="32"/>
        <v>246170</v>
      </c>
      <c r="O98" s="160">
        <f t="shared" si="33"/>
        <v>27352.222222222223</v>
      </c>
    </row>
    <row r="99" spans="1:15" x14ac:dyDescent="0.25">
      <c r="A99" t="s">
        <v>93</v>
      </c>
      <c r="B99" s="160">
        <f t="shared" si="20"/>
        <v>25141</v>
      </c>
      <c r="C99" s="160">
        <f t="shared" si="21"/>
        <v>22708</v>
      </c>
      <c r="D99" s="160">
        <f t="shared" si="22"/>
        <v>23436</v>
      </c>
      <c r="E99" s="160">
        <f t="shared" si="23"/>
        <v>22680</v>
      </c>
      <c r="F99" s="160">
        <f t="shared" si="24"/>
        <v>23436</v>
      </c>
      <c r="G99" s="160">
        <f t="shared" si="25"/>
        <v>22680</v>
      </c>
      <c r="H99" s="160">
        <f t="shared" si="26"/>
        <v>25606</v>
      </c>
      <c r="I99" s="160" t="str">
        <f t="shared" si="27"/>
        <v/>
      </c>
      <c r="J99" s="160" t="str">
        <f t="shared" si="28"/>
        <v/>
      </c>
      <c r="K99" s="160" t="str">
        <f t="shared" si="29"/>
        <v/>
      </c>
      <c r="L99" s="160" t="str">
        <f t="shared" si="30"/>
        <v/>
      </c>
      <c r="M99" s="160" t="str">
        <f t="shared" si="31"/>
        <v/>
      </c>
      <c r="N99" s="160">
        <f t="shared" si="32"/>
        <v>165687</v>
      </c>
      <c r="O99" s="160">
        <f t="shared" si="33"/>
        <v>23669.571428571428</v>
      </c>
    </row>
    <row r="100" spans="1:15" x14ac:dyDescent="0.25">
      <c r="A100" t="s">
        <v>98</v>
      </c>
      <c r="B100" s="160">
        <f t="shared" si="20"/>
        <v>15655</v>
      </c>
      <c r="C100" s="160">
        <f t="shared" si="21"/>
        <v>14140</v>
      </c>
      <c r="D100" s="160">
        <f t="shared" si="22"/>
        <v>15655</v>
      </c>
      <c r="E100" s="160">
        <f t="shared" si="23"/>
        <v>15150</v>
      </c>
      <c r="F100" s="160">
        <f t="shared" si="24"/>
        <v>775</v>
      </c>
      <c r="G100" s="160">
        <f t="shared" si="25"/>
        <v>15900</v>
      </c>
      <c r="H100" s="160">
        <f t="shared" si="26"/>
        <v>16430</v>
      </c>
      <c r="I100" s="160">
        <f t="shared" si="27"/>
        <v>16430</v>
      </c>
      <c r="J100" s="160">
        <f t="shared" si="28"/>
        <v>15900</v>
      </c>
      <c r="K100" s="160" t="str">
        <f t="shared" si="29"/>
        <v/>
      </c>
      <c r="L100" s="160" t="str">
        <f t="shared" si="30"/>
        <v/>
      </c>
      <c r="M100" s="160" t="str">
        <f t="shared" si="31"/>
        <v/>
      </c>
      <c r="N100" s="160">
        <f t="shared" si="32"/>
        <v>126035</v>
      </c>
      <c r="O100" s="160">
        <f t="shared" si="33"/>
        <v>14003.888888888889</v>
      </c>
    </row>
    <row r="101" spans="1:15" x14ac:dyDescent="0.25">
      <c r="A101" t="s">
        <v>100</v>
      </c>
      <c r="B101" s="160">
        <f t="shared" si="20"/>
        <v>10757</v>
      </c>
      <c r="C101" s="160">
        <f t="shared" si="21"/>
        <v>9660</v>
      </c>
      <c r="D101" s="160">
        <f t="shared" si="22"/>
        <v>10695</v>
      </c>
      <c r="E101" s="160">
        <f t="shared" si="23"/>
        <v>10350</v>
      </c>
      <c r="F101" s="160">
        <f t="shared" si="24"/>
        <v>10695</v>
      </c>
      <c r="G101" s="160">
        <f t="shared" si="25"/>
        <v>10860</v>
      </c>
      <c r="H101" s="160">
        <f t="shared" si="26"/>
        <v>11470</v>
      </c>
      <c r="I101" s="160">
        <f t="shared" si="27"/>
        <v>11470</v>
      </c>
      <c r="J101" s="160" t="str">
        <f t="shared" si="28"/>
        <v/>
      </c>
      <c r="K101" s="160" t="str">
        <f t="shared" si="29"/>
        <v/>
      </c>
      <c r="L101" s="160" t="str">
        <f t="shared" si="30"/>
        <v/>
      </c>
      <c r="M101" s="160" t="str">
        <f t="shared" si="31"/>
        <v/>
      </c>
      <c r="N101" s="160">
        <f t="shared" si="32"/>
        <v>85957</v>
      </c>
      <c r="O101" s="160">
        <f t="shared" si="33"/>
        <v>10744.625</v>
      </c>
    </row>
    <row r="102" spans="1:15" x14ac:dyDescent="0.25">
      <c r="A102" t="s">
        <v>224</v>
      </c>
      <c r="B102" s="160">
        <f t="shared" si="20"/>
        <v>9300</v>
      </c>
      <c r="C102" s="160">
        <f t="shared" si="21"/>
        <v>8400</v>
      </c>
      <c r="D102" s="160">
        <f t="shared" si="22"/>
        <v>9300</v>
      </c>
      <c r="E102" s="160">
        <f t="shared" si="23"/>
        <v>9000</v>
      </c>
      <c r="F102" s="160">
        <f t="shared" si="24"/>
        <v>310</v>
      </c>
      <c r="G102" s="160">
        <f t="shared" si="25"/>
        <v>8640</v>
      </c>
      <c r="H102" s="160">
        <f t="shared" si="26"/>
        <v>8928</v>
      </c>
      <c r="I102" s="160">
        <f t="shared" si="27"/>
        <v>8928</v>
      </c>
      <c r="J102" s="160">
        <f t="shared" si="28"/>
        <v>8640</v>
      </c>
      <c r="K102" s="160" t="str">
        <f t="shared" si="29"/>
        <v/>
      </c>
      <c r="L102" s="160" t="str">
        <f t="shared" si="30"/>
        <v/>
      </c>
      <c r="M102" s="160" t="str">
        <f t="shared" si="31"/>
        <v/>
      </c>
      <c r="N102" s="160">
        <f t="shared" si="32"/>
        <v>71446</v>
      </c>
      <c r="O102" s="160">
        <f t="shared" si="33"/>
        <v>7938.4444444444443</v>
      </c>
    </row>
    <row r="103" spans="1:15" x14ac:dyDescent="0.25">
      <c r="A103" t="s">
        <v>106</v>
      </c>
      <c r="B103" s="160">
        <f t="shared" si="20"/>
        <v>17360</v>
      </c>
      <c r="C103" s="160">
        <f t="shared" si="21"/>
        <v>15680</v>
      </c>
      <c r="D103" s="160">
        <f t="shared" si="22"/>
        <v>17360</v>
      </c>
      <c r="E103" s="160">
        <f t="shared" si="23"/>
        <v>16800</v>
      </c>
      <c r="F103" s="160">
        <f t="shared" si="24"/>
        <v>620</v>
      </c>
      <c r="G103" s="160">
        <f t="shared" si="25"/>
        <v>18000</v>
      </c>
      <c r="H103" s="160">
        <f t="shared" si="26"/>
        <v>18600</v>
      </c>
      <c r="I103" s="160">
        <f t="shared" si="27"/>
        <v>18600</v>
      </c>
      <c r="J103" s="160">
        <f t="shared" si="28"/>
        <v>18000</v>
      </c>
      <c r="K103" s="160" t="str">
        <f t="shared" si="29"/>
        <v/>
      </c>
      <c r="L103" s="160" t="str">
        <f t="shared" si="30"/>
        <v/>
      </c>
      <c r="M103" s="160" t="str">
        <f t="shared" si="31"/>
        <v/>
      </c>
      <c r="N103" s="160">
        <f t="shared" si="32"/>
        <v>141020</v>
      </c>
      <c r="O103" s="160">
        <f t="shared" si="33"/>
        <v>15668.888888888889</v>
      </c>
    </row>
    <row r="104" spans="1:15" x14ac:dyDescent="0.25">
      <c r="A104" t="s">
        <v>108</v>
      </c>
      <c r="B104" s="160">
        <f t="shared" si="20"/>
        <v>44795</v>
      </c>
      <c r="C104" s="160">
        <f t="shared" si="21"/>
        <v>40460</v>
      </c>
      <c r="D104" s="160">
        <f t="shared" si="22"/>
        <v>44795</v>
      </c>
      <c r="E104" s="160">
        <f t="shared" si="23"/>
        <v>43350</v>
      </c>
      <c r="F104" s="160">
        <f t="shared" si="24"/>
        <v>44795</v>
      </c>
      <c r="G104" s="160">
        <f t="shared" si="25"/>
        <v>41520</v>
      </c>
      <c r="H104" s="160">
        <f t="shared" si="26"/>
        <v>43400</v>
      </c>
      <c r="I104" s="160">
        <f t="shared" si="27"/>
        <v>43400</v>
      </c>
      <c r="J104" s="160">
        <f t="shared" si="28"/>
        <v>42660</v>
      </c>
      <c r="K104" s="160" t="str">
        <f t="shared" si="29"/>
        <v/>
      </c>
      <c r="L104" s="160" t="str">
        <f t="shared" si="30"/>
        <v/>
      </c>
      <c r="M104" s="160" t="str">
        <f t="shared" si="31"/>
        <v/>
      </c>
      <c r="N104" s="160">
        <f t="shared" si="32"/>
        <v>389175</v>
      </c>
      <c r="O104" s="160">
        <f t="shared" si="33"/>
        <v>43241.666666666664</v>
      </c>
    </row>
    <row r="105" spans="1:15" x14ac:dyDescent="0.25">
      <c r="A105" t="s">
        <v>110</v>
      </c>
      <c r="B105" s="160">
        <f t="shared" si="20"/>
        <v>38099</v>
      </c>
      <c r="C105" s="160">
        <f t="shared" si="21"/>
        <v>34412</v>
      </c>
      <c r="D105" s="160">
        <f t="shared" si="22"/>
        <v>38099</v>
      </c>
      <c r="E105" s="160">
        <f t="shared" si="23"/>
        <v>36870</v>
      </c>
      <c r="F105" s="160">
        <f t="shared" si="24"/>
        <v>682</v>
      </c>
      <c r="G105" s="160">
        <f t="shared" si="25"/>
        <v>34530</v>
      </c>
      <c r="H105" s="160">
        <f t="shared" si="26"/>
        <v>35774</v>
      </c>
      <c r="I105" s="160">
        <f t="shared" si="27"/>
        <v>35774</v>
      </c>
      <c r="J105" s="160">
        <f t="shared" si="28"/>
        <v>34620</v>
      </c>
      <c r="K105" s="160" t="str">
        <f t="shared" si="29"/>
        <v/>
      </c>
      <c r="L105" s="160" t="str">
        <f t="shared" si="30"/>
        <v/>
      </c>
      <c r="M105" s="160" t="str">
        <f t="shared" si="31"/>
        <v/>
      </c>
      <c r="N105" s="160">
        <f t="shared" si="32"/>
        <v>288860</v>
      </c>
      <c r="O105" s="160">
        <f t="shared" si="33"/>
        <v>32095.555555555555</v>
      </c>
    </row>
    <row r="106" spans="1:15" x14ac:dyDescent="0.25">
      <c r="A106" t="s">
        <v>112</v>
      </c>
      <c r="B106" s="160">
        <f t="shared" si="20"/>
        <v>4340</v>
      </c>
      <c r="C106" s="160">
        <f t="shared" si="21"/>
        <v>3920</v>
      </c>
      <c r="D106" s="160">
        <f t="shared" si="22"/>
        <v>4340</v>
      </c>
      <c r="E106" s="160">
        <f t="shared" si="23"/>
        <v>4200</v>
      </c>
      <c r="F106" s="160">
        <f t="shared" si="24"/>
        <v>2790</v>
      </c>
      <c r="G106" s="160">
        <f t="shared" si="25"/>
        <v>4590</v>
      </c>
      <c r="H106" s="160">
        <f t="shared" si="26"/>
        <v>4743</v>
      </c>
      <c r="I106" s="160">
        <f t="shared" si="27"/>
        <v>4743</v>
      </c>
      <c r="J106" s="160">
        <f t="shared" si="28"/>
        <v>4590</v>
      </c>
      <c r="K106" s="160" t="str">
        <f t="shared" si="29"/>
        <v/>
      </c>
      <c r="L106" s="160" t="str">
        <f t="shared" si="30"/>
        <v/>
      </c>
      <c r="M106" s="160" t="str">
        <f t="shared" si="31"/>
        <v/>
      </c>
      <c r="N106" s="160">
        <f t="shared" si="32"/>
        <v>38256</v>
      </c>
      <c r="O106" s="160">
        <f t="shared" si="33"/>
        <v>4250.666666666667</v>
      </c>
    </row>
    <row r="107" spans="1:15" x14ac:dyDescent="0.25">
      <c r="A107" s="526" t="s">
        <v>9</v>
      </c>
      <c r="B107" s="527">
        <f t="shared" ref="B107:O107" si="34">IF(COUNT(B97:B106)=0,"",SUM(B97:B106))</f>
        <v>236158</v>
      </c>
      <c r="C107" s="527">
        <f t="shared" si="34"/>
        <v>212408</v>
      </c>
      <c r="D107" s="527">
        <f t="shared" si="34"/>
        <v>233430</v>
      </c>
      <c r="E107" s="527">
        <f t="shared" si="34"/>
        <v>225840</v>
      </c>
      <c r="F107" s="527">
        <f t="shared" si="34"/>
        <v>85994</v>
      </c>
      <c r="G107" s="527">
        <f t="shared" si="34"/>
        <v>222780</v>
      </c>
      <c r="H107" s="527">
        <f t="shared" si="34"/>
        <v>233647</v>
      </c>
      <c r="I107" s="527">
        <f t="shared" si="34"/>
        <v>208258</v>
      </c>
      <c r="J107" s="527">
        <f t="shared" si="34"/>
        <v>191220</v>
      </c>
      <c r="K107" s="527" t="str">
        <f t="shared" si="34"/>
        <v/>
      </c>
      <c r="L107" s="527" t="str">
        <f t="shared" si="34"/>
        <v/>
      </c>
      <c r="M107" s="527" t="str">
        <f t="shared" si="34"/>
        <v/>
      </c>
      <c r="N107" s="527">
        <f t="shared" si="34"/>
        <v>1849735</v>
      </c>
      <c r="O107" s="527">
        <f t="shared" si="34"/>
        <v>211979.86309523808</v>
      </c>
    </row>
    <row r="108" spans="1:15" x14ac:dyDescent="0.25">
      <c r="A108" s="528" t="s">
        <v>599</v>
      </c>
      <c r="B108" s="529">
        <f t="shared" ref="B108:M108" si="35">COUNT(B97:B106)</f>
        <v>10</v>
      </c>
      <c r="C108" s="529">
        <f t="shared" si="35"/>
        <v>10</v>
      </c>
      <c r="D108" s="529">
        <f t="shared" si="35"/>
        <v>10</v>
      </c>
      <c r="E108" s="529">
        <f t="shared" si="35"/>
        <v>10</v>
      </c>
      <c r="F108" s="529">
        <f t="shared" si="35"/>
        <v>10</v>
      </c>
      <c r="G108" s="529">
        <f t="shared" si="35"/>
        <v>10</v>
      </c>
      <c r="H108" s="529">
        <f t="shared" si="35"/>
        <v>10</v>
      </c>
      <c r="I108" s="529">
        <f t="shared" si="35"/>
        <v>9</v>
      </c>
      <c r="J108" s="529">
        <f t="shared" si="35"/>
        <v>8</v>
      </c>
      <c r="K108" s="529">
        <f t="shared" si="35"/>
        <v>0</v>
      </c>
      <c r="L108" s="529">
        <f t="shared" si="35"/>
        <v>0</v>
      </c>
      <c r="M108" s="529">
        <f t="shared" si="35"/>
        <v>0</v>
      </c>
      <c r="N108" s="529">
        <f>COUNT(B107:M107)</f>
        <v>9</v>
      </c>
    </row>
    <row r="110" spans="1:15" x14ac:dyDescent="0.25">
      <c r="A110" s="525" t="s">
        <v>605</v>
      </c>
    </row>
    <row r="111" spans="1:15" ht="25.5" x14ac:dyDescent="0.25">
      <c r="A111" s="523" t="s">
        <v>36</v>
      </c>
      <c r="B111" s="523" t="s">
        <v>576</v>
      </c>
      <c r="C111" s="523" t="s">
        <v>578</v>
      </c>
      <c r="D111" s="523" t="s">
        <v>580</v>
      </c>
      <c r="E111" s="523" t="s">
        <v>582</v>
      </c>
      <c r="F111" s="523" t="s">
        <v>584</v>
      </c>
      <c r="G111" s="523" t="s">
        <v>586</v>
      </c>
      <c r="H111" s="523" t="s">
        <v>588</v>
      </c>
      <c r="I111" s="523" t="s">
        <v>7</v>
      </c>
      <c r="J111" s="523" t="s">
        <v>591</v>
      </c>
      <c r="K111" s="523" t="s">
        <v>593</v>
      </c>
      <c r="L111" s="523" t="s">
        <v>595</v>
      </c>
      <c r="M111" s="523" t="s">
        <v>596</v>
      </c>
      <c r="N111" s="523" t="s">
        <v>574</v>
      </c>
      <c r="O111" s="523" t="s">
        <v>598</v>
      </c>
    </row>
    <row r="112" spans="1:15" x14ac:dyDescent="0.25">
      <c r="A112" t="s">
        <v>85</v>
      </c>
      <c r="B112" s="160">
        <f t="shared" ref="B112:M112" si="36">IF(OR(B22="",B82=""),"",B82)</f>
        <v>1271</v>
      </c>
      <c r="C112" s="160">
        <f t="shared" si="36"/>
        <v>1241</v>
      </c>
      <c r="D112" s="160">
        <f t="shared" si="36"/>
        <v>1240</v>
      </c>
      <c r="E112" s="160">
        <f t="shared" si="36"/>
        <v>1240</v>
      </c>
      <c r="F112" s="160">
        <f t="shared" si="36"/>
        <v>41</v>
      </c>
      <c r="G112" s="160">
        <f t="shared" si="36"/>
        <v>1183</v>
      </c>
      <c r="H112" s="160">
        <f t="shared" si="36"/>
        <v>1196</v>
      </c>
      <c r="I112" s="160">
        <f t="shared" si="36"/>
        <v>1203</v>
      </c>
      <c r="J112" s="160" t="str">
        <f t="shared" si="36"/>
        <v/>
      </c>
      <c r="K112" s="160" t="str">
        <f t="shared" si="36"/>
        <v/>
      </c>
      <c r="L112" s="160" t="str">
        <f t="shared" si="36"/>
        <v/>
      </c>
      <c r="M112" s="160" t="str">
        <f t="shared" si="36"/>
        <v/>
      </c>
      <c r="N112" s="160">
        <f t="shared" ref="N112:N121" si="37">IF(COUNT(B112:M112)=0,"",SUM(B112:M112))</f>
        <v>8615</v>
      </c>
      <c r="O112" s="160">
        <f t="shared" ref="O112:O121" si="38">IF(COUNT(B112:M112)=0,"",AVERAGE(B112:M112))</f>
        <v>1076.875</v>
      </c>
    </row>
    <row r="113" spans="1:15" x14ac:dyDescent="0.25">
      <c r="A113" t="s">
        <v>91</v>
      </c>
      <c r="B113" s="160">
        <f t="shared" ref="B113:M113" si="39">IF(OR(B23="",B83=""),"",B83)</f>
        <v>1010</v>
      </c>
      <c r="C113" s="160">
        <f t="shared" si="39"/>
        <v>1010</v>
      </c>
      <c r="D113" s="160">
        <f t="shared" si="39"/>
        <v>1010</v>
      </c>
      <c r="E113" s="160">
        <f t="shared" si="39"/>
        <v>1008</v>
      </c>
      <c r="F113" s="160">
        <f t="shared" si="39"/>
        <v>20</v>
      </c>
      <c r="G113" s="160">
        <f t="shared" si="39"/>
        <v>1019</v>
      </c>
      <c r="H113" s="160">
        <f t="shared" si="39"/>
        <v>1020</v>
      </c>
      <c r="I113" s="160">
        <f t="shared" si="39"/>
        <v>1020</v>
      </c>
      <c r="J113" s="160">
        <f t="shared" si="39"/>
        <v>1020</v>
      </c>
      <c r="K113" s="160" t="str">
        <f t="shared" si="39"/>
        <v/>
      </c>
      <c r="L113" s="160" t="str">
        <f t="shared" si="39"/>
        <v/>
      </c>
      <c r="M113" s="160" t="str">
        <f t="shared" si="39"/>
        <v/>
      </c>
      <c r="N113" s="160">
        <f t="shared" si="37"/>
        <v>8137</v>
      </c>
      <c r="O113" s="160">
        <f t="shared" si="38"/>
        <v>904.11111111111109</v>
      </c>
    </row>
    <row r="114" spans="1:15" x14ac:dyDescent="0.25">
      <c r="A114" t="s">
        <v>93</v>
      </c>
      <c r="B114" s="160">
        <f t="shared" ref="B114:M114" si="40">IF(OR(B24="",B84=""),"",B84)</f>
        <v>811</v>
      </c>
      <c r="C114" s="160">
        <f t="shared" si="40"/>
        <v>811</v>
      </c>
      <c r="D114" s="160">
        <f t="shared" si="40"/>
        <v>756</v>
      </c>
      <c r="E114" s="160">
        <f t="shared" si="40"/>
        <v>756</v>
      </c>
      <c r="F114" s="160">
        <f t="shared" si="40"/>
        <v>756</v>
      </c>
      <c r="G114" s="160">
        <f t="shared" si="40"/>
        <v>756</v>
      </c>
      <c r="H114" s="160">
        <f t="shared" si="40"/>
        <v>826</v>
      </c>
      <c r="I114" s="160" t="str">
        <f t="shared" si="40"/>
        <v/>
      </c>
      <c r="J114" s="160" t="str">
        <f t="shared" si="40"/>
        <v/>
      </c>
      <c r="K114" s="160" t="str">
        <f t="shared" si="40"/>
        <v/>
      </c>
      <c r="L114" s="160" t="str">
        <f t="shared" si="40"/>
        <v/>
      </c>
      <c r="M114" s="160" t="str">
        <f t="shared" si="40"/>
        <v/>
      </c>
      <c r="N114" s="160">
        <f t="shared" si="37"/>
        <v>5472</v>
      </c>
      <c r="O114" s="160">
        <f t="shared" si="38"/>
        <v>781.71428571428567</v>
      </c>
    </row>
    <row r="115" spans="1:15" x14ac:dyDescent="0.25">
      <c r="A115" t="s">
        <v>98</v>
      </c>
      <c r="B115" s="160">
        <f t="shared" ref="B115:M115" si="41">IF(OR(B25="",B85=""),"",B85)</f>
        <v>505</v>
      </c>
      <c r="C115" s="160">
        <f t="shared" si="41"/>
        <v>505</v>
      </c>
      <c r="D115" s="160">
        <f t="shared" si="41"/>
        <v>505</v>
      </c>
      <c r="E115" s="160">
        <f t="shared" si="41"/>
        <v>505</v>
      </c>
      <c r="F115" s="160">
        <f t="shared" si="41"/>
        <v>25</v>
      </c>
      <c r="G115" s="160">
        <f t="shared" si="41"/>
        <v>530</v>
      </c>
      <c r="H115" s="160">
        <f t="shared" si="41"/>
        <v>530</v>
      </c>
      <c r="I115" s="160">
        <f t="shared" si="41"/>
        <v>530</v>
      </c>
      <c r="J115" s="160" t="str">
        <f t="shared" si="41"/>
        <v/>
      </c>
      <c r="K115" s="160" t="str">
        <f t="shared" si="41"/>
        <v/>
      </c>
      <c r="L115" s="160" t="str">
        <f t="shared" si="41"/>
        <v/>
      </c>
      <c r="M115" s="160" t="str">
        <f t="shared" si="41"/>
        <v/>
      </c>
      <c r="N115" s="160">
        <f t="shared" si="37"/>
        <v>3635</v>
      </c>
      <c r="O115" s="160">
        <f t="shared" si="38"/>
        <v>454.375</v>
      </c>
    </row>
    <row r="116" spans="1:15" x14ac:dyDescent="0.25">
      <c r="A116" t="s">
        <v>100</v>
      </c>
      <c r="B116" s="160">
        <f t="shared" ref="B116:M116" si="42">IF(OR(B26="",B86=""),"",B86)</f>
        <v>347</v>
      </c>
      <c r="C116" s="160">
        <f t="shared" si="42"/>
        <v>345</v>
      </c>
      <c r="D116" s="160">
        <f t="shared" si="42"/>
        <v>345</v>
      </c>
      <c r="E116" s="160">
        <f t="shared" si="42"/>
        <v>345</v>
      </c>
      <c r="F116" s="160">
        <f t="shared" si="42"/>
        <v>345</v>
      </c>
      <c r="G116" s="160">
        <f t="shared" si="42"/>
        <v>362</v>
      </c>
      <c r="H116" s="160">
        <f t="shared" si="42"/>
        <v>370</v>
      </c>
      <c r="I116" s="160">
        <f t="shared" si="42"/>
        <v>370</v>
      </c>
      <c r="J116" s="160" t="str">
        <f t="shared" si="42"/>
        <v/>
      </c>
      <c r="K116" s="160" t="str">
        <f t="shared" si="42"/>
        <v/>
      </c>
      <c r="L116" s="160" t="str">
        <f t="shared" si="42"/>
        <v/>
      </c>
      <c r="M116" s="160" t="str">
        <f t="shared" si="42"/>
        <v/>
      </c>
      <c r="N116" s="160">
        <f t="shared" si="37"/>
        <v>2829</v>
      </c>
      <c r="O116" s="160">
        <f t="shared" si="38"/>
        <v>353.625</v>
      </c>
    </row>
    <row r="117" spans="1:15" x14ac:dyDescent="0.25">
      <c r="A117" t="s">
        <v>224</v>
      </c>
      <c r="B117" s="160">
        <f t="shared" ref="B117:M117" si="43">IF(OR(B27="",B87=""),"",B87)</f>
        <v>300</v>
      </c>
      <c r="C117" s="160">
        <f t="shared" si="43"/>
        <v>300</v>
      </c>
      <c r="D117" s="160">
        <f t="shared" si="43"/>
        <v>300</v>
      </c>
      <c r="E117" s="160">
        <f t="shared" si="43"/>
        <v>300</v>
      </c>
      <c r="F117" s="160">
        <f t="shared" si="43"/>
        <v>10</v>
      </c>
      <c r="G117" s="160">
        <f t="shared" si="43"/>
        <v>288</v>
      </c>
      <c r="H117" s="160">
        <f t="shared" si="43"/>
        <v>288</v>
      </c>
      <c r="I117" s="160">
        <f t="shared" si="43"/>
        <v>288</v>
      </c>
      <c r="J117" s="160">
        <f t="shared" si="43"/>
        <v>288</v>
      </c>
      <c r="K117" s="160" t="str">
        <f t="shared" si="43"/>
        <v/>
      </c>
      <c r="L117" s="160" t="str">
        <f t="shared" si="43"/>
        <v/>
      </c>
      <c r="M117" s="160" t="str">
        <f t="shared" si="43"/>
        <v/>
      </c>
      <c r="N117" s="160">
        <f t="shared" si="37"/>
        <v>2362</v>
      </c>
      <c r="O117" s="160">
        <f t="shared" si="38"/>
        <v>262.44444444444446</v>
      </c>
    </row>
    <row r="118" spans="1:15" x14ac:dyDescent="0.25">
      <c r="A118" t="s">
        <v>106</v>
      </c>
      <c r="B118" s="160">
        <f t="shared" ref="B118:M118" si="44">IF(OR(B28="",B88=""),"",B88)</f>
        <v>560</v>
      </c>
      <c r="C118" s="160">
        <f t="shared" si="44"/>
        <v>560</v>
      </c>
      <c r="D118" s="160">
        <f t="shared" si="44"/>
        <v>560</v>
      </c>
      <c r="E118" s="160">
        <f t="shared" si="44"/>
        <v>560</v>
      </c>
      <c r="F118" s="160">
        <f t="shared" si="44"/>
        <v>20</v>
      </c>
      <c r="G118" s="160">
        <f t="shared" si="44"/>
        <v>600</v>
      </c>
      <c r="H118" s="160">
        <f t="shared" si="44"/>
        <v>600</v>
      </c>
      <c r="I118" s="160">
        <f t="shared" si="44"/>
        <v>600</v>
      </c>
      <c r="J118" s="160">
        <f t="shared" si="44"/>
        <v>600</v>
      </c>
      <c r="K118" s="160" t="str">
        <f t="shared" si="44"/>
        <v/>
      </c>
      <c r="L118" s="160" t="str">
        <f t="shared" si="44"/>
        <v/>
      </c>
      <c r="M118" s="160" t="str">
        <f t="shared" si="44"/>
        <v/>
      </c>
      <c r="N118" s="160">
        <f t="shared" si="37"/>
        <v>4660</v>
      </c>
      <c r="O118" s="160">
        <f t="shared" si="38"/>
        <v>517.77777777777783</v>
      </c>
    </row>
    <row r="119" spans="1:15" x14ac:dyDescent="0.25">
      <c r="A119" t="s">
        <v>108</v>
      </c>
      <c r="B119" s="160">
        <f t="shared" ref="B119:M119" si="45">IF(OR(B29="",B89=""),"",B89)</f>
        <v>1445</v>
      </c>
      <c r="C119" s="160">
        <f t="shared" si="45"/>
        <v>1445</v>
      </c>
      <c r="D119" s="160">
        <f t="shared" si="45"/>
        <v>1445</v>
      </c>
      <c r="E119" s="160">
        <f t="shared" si="45"/>
        <v>1445</v>
      </c>
      <c r="F119" s="160">
        <f t="shared" si="45"/>
        <v>1445</v>
      </c>
      <c r="G119" s="160">
        <f t="shared" si="45"/>
        <v>1384</v>
      </c>
      <c r="H119" s="160">
        <f t="shared" si="45"/>
        <v>1400</v>
      </c>
      <c r="I119" s="160">
        <f t="shared" si="45"/>
        <v>1400</v>
      </c>
      <c r="J119" s="160" t="str">
        <f t="shared" si="45"/>
        <v/>
      </c>
      <c r="K119" s="160" t="str">
        <f t="shared" si="45"/>
        <v/>
      </c>
      <c r="L119" s="160" t="str">
        <f t="shared" si="45"/>
        <v/>
      </c>
      <c r="M119" s="160" t="str">
        <f t="shared" si="45"/>
        <v/>
      </c>
      <c r="N119" s="160">
        <f t="shared" si="37"/>
        <v>11409</v>
      </c>
      <c r="O119" s="160">
        <f t="shared" si="38"/>
        <v>1426.125</v>
      </c>
    </row>
    <row r="120" spans="1:15" x14ac:dyDescent="0.25">
      <c r="A120" t="s">
        <v>110</v>
      </c>
      <c r="B120" s="160">
        <f t="shared" ref="B120:M120" si="46">IF(OR(B30="",B90=""),"",B90)</f>
        <v>1229</v>
      </c>
      <c r="C120" s="160">
        <f t="shared" si="46"/>
        <v>1229</v>
      </c>
      <c r="D120" s="160">
        <f t="shared" si="46"/>
        <v>1229</v>
      </c>
      <c r="E120" s="160">
        <f t="shared" si="46"/>
        <v>1229</v>
      </c>
      <c r="F120" s="160">
        <f t="shared" si="46"/>
        <v>22</v>
      </c>
      <c r="G120" s="160">
        <f t="shared" si="46"/>
        <v>1151</v>
      </c>
      <c r="H120" s="160">
        <f t="shared" si="46"/>
        <v>1154</v>
      </c>
      <c r="I120" s="160">
        <f t="shared" si="46"/>
        <v>1154</v>
      </c>
      <c r="J120" s="160">
        <f t="shared" si="46"/>
        <v>1154</v>
      </c>
      <c r="K120" s="160" t="str">
        <f t="shared" si="46"/>
        <v/>
      </c>
      <c r="L120" s="160" t="str">
        <f t="shared" si="46"/>
        <v/>
      </c>
      <c r="M120" s="160" t="str">
        <f t="shared" si="46"/>
        <v/>
      </c>
      <c r="N120" s="160">
        <f t="shared" si="37"/>
        <v>9551</v>
      </c>
      <c r="O120" s="160">
        <f t="shared" si="38"/>
        <v>1061.2222222222222</v>
      </c>
    </row>
    <row r="121" spans="1:15" x14ac:dyDescent="0.25">
      <c r="A121" t="s">
        <v>112</v>
      </c>
      <c r="B121" s="160">
        <f t="shared" ref="B121:M121" si="47">IF(OR(B31="",B91=""),"",B91)</f>
        <v>140</v>
      </c>
      <c r="C121" s="160">
        <f t="shared" si="47"/>
        <v>140</v>
      </c>
      <c r="D121" s="160">
        <f t="shared" si="47"/>
        <v>140</v>
      </c>
      <c r="E121" s="160">
        <f t="shared" si="47"/>
        <v>140</v>
      </c>
      <c r="F121" s="160">
        <f t="shared" si="47"/>
        <v>90</v>
      </c>
      <c r="G121" s="160">
        <f t="shared" si="47"/>
        <v>153</v>
      </c>
      <c r="H121" s="160">
        <f t="shared" si="47"/>
        <v>153</v>
      </c>
      <c r="I121" s="160">
        <f t="shared" si="47"/>
        <v>153</v>
      </c>
      <c r="J121" s="160">
        <f t="shared" si="47"/>
        <v>153</v>
      </c>
      <c r="K121" s="160" t="str">
        <f t="shared" si="47"/>
        <v/>
      </c>
      <c r="L121" s="160" t="str">
        <f t="shared" si="47"/>
        <v/>
      </c>
      <c r="M121" s="160" t="str">
        <f t="shared" si="47"/>
        <v/>
      </c>
      <c r="N121" s="160">
        <f t="shared" si="37"/>
        <v>1262</v>
      </c>
      <c r="O121" s="160">
        <f t="shared" si="38"/>
        <v>140.22222222222223</v>
      </c>
    </row>
    <row r="122" spans="1:15" x14ac:dyDescent="0.25">
      <c r="A122" s="526" t="s">
        <v>9</v>
      </c>
      <c r="B122" s="527">
        <f t="shared" ref="B122:O122" si="48">IF(COUNT(B112:B121)=0,"",SUM(B112:B121))</f>
        <v>7618</v>
      </c>
      <c r="C122" s="527">
        <f t="shared" si="48"/>
        <v>7586</v>
      </c>
      <c r="D122" s="527">
        <f t="shared" si="48"/>
        <v>7530</v>
      </c>
      <c r="E122" s="527">
        <f t="shared" si="48"/>
        <v>7528</v>
      </c>
      <c r="F122" s="527">
        <f t="shared" si="48"/>
        <v>2774</v>
      </c>
      <c r="G122" s="527">
        <f t="shared" si="48"/>
        <v>7426</v>
      </c>
      <c r="H122" s="527">
        <f t="shared" si="48"/>
        <v>7537</v>
      </c>
      <c r="I122" s="527">
        <f t="shared" si="48"/>
        <v>6718</v>
      </c>
      <c r="J122" s="527">
        <f t="shared" si="48"/>
        <v>3215</v>
      </c>
      <c r="K122" s="527" t="str">
        <f t="shared" si="48"/>
        <v/>
      </c>
      <c r="L122" s="527" t="str">
        <f t="shared" si="48"/>
        <v/>
      </c>
      <c r="M122" s="527" t="str">
        <f t="shared" si="48"/>
        <v/>
      </c>
      <c r="N122" s="527">
        <f t="shared" si="48"/>
        <v>57932</v>
      </c>
      <c r="O122" s="527">
        <f t="shared" si="48"/>
        <v>6978.4920634920636</v>
      </c>
    </row>
    <row r="123" spans="1:15" x14ac:dyDescent="0.25">
      <c r="A123" s="528" t="s">
        <v>599</v>
      </c>
      <c r="B123" s="529">
        <f t="shared" ref="B123:M123" si="49">COUNT(B112:B121)</f>
        <v>10</v>
      </c>
      <c r="C123" s="529">
        <f t="shared" si="49"/>
        <v>10</v>
      </c>
      <c r="D123" s="529">
        <f t="shared" si="49"/>
        <v>10</v>
      </c>
      <c r="E123" s="529">
        <f t="shared" si="49"/>
        <v>10</v>
      </c>
      <c r="F123" s="529">
        <f t="shared" si="49"/>
        <v>10</v>
      </c>
      <c r="G123" s="529">
        <f t="shared" si="49"/>
        <v>10</v>
      </c>
      <c r="H123" s="529">
        <f t="shared" si="49"/>
        <v>10</v>
      </c>
      <c r="I123" s="529">
        <f t="shared" si="49"/>
        <v>9</v>
      </c>
      <c r="J123" s="529">
        <f t="shared" si="49"/>
        <v>5</v>
      </c>
      <c r="K123" s="529">
        <f t="shared" si="49"/>
        <v>0</v>
      </c>
      <c r="L123" s="529">
        <f t="shared" si="49"/>
        <v>0</v>
      </c>
      <c r="M123" s="529">
        <f t="shared" si="49"/>
        <v>0</v>
      </c>
      <c r="N123" s="529">
        <f>COUNT(B122:M122)</f>
        <v>9</v>
      </c>
    </row>
    <row r="125" spans="1:15" x14ac:dyDescent="0.25">
      <c r="A125" s="525" t="s">
        <v>606</v>
      </c>
    </row>
    <row r="126" spans="1:15" ht="25.5" x14ac:dyDescent="0.25">
      <c r="A126" s="523" t="s">
        <v>36</v>
      </c>
      <c r="B126" s="523" t="s">
        <v>576</v>
      </c>
      <c r="C126" s="523" t="s">
        <v>578</v>
      </c>
      <c r="D126" s="523" t="s">
        <v>580</v>
      </c>
      <c r="E126" s="523" t="s">
        <v>582</v>
      </c>
      <c r="F126" s="523" t="s">
        <v>584</v>
      </c>
      <c r="G126" s="523" t="s">
        <v>586</v>
      </c>
      <c r="H126" s="523" t="s">
        <v>588</v>
      </c>
      <c r="I126" s="523" t="s">
        <v>7</v>
      </c>
      <c r="J126" s="523" t="s">
        <v>591</v>
      </c>
      <c r="K126" s="523" t="s">
        <v>593</v>
      </c>
      <c r="L126" s="523" t="s">
        <v>595</v>
      </c>
      <c r="M126" s="523" t="s">
        <v>596</v>
      </c>
      <c r="N126" s="523" t="s">
        <v>574</v>
      </c>
      <c r="O126" s="523" t="s">
        <v>598</v>
      </c>
    </row>
    <row r="127" spans="1:15" x14ac:dyDescent="0.25">
      <c r="A127" t="s">
        <v>85</v>
      </c>
      <c r="B127" s="160">
        <f>IF(COUNTIFS($B$442:$B$558,1,REPAIRS!$C$4:$C$120,"&lt;&gt;")=0,"",SUMIFS(REPAIRS!$C$4:$C$120,$B$442:$B$558,1))</f>
        <v>9</v>
      </c>
      <c r="C127" s="160">
        <f>IF(COUNTIFS($B$442:$B$558,2,REPAIRS!$C$4:$C$120,"&lt;&gt;")=0,"",SUMIFS(REPAIRS!$C$4:$C$120,$B$442:$B$558,2))</f>
        <v>12</v>
      </c>
      <c r="D127" s="160">
        <f>IF(COUNTIFS($B$442:$B$558,3,REPAIRS!$C$4:$C$120,"&lt;&gt;")=0,"",SUMIFS(REPAIRS!$C$4:$C$120,$B$442:$B$558,3))</f>
        <v>65</v>
      </c>
      <c r="E127" s="160">
        <f>IF(COUNTIFS($B$442:$B$558,4,REPAIRS!$C$4:$C$120,"&lt;&gt;")=0,"",SUMIFS(REPAIRS!$C$4:$C$120,$B$442:$B$558,4))</f>
        <v>21</v>
      </c>
      <c r="F127" s="160">
        <f>IF(COUNTIFS($B$442:$B$558,5,REPAIRS!$C$4:$C$120,"&lt;&gt;")=0,"",SUMIFS(REPAIRS!$C$4:$C$120,$B$442:$B$558,5))</f>
        <v>4</v>
      </c>
      <c r="G127" s="160">
        <f>IF(COUNTIFS($B$442:$B$558,6,REPAIRS!$C$4:$C$120,"&lt;&gt;")=0,"",SUMIFS(REPAIRS!$C$4:$C$120,$B$442:$B$558,6))</f>
        <v>31</v>
      </c>
      <c r="H127" s="160">
        <f>IF(COUNTIFS($B$442:$B$558,7,REPAIRS!$C$4:$C$120,"&lt;&gt;")=0,"",SUMIFS(REPAIRS!$C$4:$C$120,$B$442:$B$558,7))</f>
        <v>38</v>
      </c>
      <c r="I127" s="160">
        <f>IF(COUNTIFS($B$442:$B$558,8,REPAIRS!$C$4:$C$120,"&lt;&gt;")=0,"",SUMIFS(REPAIRS!$C$4:$C$120,$B$442:$B$558,8))</f>
        <v>11</v>
      </c>
      <c r="J127" s="160" t="str">
        <f>IF(COUNTIFS($B$442:$B$558,9,REPAIRS!$C$4:$C$120,"&lt;&gt;")=0,"",SUMIFS(REPAIRS!$C$4:$C$120,$B$442:$B$558,9))</f>
        <v/>
      </c>
      <c r="K127" s="160" t="str">
        <f>IF(COUNTIFS($B$442:$B$558,10,REPAIRS!$C$4:$C$120,"&lt;&gt;")=0,"",SUMIFS(REPAIRS!$C$4:$C$120,$B$442:$B$558,10))</f>
        <v/>
      </c>
      <c r="L127" s="160" t="str">
        <f>IF(COUNTIFS($B$442:$B$558,11,REPAIRS!$C$4:$C$120,"&lt;&gt;")=0,"",SUMIFS(REPAIRS!$C$4:$C$120,$B$442:$B$558,11))</f>
        <v/>
      </c>
      <c r="M127" s="160" t="str">
        <f>IF(COUNTIFS($B$442:$B$558,12,REPAIRS!$C$4:$C$120,"&lt;&gt;")=0,"",SUMIFS(REPAIRS!$C$4:$C$120,$B$442:$B$558,12))</f>
        <v/>
      </c>
      <c r="N127" s="160">
        <f t="shared" ref="N127:N136" si="50">IF(COUNT(B127:M127)=0,"",SUM(B127:M127))</f>
        <v>191</v>
      </c>
      <c r="O127" s="160">
        <f t="shared" ref="O127:O136" si="51">IF(COUNT(B127:M127)=0,"",AVERAGE(B127:M127))</f>
        <v>23.875</v>
      </c>
    </row>
    <row r="128" spans="1:15" x14ac:dyDescent="0.25">
      <c r="A128" t="s">
        <v>91</v>
      </c>
      <c r="B128" s="160">
        <f>IF(COUNTIFS($B$442:$B$558,1,REPAIRS!$E$4:$E$120,"&lt;&gt;")=0,"",SUMIFS(REPAIRS!$E$4:$E$120,$B$442:$B$558,1))</f>
        <v>3</v>
      </c>
      <c r="C128" s="160">
        <f>IF(COUNTIFS($B$442:$B$558,2,REPAIRS!$E$4:$E$120,"&lt;&gt;")=0,"",SUMIFS(REPAIRS!$E$4:$E$120,$B$442:$B$558,2))</f>
        <v>8</v>
      </c>
      <c r="D128" s="160">
        <f>IF(COUNTIFS($B$442:$B$558,3,REPAIRS!$E$4:$E$120,"&lt;&gt;")=0,"",SUMIFS(REPAIRS!$E$4:$E$120,$B$442:$B$558,3))</f>
        <v>3</v>
      </c>
      <c r="E128" s="160">
        <f>IF(COUNTIFS($B$442:$B$558,4,REPAIRS!$E$4:$E$120,"&lt;&gt;")=0,"",SUMIFS(REPAIRS!$E$4:$E$120,$B$442:$B$558,4))</f>
        <v>6</v>
      </c>
      <c r="F128" s="160">
        <f>IF(COUNTIFS($B$442:$B$558,5,REPAIRS!$E$4:$E$120,"&lt;&gt;")=0,"",SUMIFS(REPAIRS!$E$4:$E$120,$B$442:$B$558,5))</f>
        <v>6</v>
      </c>
      <c r="G128" s="160">
        <f>IF(COUNTIFS($B$442:$B$558,6,REPAIRS!$E$4:$E$120,"&lt;&gt;")=0,"",SUMIFS(REPAIRS!$E$4:$E$120,$B$442:$B$558,6))</f>
        <v>9</v>
      </c>
      <c r="H128" s="160">
        <f>IF(COUNTIFS($B$442:$B$558,7,REPAIRS!$E$4:$E$120,"&lt;&gt;")=0,"",SUMIFS(REPAIRS!$E$4:$E$120,$B$442:$B$558,7))</f>
        <v>8</v>
      </c>
      <c r="I128" s="160">
        <f>IF(COUNTIFS($B$442:$B$558,8,REPAIRS!$E$4:$E$120,"&lt;&gt;")=0,"",SUMIFS(REPAIRS!$E$4:$E$120,$B$442:$B$558,8))</f>
        <v>5</v>
      </c>
      <c r="J128" s="160">
        <f>IF(COUNTIFS($B$442:$B$558,9,REPAIRS!$E$4:$E$120,"&lt;&gt;")=0,"",SUMIFS(REPAIRS!$E$4:$E$120,$B$442:$B$558,9))</f>
        <v>3</v>
      </c>
      <c r="K128" s="160" t="str">
        <f>IF(COUNTIFS($B$442:$B$558,10,REPAIRS!$E$4:$E$120,"&lt;&gt;")=0,"",SUMIFS(REPAIRS!$E$4:$E$120,$B$442:$B$558,10))</f>
        <v/>
      </c>
      <c r="L128" s="160" t="str">
        <f>IF(COUNTIFS($B$442:$B$558,11,REPAIRS!$E$4:$E$120,"&lt;&gt;")=0,"",SUMIFS(REPAIRS!$E$4:$E$120,$B$442:$B$558,11))</f>
        <v/>
      </c>
      <c r="M128" s="160" t="str">
        <f>IF(COUNTIFS($B$442:$B$558,12,REPAIRS!$E$4:$E$120,"&lt;&gt;")=0,"",SUMIFS(REPAIRS!$E$4:$E$120,$B$442:$B$558,12))</f>
        <v/>
      </c>
      <c r="N128" s="160">
        <f t="shared" si="50"/>
        <v>51</v>
      </c>
      <c r="O128" s="160">
        <f t="shared" si="51"/>
        <v>5.666666666666667</v>
      </c>
    </row>
    <row r="129" spans="1:15" x14ac:dyDescent="0.25">
      <c r="A129" t="s">
        <v>93</v>
      </c>
      <c r="B129" s="160">
        <f>IF(COUNTIFS($B$442:$B$558,1,REPAIRS!$O$4:$O$120,"&lt;&gt;")=0,"",SUMIFS(REPAIRS!$O$4:$O$120,$B$442:$B$558,1))</f>
        <v>16</v>
      </c>
      <c r="C129" s="160">
        <f>IF(COUNTIFS($B$442:$B$558,2,REPAIRS!$O$4:$O$120,"&lt;&gt;")=0,"",SUMIFS(REPAIRS!$O$4:$O$120,$B$442:$B$558,2))</f>
        <v>13</v>
      </c>
      <c r="D129" s="160">
        <f>IF(COUNTIFS($B$442:$B$558,3,REPAIRS!$O$4:$O$120,"&lt;&gt;")=0,"",SUMIFS(REPAIRS!$O$4:$O$120,$B$442:$B$558,3))</f>
        <v>11</v>
      </c>
      <c r="E129" s="160">
        <f>IF(COUNTIFS($B$442:$B$558,4,REPAIRS!$O$4:$O$120,"&lt;&gt;")=0,"",SUMIFS(REPAIRS!$O$4:$O$120,$B$442:$B$558,4))</f>
        <v>15</v>
      </c>
      <c r="F129" s="160">
        <f>IF(COUNTIFS($B$442:$B$558,5,REPAIRS!$O$4:$O$120,"&lt;&gt;")=0,"",SUMIFS(REPAIRS!$O$4:$O$120,$B$442:$B$558,5))</f>
        <v>13</v>
      </c>
      <c r="G129" s="160">
        <f>IF(COUNTIFS($B$442:$B$558,6,REPAIRS!$O$4:$O$120,"&lt;&gt;")=0,"",SUMIFS(REPAIRS!$O$4:$O$120,$B$442:$B$558,6))</f>
        <v>31</v>
      </c>
      <c r="H129" s="160">
        <f>IF(COUNTIFS($B$442:$B$558,7,REPAIRS!$O$4:$O$120,"&lt;&gt;")=0,"",SUMIFS(REPAIRS!$O$4:$O$120,$B$442:$B$558,7))</f>
        <v>19</v>
      </c>
      <c r="I129" s="160">
        <f>IF(COUNTIFS($B$442:$B$558,8,REPAIRS!$O$4:$O$120,"&lt;&gt;")=0,"",SUMIFS(REPAIRS!$O$4:$O$120,$B$442:$B$558,8))</f>
        <v>11</v>
      </c>
      <c r="J129" s="160" t="str">
        <f>IF(COUNTIFS($B$442:$B$558,9,REPAIRS!$O$4:$O$120,"&lt;&gt;")=0,"",SUMIFS(REPAIRS!$O$4:$O$120,$B$442:$B$558,9))</f>
        <v/>
      </c>
      <c r="K129" s="160" t="str">
        <f>IF(COUNTIFS($B$442:$B$558,10,REPAIRS!$O$4:$O$120,"&lt;&gt;")=0,"",SUMIFS(REPAIRS!$O$4:$O$120,$B$442:$B$558,10))</f>
        <v/>
      </c>
      <c r="L129" s="160" t="str">
        <f>IF(COUNTIFS($B$442:$B$558,11,REPAIRS!$O$4:$O$120,"&lt;&gt;")=0,"",SUMIFS(REPAIRS!$O$4:$O$120,$B$442:$B$558,11))</f>
        <v/>
      </c>
      <c r="M129" s="160" t="str">
        <f>IF(COUNTIFS($B$442:$B$558,12,REPAIRS!$O$4:$O$120,"&lt;&gt;")=0,"",SUMIFS(REPAIRS!$O$4:$O$120,$B$442:$B$558,12))</f>
        <v/>
      </c>
      <c r="N129" s="160">
        <f t="shared" si="50"/>
        <v>129</v>
      </c>
      <c r="O129" s="160">
        <f t="shared" si="51"/>
        <v>16.125</v>
      </c>
    </row>
    <row r="130" spans="1:15" x14ac:dyDescent="0.25">
      <c r="A130" t="s">
        <v>98</v>
      </c>
      <c r="B130" s="160">
        <f>IF(COUNTIFS($B$442:$B$558,1,REPAIRS!$Q$4:$Q$120,"&lt;&gt;")=0,"",SUMIFS(REPAIRS!$Q$4:$Q$120,$B$442:$B$558,1))</f>
        <v>2</v>
      </c>
      <c r="C130" s="160">
        <f>IF(COUNTIFS($B$442:$B$558,2,REPAIRS!$Q$4:$Q$120,"&lt;&gt;")=0,"",SUMIFS(REPAIRS!$Q$4:$Q$120,$B$442:$B$558,2))</f>
        <v>6</v>
      </c>
      <c r="D130" s="160">
        <f>IF(COUNTIFS($B$442:$B$558,3,REPAIRS!$Q$4:$Q$120,"&lt;&gt;")=0,"",SUMIFS(REPAIRS!$Q$4:$Q$120,$B$442:$B$558,3))</f>
        <v>6</v>
      </c>
      <c r="E130" s="160">
        <f>IF(COUNTIFS($B$442:$B$558,4,REPAIRS!$Q$4:$Q$120,"&lt;&gt;")=0,"",SUMIFS(REPAIRS!$Q$4:$Q$120,$B$442:$B$558,4))</f>
        <v>7</v>
      </c>
      <c r="F130" s="160">
        <f>IF(COUNTIFS($B$442:$B$558,5,REPAIRS!$Q$4:$Q$120,"&lt;&gt;")=0,"",SUMIFS(REPAIRS!$Q$4:$Q$120,$B$442:$B$558,5))</f>
        <v>1</v>
      </c>
      <c r="G130" s="160">
        <f>IF(COUNTIFS($B$442:$B$558,6,REPAIRS!$Q$4:$Q$120,"&lt;&gt;")=0,"",SUMIFS(REPAIRS!$Q$4:$Q$120,$B$442:$B$558,6))</f>
        <v>6</v>
      </c>
      <c r="H130" s="160">
        <f>IF(COUNTIFS($B$442:$B$558,7,REPAIRS!$Q$4:$Q$120,"&lt;&gt;")=0,"",SUMIFS(REPAIRS!$Q$4:$Q$120,$B$442:$B$558,7))</f>
        <v>10</v>
      </c>
      <c r="I130" s="160">
        <f>IF(COUNTIFS($B$442:$B$558,8,REPAIRS!$Q$4:$Q$120,"&lt;&gt;")=0,"",SUMIFS(REPAIRS!$Q$4:$Q$120,$B$442:$B$558,8))</f>
        <v>4</v>
      </c>
      <c r="J130" s="160">
        <f>IF(COUNTIFS($B$442:$B$558,9,REPAIRS!$Q$4:$Q$120,"&lt;&gt;")=0,"",SUMIFS(REPAIRS!$Q$4:$Q$120,$B$442:$B$558,9))</f>
        <v>3</v>
      </c>
      <c r="K130" s="160" t="str">
        <f>IF(COUNTIFS($B$442:$B$558,10,REPAIRS!$Q$4:$Q$120,"&lt;&gt;")=0,"",SUMIFS(REPAIRS!$Q$4:$Q$120,$B$442:$B$558,10))</f>
        <v/>
      </c>
      <c r="L130" s="160" t="str">
        <f>IF(COUNTIFS($B$442:$B$558,11,REPAIRS!$Q$4:$Q$120,"&lt;&gt;")=0,"",SUMIFS(REPAIRS!$Q$4:$Q$120,$B$442:$B$558,11))</f>
        <v/>
      </c>
      <c r="M130" s="160" t="str">
        <f>IF(COUNTIFS($B$442:$B$558,12,REPAIRS!$Q$4:$Q$120,"&lt;&gt;")=0,"",SUMIFS(REPAIRS!$Q$4:$Q$120,$B$442:$B$558,12))</f>
        <v/>
      </c>
      <c r="N130" s="160">
        <f t="shared" si="50"/>
        <v>45</v>
      </c>
      <c r="O130" s="160">
        <f t="shared" si="51"/>
        <v>5</v>
      </c>
    </row>
    <row r="131" spans="1:15" x14ac:dyDescent="0.25">
      <c r="A131" t="s">
        <v>100</v>
      </c>
      <c r="B131" s="160">
        <f>IF(COUNTIFS($B$442:$B$558,1,REPAIRS!$S$4:$S$120,"&lt;&gt;")=0,"",SUMIFS(REPAIRS!$S$4:$S$120,$B$442:$B$558,1))</f>
        <v>7</v>
      </c>
      <c r="C131" s="160">
        <f>IF(COUNTIFS($B$442:$B$558,2,REPAIRS!$S$4:$S$120,"&lt;&gt;")=0,"",SUMIFS(REPAIRS!$S$4:$S$120,$B$442:$B$558,2))</f>
        <v>12</v>
      </c>
      <c r="D131" s="160">
        <f>IF(COUNTIFS($B$442:$B$558,3,REPAIRS!$S$4:$S$120,"&lt;&gt;")=0,"",SUMIFS(REPAIRS!$S$4:$S$120,$B$442:$B$558,3))</f>
        <v>8</v>
      </c>
      <c r="E131" s="160">
        <f>IF(COUNTIFS($B$442:$B$558,4,REPAIRS!$S$4:$S$120,"&lt;&gt;")=0,"",SUMIFS(REPAIRS!$S$4:$S$120,$B$442:$B$558,4))</f>
        <v>6</v>
      </c>
      <c r="F131" s="160">
        <f>IF(COUNTIFS($B$442:$B$558,5,REPAIRS!$S$4:$S$120,"&lt;&gt;")=0,"",SUMIFS(REPAIRS!$S$4:$S$120,$B$442:$B$558,5))</f>
        <v>12</v>
      </c>
      <c r="G131" s="160">
        <f>IF(COUNTIFS($B$442:$B$558,6,REPAIRS!$S$4:$S$120,"&lt;&gt;")=0,"",SUMIFS(REPAIRS!$S$4:$S$120,$B$442:$B$558,6))</f>
        <v>5</v>
      </c>
      <c r="H131" s="160">
        <f>IF(COUNTIFS($B$442:$B$558,7,REPAIRS!$S$4:$S$120,"&lt;&gt;")=0,"",SUMIFS(REPAIRS!$S$4:$S$120,$B$442:$B$558,7))</f>
        <v>4</v>
      </c>
      <c r="I131" s="160">
        <f>IF(COUNTIFS($B$442:$B$558,8,REPAIRS!$S$4:$S$120,"&lt;&gt;")=0,"",SUMIFS(REPAIRS!$S$4:$S$120,$B$442:$B$558,8))</f>
        <v>4</v>
      </c>
      <c r="J131" s="160" t="str">
        <f>IF(COUNTIFS($B$442:$B$558,9,REPAIRS!$S$4:$S$120,"&lt;&gt;")=0,"",SUMIFS(REPAIRS!$S$4:$S$120,$B$442:$B$558,9))</f>
        <v/>
      </c>
      <c r="K131" s="160" t="str">
        <f>IF(COUNTIFS($B$442:$B$558,10,REPAIRS!$S$4:$S$120,"&lt;&gt;")=0,"",SUMIFS(REPAIRS!$S$4:$S$120,$B$442:$B$558,10))</f>
        <v/>
      </c>
      <c r="L131" s="160" t="str">
        <f>IF(COUNTIFS($B$442:$B$558,11,REPAIRS!$S$4:$S$120,"&lt;&gt;")=0,"",SUMIFS(REPAIRS!$S$4:$S$120,$B$442:$B$558,11))</f>
        <v/>
      </c>
      <c r="M131" s="160" t="str">
        <f>IF(COUNTIFS($B$442:$B$558,12,REPAIRS!$S$4:$S$120,"&lt;&gt;")=0,"",SUMIFS(REPAIRS!$S$4:$S$120,$B$442:$B$558,12))</f>
        <v/>
      </c>
      <c r="N131" s="160">
        <f t="shared" si="50"/>
        <v>58</v>
      </c>
      <c r="O131" s="160">
        <f t="shared" si="51"/>
        <v>7.25</v>
      </c>
    </row>
    <row r="132" spans="1:15" x14ac:dyDescent="0.25">
      <c r="A132" t="s">
        <v>224</v>
      </c>
      <c r="B132" s="160">
        <f>IF(COUNTIFS($B$442:$B$558,1,REPAIRS!$G$4:$G$120,"&lt;&gt;")=0,"",SUMIFS(REPAIRS!$G$4:$G$120,$B$442:$B$558,1))</f>
        <v>10</v>
      </c>
      <c r="C132" s="160">
        <f>IF(COUNTIFS($B$442:$B$558,2,REPAIRS!$G$4:$G$120,"&lt;&gt;")=0,"",SUMIFS(REPAIRS!$G$4:$G$120,$B$442:$B$558,2))</f>
        <v>42</v>
      </c>
      <c r="D132" s="160">
        <f>IF(COUNTIFS($B$442:$B$558,3,REPAIRS!$G$4:$G$120,"&lt;&gt;")=0,"",SUMIFS(REPAIRS!$G$4:$G$120,$B$442:$B$558,3))</f>
        <v>12</v>
      </c>
      <c r="E132" s="160">
        <f>IF(COUNTIFS($B$442:$B$558,4,REPAIRS!$G$4:$G$120,"&lt;&gt;")=0,"",SUMIFS(REPAIRS!$G$4:$G$120,$B$442:$B$558,4))</f>
        <v>7</v>
      </c>
      <c r="F132" s="160">
        <f>IF(COUNTIFS($B$442:$B$558,5,REPAIRS!$G$4:$G$120,"&lt;&gt;")=0,"",SUMIFS(REPAIRS!$G$4:$G$120,$B$442:$B$558,5))</f>
        <v>1</v>
      </c>
      <c r="G132" s="160">
        <f>IF(COUNTIFS($B$442:$B$558,6,REPAIRS!$G$4:$G$120,"&lt;&gt;")=0,"",SUMIFS(REPAIRS!$G$4:$G$120,$B$442:$B$558,6))</f>
        <v>3</v>
      </c>
      <c r="H132" s="160">
        <f>IF(COUNTIFS($B$442:$B$558,7,REPAIRS!$G$4:$G$120,"&lt;&gt;")=0,"",SUMIFS(REPAIRS!$G$4:$G$120,$B$442:$B$558,7))</f>
        <v>7</v>
      </c>
      <c r="I132" s="160">
        <f>IF(COUNTIFS($B$442:$B$558,8,REPAIRS!$G$4:$G$120,"&lt;&gt;")=0,"",SUMIFS(REPAIRS!$G$4:$G$120,$B$442:$B$558,8))</f>
        <v>3</v>
      </c>
      <c r="J132" s="160">
        <f>IF(COUNTIFS($B$442:$B$558,9,REPAIRS!$G$4:$G$120,"&lt;&gt;")=0,"",SUMIFS(REPAIRS!$G$4:$G$120,$B$442:$B$558,9))</f>
        <v>4</v>
      </c>
      <c r="K132" s="160" t="str">
        <f>IF(COUNTIFS($B$442:$B$558,10,REPAIRS!$G$4:$G$120,"&lt;&gt;")=0,"",SUMIFS(REPAIRS!$G$4:$G$120,$B$442:$B$558,10))</f>
        <v/>
      </c>
      <c r="L132" s="160" t="str">
        <f>IF(COUNTIFS($B$442:$B$558,11,REPAIRS!$G$4:$G$120,"&lt;&gt;")=0,"",SUMIFS(REPAIRS!$G$4:$G$120,$B$442:$B$558,11))</f>
        <v/>
      </c>
      <c r="M132" s="160" t="str">
        <f>IF(COUNTIFS($B$442:$B$558,12,REPAIRS!$G$4:$G$120,"&lt;&gt;")=0,"",SUMIFS(REPAIRS!$G$4:$G$120,$B$442:$B$558,12))</f>
        <v/>
      </c>
      <c r="N132" s="160">
        <f t="shared" si="50"/>
        <v>89</v>
      </c>
      <c r="O132" s="160">
        <f t="shared" si="51"/>
        <v>9.8888888888888893</v>
      </c>
    </row>
    <row r="133" spans="1:15" x14ac:dyDescent="0.25">
      <c r="A133" t="s">
        <v>106</v>
      </c>
      <c r="B133" s="160" t="str">
        <f>""</f>
        <v/>
      </c>
      <c r="C133" s="160" t="str">
        <f>""</f>
        <v/>
      </c>
      <c r="D133" s="160" t="str">
        <f>""</f>
        <v/>
      </c>
      <c r="E133" s="160" t="str">
        <f>""</f>
        <v/>
      </c>
      <c r="F133" s="160" t="str">
        <f>""</f>
        <v/>
      </c>
      <c r="G133" s="160" t="str">
        <f>""</f>
        <v/>
      </c>
      <c r="H133" s="160" t="str">
        <f>""</f>
        <v/>
      </c>
      <c r="I133" s="160" t="str">
        <f>""</f>
        <v/>
      </c>
      <c r="J133" s="160" t="str">
        <f>""</f>
        <v/>
      </c>
      <c r="K133" s="160" t="str">
        <f>""</f>
        <v/>
      </c>
      <c r="L133" s="160" t="str">
        <f>""</f>
        <v/>
      </c>
      <c r="M133" s="160" t="str">
        <f>""</f>
        <v/>
      </c>
      <c r="N133" s="160" t="str">
        <f t="shared" si="50"/>
        <v/>
      </c>
      <c r="O133" s="160" t="str">
        <f t="shared" si="51"/>
        <v/>
      </c>
    </row>
    <row r="134" spans="1:15" x14ac:dyDescent="0.25">
      <c r="A134" t="s">
        <v>108</v>
      </c>
      <c r="B134" s="160">
        <f>IF(COUNTIFS($B$442:$B$558,1,REPAIRS!$K$4:$K$120,"&lt;&gt;")=0,"",SUMIFS(REPAIRS!$K$4:$K$120,$B$442:$B$558,1))</f>
        <v>4</v>
      </c>
      <c r="C134" s="160">
        <f>IF(COUNTIFS($B$442:$B$558,2,REPAIRS!$K$4:$K$120,"&lt;&gt;")=0,"",SUMIFS(REPAIRS!$K$4:$K$120,$B$442:$B$558,2))</f>
        <v>2</v>
      </c>
      <c r="D134" s="160">
        <f>IF(COUNTIFS($B$442:$B$558,3,REPAIRS!$K$4:$K$120,"&lt;&gt;")=0,"",SUMIFS(REPAIRS!$K$4:$K$120,$B$442:$B$558,3))</f>
        <v>2</v>
      </c>
      <c r="E134" s="160">
        <f>IF(COUNTIFS($B$442:$B$558,4,REPAIRS!$K$4:$K$120,"&lt;&gt;")=0,"",SUMIFS(REPAIRS!$K$4:$K$120,$B$442:$B$558,4))</f>
        <v>2</v>
      </c>
      <c r="F134" s="160">
        <f>IF(COUNTIFS($B$442:$B$558,5,REPAIRS!$K$4:$K$120,"&lt;&gt;")=0,"",SUMIFS(REPAIRS!$K$4:$K$120,$B$442:$B$558,5))</f>
        <v>8</v>
      </c>
      <c r="G134" s="160">
        <f>IF(COUNTIFS($B$442:$B$558,6,REPAIRS!$K$4:$K$120,"&lt;&gt;")=0,"",SUMIFS(REPAIRS!$K$4:$K$120,$B$442:$B$558,6))</f>
        <v>2</v>
      </c>
      <c r="H134" s="160">
        <f>IF(COUNTIFS($B$442:$B$558,7,REPAIRS!$K$4:$K$120,"&lt;&gt;")=0,"",SUMIFS(REPAIRS!$K$4:$K$120,$B$442:$B$558,7))</f>
        <v>2</v>
      </c>
      <c r="I134" s="160">
        <f>IF(COUNTIFS($B$442:$B$558,8,REPAIRS!$K$4:$K$120,"&lt;&gt;")=0,"",SUMIFS(REPAIRS!$K$4:$K$120,$B$442:$B$558,8))</f>
        <v>1</v>
      </c>
      <c r="J134" s="160">
        <f>IF(COUNTIFS($B$442:$B$558,9,REPAIRS!$K$4:$K$120,"&lt;&gt;")=0,"",SUMIFS(REPAIRS!$K$4:$K$120,$B$442:$B$558,9))</f>
        <v>1</v>
      </c>
      <c r="K134" s="160" t="str">
        <f>IF(COUNTIFS($B$442:$B$558,10,REPAIRS!$K$4:$K$120,"&lt;&gt;")=0,"",SUMIFS(REPAIRS!$K$4:$K$120,$B$442:$B$558,10))</f>
        <v/>
      </c>
      <c r="L134" s="160" t="str">
        <f>IF(COUNTIFS($B$442:$B$558,11,REPAIRS!$K$4:$K$120,"&lt;&gt;")=0,"",SUMIFS(REPAIRS!$K$4:$K$120,$B$442:$B$558,11))</f>
        <v/>
      </c>
      <c r="M134" s="160" t="str">
        <f>IF(COUNTIFS($B$442:$B$558,12,REPAIRS!$K$4:$K$120,"&lt;&gt;")=0,"",SUMIFS(REPAIRS!$K$4:$K$120,$B$442:$B$558,12))</f>
        <v/>
      </c>
      <c r="N134" s="160">
        <f t="shared" si="50"/>
        <v>24</v>
      </c>
      <c r="O134" s="160">
        <f t="shared" si="51"/>
        <v>2.6666666666666665</v>
      </c>
    </row>
    <row r="135" spans="1:15" x14ac:dyDescent="0.25">
      <c r="A135" t="s">
        <v>110</v>
      </c>
      <c r="B135" s="160">
        <f>IF(COUNTIFS($B$442:$B$558,1,REPAIRS!$M$4:$M$120,"&lt;&gt;")=0,"",SUMIFS(REPAIRS!$M$4:$M$120,$B$442:$B$558,1))</f>
        <v>7</v>
      </c>
      <c r="C135" s="160">
        <f>IF(COUNTIFS($B$442:$B$558,2,REPAIRS!$M$4:$M$120,"&lt;&gt;")=0,"",SUMIFS(REPAIRS!$M$4:$M$120,$B$442:$B$558,2))</f>
        <v>9</v>
      </c>
      <c r="D135" s="160">
        <f>IF(COUNTIFS($B$442:$B$558,3,REPAIRS!$M$4:$M$120,"&lt;&gt;")=0,"",SUMIFS(REPAIRS!$M$4:$M$120,$B$442:$B$558,3))</f>
        <v>7</v>
      </c>
      <c r="E135" s="160">
        <f>IF(COUNTIFS($B$442:$B$558,4,REPAIRS!$M$4:$M$120,"&lt;&gt;")=0,"",SUMIFS(REPAIRS!$M$4:$M$120,$B$442:$B$558,4))</f>
        <v>6</v>
      </c>
      <c r="F135" s="160">
        <f>IF(COUNTIFS($B$442:$B$558,5,REPAIRS!$M$4:$M$120,"&lt;&gt;")=0,"",SUMIFS(REPAIRS!$M$4:$M$120,$B$442:$B$558,5))</f>
        <v>2</v>
      </c>
      <c r="G135" s="160">
        <f>IF(COUNTIFS($B$442:$B$558,6,REPAIRS!$M$4:$M$120,"&lt;&gt;")=0,"",SUMIFS(REPAIRS!$M$4:$M$120,$B$442:$B$558,6))</f>
        <v>6</v>
      </c>
      <c r="H135" s="160">
        <f>IF(COUNTIFS($B$442:$B$558,7,REPAIRS!$M$4:$M$120,"&lt;&gt;")=0,"",SUMIFS(REPAIRS!$M$4:$M$120,$B$442:$B$558,7))</f>
        <v>15</v>
      </c>
      <c r="I135" s="160">
        <f>IF(COUNTIFS($B$442:$B$558,8,REPAIRS!$M$4:$M$120,"&lt;&gt;")=0,"",SUMIFS(REPAIRS!$M$4:$M$120,$B$442:$B$558,8))</f>
        <v>11</v>
      </c>
      <c r="J135" s="160">
        <f>IF(COUNTIFS($B$442:$B$558,9,REPAIRS!$M$4:$M$120,"&lt;&gt;")=0,"",SUMIFS(REPAIRS!$M$4:$M$120,$B$442:$B$558,9))</f>
        <v>9</v>
      </c>
      <c r="K135" s="160" t="str">
        <f>IF(COUNTIFS($B$442:$B$558,10,REPAIRS!$M$4:$M$120,"&lt;&gt;")=0,"",SUMIFS(REPAIRS!$M$4:$M$120,$B$442:$B$558,10))</f>
        <v/>
      </c>
      <c r="L135" s="160" t="str">
        <f>IF(COUNTIFS($B$442:$B$558,11,REPAIRS!$M$4:$M$120,"&lt;&gt;")=0,"",SUMIFS(REPAIRS!$M$4:$M$120,$B$442:$B$558,11))</f>
        <v/>
      </c>
      <c r="M135" s="160" t="str">
        <f>IF(COUNTIFS($B$442:$B$558,12,REPAIRS!$M$4:$M$120,"&lt;&gt;")=0,"",SUMIFS(REPAIRS!$M$4:$M$120,$B$442:$B$558,12))</f>
        <v/>
      </c>
      <c r="N135" s="160">
        <f t="shared" si="50"/>
        <v>72</v>
      </c>
      <c r="O135" s="160">
        <f t="shared" si="51"/>
        <v>8</v>
      </c>
    </row>
    <row r="136" spans="1:15" x14ac:dyDescent="0.25">
      <c r="A136" t="s">
        <v>112</v>
      </c>
      <c r="B136" s="160">
        <f>IF(COUNTIFS($B$442:$B$558,1,REPAIRS!$I$4:$I$120,"&lt;&gt;")=0,"",SUMIFS(REPAIRS!$I$4:$I$120,$B$442:$B$558,1))</f>
        <v>29</v>
      </c>
      <c r="C136" s="160">
        <f>IF(COUNTIFS($B$442:$B$558,2,REPAIRS!$I$4:$I$120,"&lt;&gt;")=0,"",SUMIFS(REPAIRS!$I$4:$I$120,$B$442:$B$558,2))</f>
        <v>7</v>
      </c>
      <c r="D136" s="160">
        <f>IF(COUNTIFS($B$442:$B$558,3,REPAIRS!$I$4:$I$120,"&lt;&gt;")=0,"",SUMIFS(REPAIRS!$I$4:$I$120,$B$442:$B$558,3))</f>
        <v>40</v>
      </c>
      <c r="E136" s="160">
        <f>IF(COUNTIFS($B$442:$B$558,4,REPAIRS!$I$4:$I$120,"&lt;&gt;")=0,"",SUMIFS(REPAIRS!$I$4:$I$120,$B$442:$B$558,4))</f>
        <v>80</v>
      </c>
      <c r="F136" s="160">
        <f>IF(COUNTIFS($B$442:$B$558,5,REPAIRS!$I$4:$I$120,"&lt;&gt;")=0,"",SUMIFS(REPAIRS!$I$4:$I$120,$B$442:$B$558,5))</f>
        <v>71</v>
      </c>
      <c r="G136" s="160">
        <f>IF(COUNTIFS($B$442:$B$558,6,REPAIRS!$I$4:$I$120,"&lt;&gt;")=0,"",SUMIFS(REPAIRS!$I$4:$I$120,$B$442:$B$558,6))</f>
        <v>73</v>
      </c>
      <c r="H136" s="160">
        <f>IF(COUNTIFS($B$442:$B$558,7,REPAIRS!$I$4:$I$120,"&lt;&gt;")=0,"",SUMIFS(REPAIRS!$I$4:$I$120,$B$442:$B$558,7))</f>
        <v>120</v>
      </c>
      <c r="I136" s="160">
        <f>IF(COUNTIFS($B$442:$B$558,8,REPAIRS!$I$4:$I$120,"&lt;&gt;")=0,"",SUMIFS(REPAIRS!$I$4:$I$120,$B$442:$B$558,8))</f>
        <v>80</v>
      </c>
      <c r="J136" s="160">
        <f>IF(COUNTIFS($B$442:$B$558,9,REPAIRS!$I$4:$I$120,"&lt;&gt;")=0,"",SUMIFS(REPAIRS!$I$4:$I$120,$B$442:$B$558,9))</f>
        <v>76</v>
      </c>
      <c r="K136" s="160" t="str">
        <f>IF(COUNTIFS($B$442:$B$558,10,REPAIRS!$I$4:$I$120,"&lt;&gt;")=0,"",SUMIFS(REPAIRS!$I$4:$I$120,$B$442:$B$558,10))</f>
        <v/>
      </c>
      <c r="L136" s="160" t="str">
        <f>IF(COUNTIFS($B$442:$B$558,11,REPAIRS!$I$4:$I$120,"&lt;&gt;")=0,"",SUMIFS(REPAIRS!$I$4:$I$120,$B$442:$B$558,11))</f>
        <v/>
      </c>
      <c r="M136" s="160" t="str">
        <f>IF(COUNTIFS($B$442:$B$558,12,REPAIRS!$I$4:$I$120,"&lt;&gt;")=0,"",SUMIFS(REPAIRS!$I$4:$I$120,$B$442:$B$558,12))</f>
        <v/>
      </c>
      <c r="N136" s="160">
        <f t="shared" si="50"/>
        <v>576</v>
      </c>
      <c r="O136" s="160">
        <f t="shared" si="51"/>
        <v>64</v>
      </c>
    </row>
    <row r="137" spans="1:15" x14ac:dyDescent="0.25">
      <c r="A137" s="526" t="s">
        <v>9</v>
      </c>
      <c r="B137" s="527">
        <f t="shared" ref="B137:O137" si="52">IF(COUNT(B127:B136)=0,"",SUM(B127:B136))</f>
        <v>87</v>
      </c>
      <c r="C137" s="527">
        <f t="shared" si="52"/>
        <v>111</v>
      </c>
      <c r="D137" s="527">
        <f t="shared" si="52"/>
        <v>154</v>
      </c>
      <c r="E137" s="527">
        <f t="shared" si="52"/>
        <v>150</v>
      </c>
      <c r="F137" s="527">
        <f t="shared" si="52"/>
        <v>118</v>
      </c>
      <c r="G137" s="527">
        <f t="shared" si="52"/>
        <v>166</v>
      </c>
      <c r="H137" s="527">
        <f t="shared" si="52"/>
        <v>223</v>
      </c>
      <c r="I137" s="527">
        <f t="shared" si="52"/>
        <v>130</v>
      </c>
      <c r="J137" s="527">
        <f t="shared" si="52"/>
        <v>96</v>
      </c>
      <c r="K137" s="527" t="str">
        <f t="shared" si="52"/>
        <v/>
      </c>
      <c r="L137" s="527" t="str">
        <f t="shared" si="52"/>
        <v/>
      </c>
      <c r="M137" s="527" t="str">
        <f t="shared" si="52"/>
        <v/>
      </c>
      <c r="N137" s="527">
        <f t="shared" si="52"/>
        <v>1235</v>
      </c>
      <c r="O137" s="527">
        <f t="shared" si="52"/>
        <v>142.47222222222223</v>
      </c>
    </row>
    <row r="138" spans="1:15" x14ac:dyDescent="0.25">
      <c r="A138" s="528" t="s">
        <v>599</v>
      </c>
      <c r="B138" s="529">
        <f t="shared" ref="B138:M138" si="53">COUNT(B127:B136)</f>
        <v>9</v>
      </c>
      <c r="C138" s="529">
        <f t="shared" si="53"/>
        <v>9</v>
      </c>
      <c r="D138" s="529">
        <f t="shared" si="53"/>
        <v>9</v>
      </c>
      <c r="E138" s="529">
        <f t="shared" si="53"/>
        <v>9</v>
      </c>
      <c r="F138" s="529">
        <f t="shared" si="53"/>
        <v>9</v>
      </c>
      <c r="G138" s="529">
        <f t="shared" si="53"/>
        <v>9</v>
      </c>
      <c r="H138" s="529">
        <f t="shared" si="53"/>
        <v>9</v>
      </c>
      <c r="I138" s="529">
        <f t="shared" si="53"/>
        <v>9</v>
      </c>
      <c r="J138" s="529">
        <f t="shared" si="53"/>
        <v>6</v>
      </c>
      <c r="K138" s="529">
        <f t="shared" si="53"/>
        <v>0</v>
      </c>
      <c r="L138" s="529">
        <f t="shared" si="53"/>
        <v>0</v>
      </c>
      <c r="M138" s="529">
        <f t="shared" si="53"/>
        <v>0</v>
      </c>
      <c r="N138" s="529">
        <f>COUNT(B137:M137)</f>
        <v>9</v>
      </c>
    </row>
    <row r="140" spans="1:15" x14ac:dyDescent="0.25">
      <c r="A140" s="525" t="s">
        <v>607</v>
      </c>
    </row>
    <row r="141" spans="1:15" ht="25.5" x14ac:dyDescent="0.25">
      <c r="A141" s="523" t="s">
        <v>36</v>
      </c>
      <c r="B141" s="523" t="s">
        <v>576</v>
      </c>
      <c r="C141" s="523" t="s">
        <v>578</v>
      </c>
      <c r="D141" s="523" t="s">
        <v>580</v>
      </c>
      <c r="E141" s="523" t="s">
        <v>582</v>
      </c>
      <c r="F141" s="523" t="s">
        <v>584</v>
      </c>
      <c r="G141" s="523" t="s">
        <v>586</v>
      </c>
      <c r="H141" s="523" t="s">
        <v>588</v>
      </c>
      <c r="I141" s="523" t="s">
        <v>7</v>
      </c>
      <c r="J141" s="523" t="s">
        <v>591</v>
      </c>
      <c r="K141" s="523" t="s">
        <v>593</v>
      </c>
      <c r="L141" s="523" t="s">
        <v>595</v>
      </c>
      <c r="M141" s="523" t="s">
        <v>596</v>
      </c>
      <c r="N141" s="523" t="s">
        <v>574</v>
      </c>
      <c r="O141" s="523" t="s">
        <v>598</v>
      </c>
    </row>
    <row r="142" spans="1:15" x14ac:dyDescent="0.25">
      <c r="A142" t="s">
        <v>85</v>
      </c>
      <c r="B142" s="160">
        <f>IF(COUNTIFS($B$442:$B$558,1,REPAIRS!$D$4:$D$120,"&lt;&gt;")=0,"",SUMIFS(REPAIRS!$D$4:$D$120,$B$442:$B$558,1))</f>
        <v>24886</v>
      </c>
      <c r="C142" s="160">
        <f>IF(COUNTIFS($B$442:$B$558,2,REPAIRS!$D$4:$D$120,"&lt;&gt;")=0,"",SUMIFS(REPAIRS!$D$4:$D$120,$B$442:$B$558,2))</f>
        <v>16416</v>
      </c>
      <c r="D142" s="160">
        <f>IF(COUNTIFS($B$442:$B$558,3,REPAIRS!$D$4:$D$120,"&lt;&gt;")=0,"",SUMIFS(REPAIRS!$D$4:$D$120,$B$442:$B$558,3))</f>
        <v>61812</v>
      </c>
      <c r="E142" s="160">
        <f>IF(COUNTIFS($B$442:$B$558,4,REPAIRS!$D$4:$D$120,"&lt;&gt;")=0,"",SUMIFS(REPAIRS!$D$4:$D$120,$B$442:$B$558,4))</f>
        <v>36511</v>
      </c>
      <c r="F142" s="160">
        <f>IF(COUNTIFS($B$442:$B$558,5,REPAIRS!$D$4:$D$120,"&lt;&gt;")=0,"",SUMIFS(REPAIRS!$D$4:$D$120,$B$442:$B$558,5))</f>
        <v>10764</v>
      </c>
      <c r="G142" s="160">
        <f>IF(COUNTIFS($B$442:$B$558,6,REPAIRS!$D$4:$D$120,"&lt;&gt;")=0,"",SUMIFS(REPAIRS!$D$4:$D$120,$B$442:$B$558,6))</f>
        <v>80946</v>
      </c>
      <c r="H142" s="160">
        <f>IF(COUNTIFS($B$442:$B$558,7,REPAIRS!$D$4:$D$120,"&lt;&gt;")=0,"",SUMIFS(REPAIRS!$D$4:$D$120,$B$442:$B$558,7))</f>
        <v>31236</v>
      </c>
      <c r="I142" s="160">
        <f>IF(COUNTIFS($B$442:$B$558,8,REPAIRS!$D$4:$D$120,"&lt;&gt;")=0,"",SUMIFS(REPAIRS!$D$4:$D$120,$B$442:$B$558,8))</f>
        <v>34086</v>
      </c>
      <c r="J142" s="160" t="str">
        <f>IF(COUNTIFS($B$442:$B$558,9,REPAIRS!$D$4:$D$120,"&lt;&gt;")=0,"",SUMIFS(REPAIRS!$D$4:$D$120,$B$442:$B$558,9))</f>
        <v/>
      </c>
      <c r="K142" s="160" t="str">
        <f>IF(COUNTIFS($B$442:$B$558,10,REPAIRS!$D$4:$D$120,"&lt;&gt;")=0,"",SUMIFS(REPAIRS!$D$4:$D$120,$B$442:$B$558,10))</f>
        <v/>
      </c>
      <c r="L142" s="160" t="str">
        <f>IF(COUNTIFS($B$442:$B$558,11,REPAIRS!$D$4:$D$120,"&lt;&gt;")=0,"",SUMIFS(REPAIRS!$D$4:$D$120,$B$442:$B$558,11))</f>
        <v/>
      </c>
      <c r="M142" s="160" t="str">
        <f>IF(COUNTIFS($B$442:$B$558,12,REPAIRS!$D$4:$D$120,"&lt;&gt;")=0,"",SUMIFS(REPAIRS!$D$4:$D$120,$B$442:$B$558,12))</f>
        <v/>
      </c>
      <c r="N142" s="160">
        <f t="shared" ref="N142:N151" si="54">IF(COUNT(B142:M142)=0,"",SUM(B142:M142))</f>
        <v>296657</v>
      </c>
      <c r="O142" s="160">
        <f t="shared" ref="O142:O151" si="55">IF(COUNT(B142:M142)=0,"",AVERAGE(B142:M142))</f>
        <v>37082.125</v>
      </c>
    </row>
    <row r="143" spans="1:15" x14ac:dyDescent="0.25">
      <c r="A143" t="s">
        <v>91</v>
      </c>
      <c r="B143" s="160">
        <f>IF(COUNTIFS($B$442:$B$558,1,REPAIRS!$F$4:$F$120,"&lt;&gt;")=0,"",SUMIFS(REPAIRS!$F$4:$F$120,$B$442:$B$558,1))</f>
        <v>17030</v>
      </c>
      <c r="C143" s="160">
        <f>IF(COUNTIFS($B$442:$B$558,2,REPAIRS!$F$4:$F$120,"&lt;&gt;")=0,"",SUMIFS(REPAIRS!$F$4:$F$120,$B$442:$B$558,2))</f>
        <v>25112</v>
      </c>
      <c r="D143" s="160">
        <f>IF(COUNTIFS($B$442:$B$558,3,REPAIRS!$F$4:$F$120,"&lt;&gt;")=0,"",SUMIFS(REPAIRS!$F$4:$F$120,$B$442:$B$558,3))</f>
        <v>19041</v>
      </c>
      <c r="E143" s="160">
        <f>IF(COUNTIFS($B$442:$B$558,4,REPAIRS!$F$4:$F$120,"&lt;&gt;")=0,"",SUMIFS(REPAIRS!$F$4:$F$120,$B$442:$B$558,4))</f>
        <v>55997</v>
      </c>
      <c r="F143" s="160">
        <f>IF(COUNTIFS($B$442:$B$558,5,REPAIRS!$F$4:$F$120,"&lt;&gt;")=0,"",SUMIFS(REPAIRS!$F$4:$F$120,$B$442:$B$558,5))</f>
        <v>33040</v>
      </c>
      <c r="G143" s="160">
        <f>IF(COUNTIFS($B$442:$B$558,6,REPAIRS!$F$4:$F$120,"&lt;&gt;")=0,"",SUMIFS(REPAIRS!$F$4:$F$120,$B$442:$B$558,6))</f>
        <v>64959</v>
      </c>
      <c r="H143" s="160">
        <f>IF(COUNTIFS($B$442:$B$558,7,REPAIRS!$F$4:$F$120,"&lt;&gt;")=0,"",SUMIFS(REPAIRS!$F$4:$F$120,$B$442:$B$558,7))</f>
        <v>71116</v>
      </c>
      <c r="I143" s="160">
        <f>IF(COUNTIFS($B$442:$B$558,8,REPAIRS!$F$4:$F$120,"&lt;&gt;")=0,"",SUMIFS(REPAIRS!$F$4:$F$120,$B$442:$B$558,8))</f>
        <v>45350</v>
      </c>
      <c r="J143" s="160">
        <f>IF(COUNTIFS($B$442:$B$558,9,REPAIRS!$F$4:$F$120,"&lt;&gt;")=0,"",SUMIFS(REPAIRS!$F$4:$F$120,$B$442:$B$558,9))</f>
        <v>37240</v>
      </c>
      <c r="K143" s="160" t="str">
        <f>IF(COUNTIFS($B$442:$B$558,10,REPAIRS!$F$4:$F$120,"&lt;&gt;")=0,"",SUMIFS(REPAIRS!$F$4:$F$120,$B$442:$B$558,10))</f>
        <v/>
      </c>
      <c r="L143" s="160" t="str">
        <f>IF(COUNTIFS($B$442:$B$558,11,REPAIRS!$F$4:$F$120,"&lt;&gt;")=0,"",SUMIFS(REPAIRS!$F$4:$F$120,$B$442:$B$558,11))</f>
        <v/>
      </c>
      <c r="M143" s="160" t="str">
        <f>IF(COUNTIFS($B$442:$B$558,12,REPAIRS!$F$4:$F$120,"&lt;&gt;")=0,"",SUMIFS(REPAIRS!$F$4:$F$120,$B$442:$B$558,12))</f>
        <v/>
      </c>
      <c r="N143" s="160">
        <f t="shared" si="54"/>
        <v>368885</v>
      </c>
      <c r="O143" s="160">
        <f t="shared" si="55"/>
        <v>40987.222222222219</v>
      </c>
    </row>
    <row r="144" spans="1:15" x14ac:dyDescent="0.25">
      <c r="A144" t="s">
        <v>93</v>
      </c>
      <c r="B144" s="160">
        <f>IF(COUNTIFS($B$442:$B$558,1,REPAIRS!$P$4:$P$120,"&lt;&gt;")=0,"",SUMIFS(REPAIRS!$P$4:$P$120,$B$442:$B$558,1))</f>
        <v>45420</v>
      </c>
      <c r="C144" s="160">
        <f>IF(COUNTIFS($B$442:$B$558,2,REPAIRS!$P$4:$P$120,"&lt;&gt;")=0,"",SUMIFS(REPAIRS!$P$4:$P$120,$B$442:$B$558,2))</f>
        <v>15084</v>
      </c>
      <c r="D144" s="160">
        <f>IF(COUNTIFS($B$442:$B$558,3,REPAIRS!$P$4:$P$120,"&lt;&gt;")=0,"",SUMIFS(REPAIRS!$P$4:$P$120,$B$442:$B$558,3))</f>
        <v>10809</v>
      </c>
      <c r="E144" s="160">
        <f>IF(COUNTIFS($B$442:$B$558,4,REPAIRS!$P$4:$P$120,"&lt;&gt;")=0,"",SUMIFS(REPAIRS!$P$4:$P$120,$B$442:$B$558,4))</f>
        <v>17063</v>
      </c>
      <c r="F144" s="160">
        <f>IF(COUNTIFS($B$442:$B$558,5,REPAIRS!$P$4:$P$120,"&lt;&gt;")=0,"",SUMIFS(REPAIRS!$P$4:$P$120,$B$442:$B$558,5))</f>
        <v>29663</v>
      </c>
      <c r="G144" s="160">
        <f>IF(COUNTIFS($B$442:$B$558,6,REPAIRS!$P$4:$P$120,"&lt;&gt;")=0,"",SUMIFS(REPAIRS!$P$4:$P$120,$B$442:$B$558,6))</f>
        <v>50973</v>
      </c>
      <c r="H144" s="160">
        <f>IF(COUNTIFS($B$442:$B$558,7,REPAIRS!$P$4:$P$120,"&lt;&gt;")=0,"",SUMIFS(REPAIRS!$P$4:$P$120,$B$442:$B$558,7))</f>
        <v>38656</v>
      </c>
      <c r="I144" s="160">
        <f>IF(COUNTIFS($B$442:$B$558,8,REPAIRS!$P$4:$P$120,"&lt;&gt;")=0,"",SUMIFS(REPAIRS!$P$4:$P$120,$B$442:$B$558,8))</f>
        <v>10964</v>
      </c>
      <c r="J144" s="160" t="str">
        <f>IF(COUNTIFS($B$442:$B$558,9,REPAIRS!$P$4:$P$120,"&lt;&gt;")=0,"",SUMIFS(REPAIRS!$P$4:$P$120,$B$442:$B$558,9))</f>
        <v/>
      </c>
      <c r="K144" s="160" t="str">
        <f>IF(COUNTIFS($B$442:$B$558,10,REPAIRS!$P$4:$P$120,"&lt;&gt;")=0,"",SUMIFS(REPAIRS!$P$4:$P$120,$B$442:$B$558,10))</f>
        <v/>
      </c>
      <c r="L144" s="160" t="str">
        <f>IF(COUNTIFS($B$442:$B$558,11,REPAIRS!$P$4:$P$120,"&lt;&gt;")=0,"",SUMIFS(REPAIRS!$P$4:$P$120,$B$442:$B$558,11))</f>
        <v/>
      </c>
      <c r="M144" s="160" t="str">
        <f>IF(COUNTIFS($B$442:$B$558,12,REPAIRS!$P$4:$P$120,"&lt;&gt;")=0,"",SUMIFS(REPAIRS!$P$4:$P$120,$B$442:$B$558,12))</f>
        <v/>
      </c>
      <c r="N144" s="160">
        <f t="shared" si="54"/>
        <v>218632</v>
      </c>
      <c r="O144" s="160">
        <f t="shared" si="55"/>
        <v>27329</v>
      </c>
    </row>
    <row r="145" spans="1:15" x14ac:dyDescent="0.25">
      <c r="A145" t="s">
        <v>98</v>
      </c>
      <c r="B145" s="160">
        <f>IF(COUNTIFS($B$442:$B$558,1,REPAIRS!$R$4:$R$120,"&lt;&gt;")=0,"",SUMIFS(REPAIRS!$R$4:$R$120,$B$442:$B$558,1))</f>
        <v>2350</v>
      </c>
      <c r="C145" s="160">
        <f>IF(COUNTIFS($B$442:$B$558,2,REPAIRS!$R$4:$R$120,"&lt;&gt;")=0,"",SUMIFS(REPAIRS!$R$4:$R$120,$B$442:$B$558,2))</f>
        <v>14728</v>
      </c>
      <c r="D145" s="160">
        <f>IF(COUNTIFS($B$442:$B$558,3,REPAIRS!$R$4:$R$120,"&lt;&gt;")=0,"",SUMIFS(REPAIRS!$R$4:$R$120,$B$442:$B$558,3))</f>
        <v>6500</v>
      </c>
      <c r="E145" s="160">
        <f>IF(COUNTIFS($B$442:$B$558,4,REPAIRS!$R$4:$R$120,"&lt;&gt;")=0,"",SUMIFS(REPAIRS!$R$4:$R$120,$B$442:$B$558,4))</f>
        <v>10300</v>
      </c>
      <c r="F145" s="160">
        <f>IF(COUNTIFS($B$442:$B$558,5,REPAIRS!$R$4:$R$120,"&lt;&gt;")=0,"",SUMIFS(REPAIRS!$R$4:$R$120,$B$442:$B$558,5))</f>
        <v>26700</v>
      </c>
      <c r="G145" s="160">
        <f>IF(COUNTIFS($B$442:$B$558,6,REPAIRS!$R$4:$R$120,"&lt;&gt;")=0,"",SUMIFS(REPAIRS!$R$4:$R$120,$B$442:$B$558,6))</f>
        <v>21390</v>
      </c>
      <c r="H145" s="160">
        <f>IF(COUNTIFS($B$442:$B$558,7,REPAIRS!$R$4:$R$120,"&lt;&gt;")=0,"",SUMIFS(REPAIRS!$R$4:$R$120,$B$442:$B$558,7))</f>
        <v>18233</v>
      </c>
      <c r="I145" s="160">
        <f>IF(COUNTIFS($B$442:$B$558,8,REPAIRS!$R$4:$R$120,"&lt;&gt;")=0,"",SUMIFS(REPAIRS!$R$4:$R$120,$B$442:$B$558,8))</f>
        <v>4720</v>
      </c>
      <c r="J145" s="160">
        <f>IF(COUNTIFS($B$442:$B$558,9,REPAIRS!$R$4:$R$120,"&lt;&gt;")=0,"",SUMIFS(REPAIRS!$R$4:$R$120,$B$442:$B$558,9))</f>
        <v>6020</v>
      </c>
      <c r="K145" s="160" t="str">
        <f>IF(COUNTIFS($B$442:$B$558,10,REPAIRS!$R$4:$R$120,"&lt;&gt;")=0,"",SUMIFS(REPAIRS!$R$4:$R$120,$B$442:$B$558,10))</f>
        <v/>
      </c>
      <c r="L145" s="160" t="str">
        <f>IF(COUNTIFS($B$442:$B$558,11,REPAIRS!$R$4:$R$120,"&lt;&gt;")=0,"",SUMIFS(REPAIRS!$R$4:$R$120,$B$442:$B$558,11))</f>
        <v/>
      </c>
      <c r="M145" s="160" t="str">
        <f>IF(COUNTIFS($B$442:$B$558,12,REPAIRS!$R$4:$R$120,"&lt;&gt;")=0,"",SUMIFS(REPAIRS!$R$4:$R$120,$B$442:$B$558,12))</f>
        <v/>
      </c>
      <c r="N145" s="160">
        <f t="shared" si="54"/>
        <v>110941</v>
      </c>
      <c r="O145" s="160">
        <f t="shared" si="55"/>
        <v>12326.777777777777</v>
      </c>
    </row>
    <row r="146" spans="1:15" x14ac:dyDescent="0.25">
      <c r="A146" t="s">
        <v>100</v>
      </c>
      <c r="B146" s="160">
        <f>IF(COUNTIFS($B$442:$B$558,1,REPAIRS!$T$4:$T$120,"&lt;&gt;")=0,"",SUMIFS(REPAIRS!$T$4:$T$120,$B$442:$B$558,1))</f>
        <v>9262</v>
      </c>
      <c r="C146" s="160">
        <f>IF(COUNTIFS($B$442:$B$558,2,REPAIRS!$T$4:$T$120,"&lt;&gt;")=0,"",SUMIFS(REPAIRS!$T$4:$T$120,$B$442:$B$558,2))</f>
        <v>27707</v>
      </c>
      <c r="D146" s="160">
        <f>IF(COUNTIFS($B$442:$B$558,3,REPAIRS!$T$4:$T$120,"&lt;&gt;")=0,"",SUMIFS(REPAIRS!$T$4:$T$120,$B$442:$B$558,3))</f>
        <v>11005</v>
      </c>
      <c r="E146" s="160">
        <f>IF(COUNTIFS($B$442:$B$558,4,REPAIRS!$T$4:$T$120,"&lt;&gt;")=0,"",SUMIFS(REPAIRS!$T$4:$T$120,$B$442:$B$558,4))</f>
        <v>10581</v>
      </c>
      <c r="F146" s="160">
        <f>IF(COUNTIFS($B$442:$B$558,5,REPAIRS!$T$4:$T$120,"&lt;&gt;")=0,"",SUMIFS(REPAIRS!$T$4:$T$120,$B$442:$B$558,5))</f>
        <v>13169</v>
      </c>
      <c r="G146" s="160">
        <f>IF(COUNTIFS($B$442:$B$558,6,REPAIRS!$T$4:$T$120,"&lt;&gt;")=0,"",SUMIFS(REPAIRS!$T$4:$T$120,$B$442:$B$558,6))</f>
        <v>14531</v>
      </c>
      <c r="H146" s="160">
        <f>IF(COUNTIFS($B$442:$B$558,7,REPAIRS!$T$4:$T$120,"&lt;&gt;")=0,"",SUMIFS(REPAIRS!$T$4:$T$120,$B$442:$B$558,7))</f>
        <v>23000</v>
      </c>
      <c r="I146" s="160">
        <f>IF(COUNTIFS($B$442:$B$558,8,REPAIRS!$T$4:$T$120,"&lt;&gt;")=0,"",SUMIFS(REPAIRS!$T$4:$T$120,$B$442:$B$558,8))</f>
        <v>47000</v>
      </c>
      <c r="J146" s="160" t="str">
        <f>IF(COUNTIFS($B$442:$B$558,9,REPAIRS!$T$4:$T$120,"&lt;&gt;")=0,"",SUMIFS(REPAIRS!$T$4:$T$120,$B$442:$B$558,9))</f>
        <v/>
      </c>
      <c r="K146" s="160" t="str">
        <f>IF(COUNTIFS($B$442:$B$558,10,REPAIRS!$T$4:$T$120,"&lt;&gt;")=0,"",SUMIFS(REPAIRS!$T$4:$T$120,$B$442:$B$558,10))</f>
        <v/>
      </c>
      <c r="L146" s="160" t="str">
        <f>IF(COUNTIFS($B$442:$B$558,11,REPAIRS!$T$4:$T$120,"&lt;&gt;")=0,"",SUMIFS(REPAIRS!$T$4:$T$120,$B$442:$B$558,11))</f>
        <v/>
      </c>
      <c r="M146" s="160" t="str">
        <f>IF(COUNTIFS($B$442:$B$558,12,REPAIRS!$T$4:$T$120,"&lt;&gt;")=0,"",SUMIFS(REPAIRS!$T$4:$T$120,$B$442:$B$558,12))</f>
        <v/>
      </c>
      <c r="N146" s="160">
        <f t="shared" si="54"/>
        <v>156255</v>
      </c>
      <c r="O146" s="160">
        <f t="shared" si="55"/>
        <v>19531.875</v>
      </c>
    </row>
    <row r="147" spans="1:15" x14ac:dyDescent="0.25">
      <c r="A147" t="s">
        <v>224</v>
      </c>
      <c r="B147" s="160">
        <f>IF(COUNTIFS($B$442:$B$558,1,REPAIRS!$H$4:$H$120,"&lt;&gt;")=0,"",SUMIFS(REPAIRS!$H$4:$H$120,$B$442:$B$558,1))</f>
        <v>20929</v>
      </c>
      <c r="C147" s="160">
        <f>IF(COUNTIFS($B$442:$B$558,2,REPAIRS!$H$4:$H$120,"&lt;&gt;")=0,"",SUMIFS(REPAIRS!$H$4:$H$120,$B$442:$B$558,2))</f>
        <v>45179</v>
      </c>
      <c r="D147" s="160">
        <f>IF(COUNTIFS($B$442:$B$558,3,REPAIRS!$H$4:$H$120,"&lt;&gt;")=0,"",SUMIFS(REPAIRS!$H$4:$H$120,$B$442:$B$558,3))</f>
        <v>30224</v>
      </c>
      <c r="E147" s="160">
        <f>IF(COUNTIFS($B$442:$B$558,4,REPAIRS!$H$4:$H$120,"&lt;&gt;")=0,"",SUMIFS(REPAIRS!$H$4:$H$120,$B$442:$B$558,4))</f>
        <v>21891</v>
      </c>
      <c r="F147" s="160">
        <f>IF(COUNTIFS($B$442:$B$558,5,REPAIRS!$H$4:$H$120,"&lt;&gt;")=0,"",SUMIFS(REPAIRS!$H$4:$H$120,$B$442:$B$558,5))</f>
        <v>32800</v>
      </c>
      <c r="G147" s="160">
        <f>IF(COUNTIFS($B$442:$B$558,6,REPAIRS!$H$4:$H$120,"&lt;&gt;")=0,"",SUMIFS(REPAIRS!$H$4:$H$120,$B$442:$B$558,6))</f>
        <v>7200</v>
      </c>
      <c r="H147" s="160">
        <f>IF(COUNTIFS($B$442:$B$558,7,REPAIRS!$H$4:$H$120,"&lt;&gt;")=0,"",SUMIFS(REPAIRS!$H$4:$H$120,$B$442:$B$558,7))</f>
        <v>14002</v>
      </c>
      <c r="I147" s="160">
        <f>IF(COUNTIFS($B$442:$B$558,8,REPAIRS!$H$4:$H$120,"&lt;&gt;")=0,"",SUMIFS(REPAIRS!$H$4:$H$120,$B$442:$B$558,8))</f>
        <v>5530</v>
      </c>
      <c r="J147" s="160">
        <f>IF(COUNTIFS($B$442:$B$558,9,REPAIRS!$H$4:$H$120,"&lt;&gt;")=0,"",SUMIFS(REPAIRS!$H$4:$H$120,$B$442:$B$558,9))</f>
        <v>9588</v>
      </c>
      <c r="K147" s="160" t="str">
        <f>IF(COUNTIFS($B$442:$B$558,10,REPAIRS!$H$4:$H$120,"&lt;&gt;")=0,"",SUMIFS(REPAIRS!$H$4:$H$120,$B$442:$B$558,10))</f>
        <v/>
      </c>
      <c r="L147" s="160" t="str">
        <f>IF(COUNTIFS($B$442:$B$558,11,REPAIRS!$H$4:$H$120,"&lt;&gt;")=0,"",SUMIFS(REPAIRS!$H$4:$H$120,$B$442:$B$558,11))</f>
        <v/>
      </c>
      <c r="M147" s="160" t="str">
        <f>IF(COUNTIFS($B$442:$B$558,12,REPAIRS!$H$4:$H$120,"&lt;&gt;")=0,"",SUMIFS(REPAIRS!$H$4:$H$120,$B$442:$B$558,12))</f>
        <v/>
      </c>
      <c r="N147" s="160">
        <f t="shared" si="54"/>
        <v>187343</v>
      </c>
      <c r="O147" s="160">
        <f t="shared" si="55"/>
        <v>20815.888888888891</v>
      </c>
    </row>
    <row r="148" spans="1:15" x14ac:dyDescent="0.25">
      <c r="A148" t="s">
        <v>106</v>
      </c>
      <c r="B148" s="160" t="str">
        <f>""</f>
        <v/>
      </c>
      <c r="C148" s="160" t="str">
        <f>""</f>
        <v/>
      </c>
      <c r="D148" s="160" t="str">
        <f>""</f>
        <v/>
      </c>
      <c r="E148" s="160" t="str">
        <f>""</f>
        <v/>
      </c>
      <c r="F148" s="160" t="str">
        <f>""</f>
        <v/>
      </c>
      <c r="G148" s="160" t="str">
        <f>""</f>
        <v/>
      </c>
      <c r="H148" s="160" t="str">
        <f>""</f>
        <v/>
      </c>
      <c r="I148" s="160" t="str">
        <f>""</f>
        <v/>
      </c>
      <c r="J148" s="160" t="str">
        <f>""</f>
        <v/>
      </c>
      <c r="K148" s="160" t="str">
        <f>""</f>
        <v/>
      </c>
      <c r="L148" s="160" t="str">
        <f>""</f>
        <v/>
      </c>
      <c r="M148" s="160" t="str">
        <f>""</f>
        <v/>
      </c>
      <c r="N148" s="160" t="str">
        <f t="shared" si="54"/>
        <v/>
      </c>
      <c r="O148" s="160" t="str">
        <f t="shared" si="55"/>
        <v/>
      </c>
    </row>
    <row r="149" spans="1:15" x14ac:dyDescent="0.25">
      <c r="A149" t="s">
        <v>108</v>
      </c>
      <c r="B149" s="160">
        <f>IF(COUNTIFS($B$442:$B$558,1,REPAIRS!$L$4:$L$120,"&lt;&gt;")=0,"",SUMIFS(REPAIRS!$L$4:$L$120,$B$442:$B$558,1))</f>
        <v>11690</v>
      </c>
      <c r="C149" s="160">
        <f>IF(COUNTIFS($B$442:$B$558,2,REPAIRS!$L$4:$L$120,"&lt;&gt;")=0,"",SUMIFS(REPAIRS!$L$4:$L$120,$B$442:$B$558,2))</f>
        <v>3800</v>
      </c>
      <c r="D149" s="160">
        <f>IF(COUNTIFS($B$442:$B$558,3,REPAIRS!$L$4:$L$120,"&lt;&gt;")=0,"",SUMIFS(REPAIRS!$L$4:$L$120,$B$442:$B$558,3))</f>
        <v>3950</v>
      </c>
      <c r="E149" s="160">
        <f>IF(COUNTIFS($B$442:$B$558,4,REPAIRS!$L$4:$L$120,"&lt;&gt;")=0,"",SUMIFS(REPAIRS!$L$4:$L$120,$B$442:$B$558,4))</f>
        <v>4350</v>
      </c>
      <c r="F149" s="160">
        <f>IF(COUNTIFS($B$442:$B$558,5,REPAIRS!$L$4:$L$120,"&lt;&gt;")=0,"",SUMIFS(REPAIRS!$L$4:$L$120,$B$442:$B$558,5))</f>
        <v>53524</v>
      </c>
      <c r="G149" s="160">
        <f>IF(COUNTIFS($B$442:$B$558,6,REPAIRS!$L$4:$L$120,"&lt;&gt;")=0,"",SUMIFS(REPAIRS!$L$4:$L$120,$B$442:$B$558,6))</f>
        <v>7903</v>
      </c>
      <c r="H149" s="160">
        <f>IF(COUNTIFS($B$442:$B$558,7,REPAIRS!$L$4:$L$120,"&lt;&gt;")=0,"",SUMIFS(REPAIRS!$L$4:$L$120,$B$442:$B$558,7))</f>
        <v>3120</v>
      </c>
      <c r="I149" s="160">
        <f>IF(COUNTIFS($B$442:$B$558,8,REPAIRS!$L$4:$L$120,"&lt;&gt;")=0,"",SUMIFS(REPAIRS!$L$4:$L$120,$B$442:$B$558,8))</f>
        <v>962</v>
      </c>
      <c r="J149" s="160">
        <f>IF(COUNTIFS($B$442:$B$558,9,REPAIRS!$L$4:$L$120,"&lt;&gt;")=0,"",SUMIFS(REPAIRS!$L$4:$L$120,$B$442:$B$558,9))</f>
        <v>2730</v>
      </c>
      <c r="K149" s="160" t="str">
        <f>IF(COUNTIFS($B$442:$B$558,10,REPAIRS!$L$4:$L$120,"&lt;&gt;")=0,"",SUMIFS(REPAIRS!$L$4:$L$120,$B$442:$B$558,10))</f>
        <v/>
      </c>
      <c r="L149" s="160" t="str">
        <f>IF(COUNTIFS($B$442:$B$558,11,REPAIRS!$L$4:$L$120,"&lt;&gt;")=0,"",SUMIFS(REPAIRS!$L$4:$L$120,$B$442:$B$558,11))</f>
        <v/>
      </c>
      <c r="M149" s="160" t="str">
        <f>IF(COUNTIFS($B$442:$B$558,12,REPAIRS!$L$4:$L$120,"&lt;&gt;")=0,"",SUMIFS(REPAIRS!$L$4:$L$120,$B$442:$B$558,12))</f>
        <v/>
      </c>
      <c r="N149" s="160">
        <f t="shared" si="54"/>
        <v>92029</v>
      </c>
      <c r="O149" s="160">
        <f t="shared" si="55"/>
        <v>10225.444444444445</v>
      </c>
    </row>
    <row r="150" spans="1:15" x14ac:dyDescent="0.25">
      <c r="A150" t="s">
        <v>110</v>
      </c>
      <c r="B150" s="160">
        <f>IF(COUNTIFS($B$442:$B$558,1,REPAIRS!$N$4:$N$120,"&lt;&gt;")=0,"",SUMIFS(REPAIRS!$N$4:$N$120,$B$442:$B$558,1))</f>
        <v>8480</v>
      </c>
      <c r="C150" s="160">
        <f>IF(COUNTIFS($B$442:$B$558,2,REPAIRS!$N$4:$N$120,"&lt;&gt;")=0,"",SUMIFS(REPAIRS!$N$4:$N$120,$B$442:$B$558,2))</f>
        <v>28850</v>
      </c>
      <c r="D150" s="160">
        <f>IF(COUNTIFS($B$442:$B$558,3,REPAIRS!$N$4:$N$120,"&lt;&gt;")=0,"",SUMIFS(REPAIRS!$N$4:$N$120,$B$442:$B$558,3))</f>
        <v>16100</v>
      </c>
      <c r="E150" s="160">
        <f>IF(COUNTIFS($B$442:$B$558,4,REPAIRS!$N$4:$N$120,"&lt;&gt;")=0,"",SUMIFS(REPAIRS!$N$4:$N$120,$B$442:$B$558,4))</f>
        <v>14800</v>
      </c>
      <c r="F150" s="160">
        <f>IF(COUNTIFS($B$442:$B$558,5,REPAIRS!$N$4:$N$120,"&lt;&gt;")=0,"",SUMIFS(REPAIRS!$N$4:$N$120,$B$442:$B$558,5))</f>
        <v>11300</v>
      </c>
      <c r="G150" s="160">
        <f>IF(COUNTIFS($B$442:$B$558,6,REPAIRS!$N$4:$N$120,"&lt;&gt;")=0,"",SUMIFS(REPAIRS!$N$4:$N$120,$B$442:$B$558,6))</f>
        <v>20225</v>
      </c>
      <c r="H150" s="160">
        <f>IF(COUNTIFS($B$442:$B$558,7,REPAIRS!$N$4:$N$120,"&lt;&gt;")=0,"",SUMIFS(REPAIRS!$N$4:$N$120,$B$442:$B$558,7))</f>
        <v>25775</v>
      </c>
      <c r="I150" s="160">
        <f>IF(COUNTIFS($B$442:$B$558,8,REPAIRS!$N$4:$N$120,"&lt;&gt;")=0,"",SUMIFS(REPAIRS!$N$4:$N$120,$B$442:$B$558,8))</f>
        <v>28120</v>
      </c>
      <c r="J150" s="160">
        <f>IF(COUNTIFS($B$442:$B$558,9,REPAIRS!$N$4:$N$120,"&lt;&gt;")=0,"",SUMIFS(REPAIRS!$N$4:$N$120,$B$442:$B$558,9))</f>
        <v>20150</v>
      </c>
      <c r="K150" s="160" t="str">
        <f>IF(COUNTIFS($B$442:$B$558,10,REPAIRS!$N$4:$N$120,"&lt;&gt;")=0,"",SUMIFS(REPAIRS!$N$4:$N$120,$B$442:$B$558,10))</f>
        <v/>
      </c>
      <c r="L150" s="160" t="str">
        <f>IF(COUNTIFS($B$442:$B$558,11,REPAIRS!$N$4:$N$120,"&lt;&gt;")=0,"",SUMIFS(REPAIRS!$N$4:$N$120,$B$442:$B$558,11))</f>
        <v/>
      </c>
      <c r="M150" s="160" t="str">
        <f>IF(COUNTIFS($B$442:$B$558,12,REPAIRS!$N$4:$N$120,"&lt;&gt;")=0,"",SUMIFS(REPAIRS!$N$4:$N$120,$B$442:$B$558,12))</f>
        <v/>
      </c>
      <c r="N150" s="160">
        <f t="shared" si="54"/>
        <v>173800</v>
      </c>
      <c r="O150" s="160">
        <f t="shared" si="55"/>
        <v>19311.111111111109</v>
      </c>
    </row>
    <row r="151" spans="1:15" x14ac:dyDescent="0.25">
      <c r="A151" t="s">
        <v>112</v>
      </c>
      <c r="B151" s="160">
        <f>IF(COUNTIFS($B$442:$B$558,1,REPAIRS!$J$4:$J$120,"&lt;&gt;")=0,"",SUMIFS(REPAIRS!$J$4:$J$120,$B$442:$B$558,1))</f>
        <v>0</v>
      </c>
      <c r="C151" s="160" t="str">
        <f>IF(COUNTIFS($B$442:$B$558,2,REPAIRS!$J$4:$J$120,"&lt;&gt;")=0,"",SUMIFS(REPAIRS!$J$4:$J$120,$B$442:$B$558,2))</f>
        <v/>
      </c>
      <c r="D151" s="160" t="str">
        <f>IF(COUNTIFS($B$442:$B$558,3,REPAIRS!$J$4:$J$120,"&lt;&gt;")=0,"",SUMIFS(REPAIRS!$J$4:$J$120,$B$442:$B$558,3))</f>
        <v/>
      </c>
      <c r="E151" s="160" t="str">
        <f>IF(COUNTIFS($B$442:$B$558,4,REPAIRS!$J$4:$J$120,"&lt;&gt;")=0,"",SUMIFS(REPAIRS!$J$4:$J$120,$B$442:$B$558,4))</f>
        <v/>
      </c>
      <c r="F151" s="160" t="str">
        <f>IF(COUNTIFS($B$442:$B$558,5,REPAIRS!$J$4:$J$120,"&lt;&gt;")=0,"",SUMIFS(REPAIRS!$J$4:$J$120,$B$442:$B$558,5))</f>
        <v/>
      </c>
      <c r="G151" s="160" t="str">
        <f>IF(COUNTIFS($B$442:$B$558,6,REPAIRS!$J$4:$J$120,"&lt;&gt;")=0,"",SUMIFS(REPAIRS!$J$4:$J$120,$B$442:$B$558,6))</f>
        <v/>
      </c>
      <c r="H151" s="160" t="str">
        <f>IF(COUNTIFS($B$442:$B$558,7,REPAIRS!$J$4:$J$120,"&lt;&gt;")=0,"",SUMIFS(REPAIRS!$J$4:$J$120,$B$442:$B$558,7))</f>
        <v/>
      </c>
      <c r="I151" s="160" t="str">
        <f>IF(COUNTIFS($B$442:$B$558,8,REPAIRS!$J$4:$J$120,"&lt;&gt;")=0,"",SUMIFS(REPAIRS!$J$4:$J$120,$B$442:$B$558,8))</f>
        <v/>
      </c>
      <c r="J151" s="160" t="str">
        <f>IF(COUNTIFS($B$442:$B$558,9,REPAIRS!$J$4:$J$120,"&lt;&gt;")=0,"",SUMIFS(REPAIRS!$J$4:$J$120,$B$442:$B$558,9))</f>
        <v/>
      </c>
      <c r="K151" s="160" t="str">
        <f>IF(COUNTIFS($B$442:$B$558,10,REPAIRS!$J$4:$J$120,"&lt;&gt;")=0,"",SUMIFS(REPAIRS!$J$4:$J$120,$B$442:$B$558,10))</f>
        <v/>
      </c>
      <c r="L151" s="160" t="str">
        <f>IF(COUNTIFS($B$442:$B$558,11,REPAIRS!$J$4:$J$120,"&lt;&gt;")=0,"",SUMIFS(REPAIRS!$J$4:$J$120,$B$442:$B$558,11))</f>
        <v/>
      </c>
      <c r="M151" s="160" t="str">
        <f>IF(COUNTIFS($B$442:$B$558,12,REPAIRS!$J$4:$J$120,"&lt;&gt;")=0,"",SUMIFS(REPAIRS!$J$4:$J$120,$B$442:$B$558,12))</f>
        <v/>
      </c>
      <c r="N151" s="160">
        <f t="shared" si="54"/>
        <v>0</v>
      </c>
      <c r="O151" s="160">
        <f t="shared" si="55"/>
        <v>0</v>
      </c>
    </row>
    <row r="152" spans="1:15" x14ac:dyDescent="0.25">
      <c r="A152" s="526" t="s">
        <v>9</v>
      </c>
      <c r="B152" s="527">
        <f t="shared" ref="B152:O152" si="56">IF(COUNT(B142:B151)=0,"",SUM(B142:B151))</f>
        <v>140047</v>
      </c>
      <c r="C152" s="527">
        <f t="shared" si="56"/>
        <v>176876</v>
      </c>
      <c r="D152" s="527">
        <f t="shared" si="56"/>
        <v>159441</v>
      </c>
      <c r="E152" s="527">
        <f t="shared" si="56"/>
        <v>171493</v>
      </c>
      <c r="F152" s="527">
        <f t="shared" si="56"/>
        <v>210960</v>
      </c>
      <c r="G152" s="527">
        <f t="shared" si="56"/>
        <v>268127</v>
      </c>
      <c r="H152" s="527">
        <f t="shared" si="56"/>
        <v>225138</v>
      </c>
      <c r="I152" s="527">
        <f t="shared" si="56"/>
        <v>176732</v>
      </c>
      <c r="J152" s="527">
        <f t="shared" si="56"/>
        <v>75728</v>
      </c>
      <c r="K152" s="527" t="str">
        <f t="shared" si="56"/>
        <v/>
      </c>
      <c r="L152" s="527" t="str">
        <f t="shared" si="56"/>
        <v/>
      </c>
      <c r="M152" s="527" t="str">
        <f t="shared" si="56"/>
        <v/>
      </c>
      <c r="N152" s="527">
        <f t="shared" si="56"/>
        <v>1604542</v>
      </c>
      <c r="O152" s="527">
        <f t="shared" si="56"/>
        <v>187609.44444444444</v>
      </c>
    </row>
    <row r="153" spans="1:15" x14ac:dyDescent="0.25">
      <c r="A153" s="528" t="s">
        <v>599</v>
      </c>
      <c r="B153" s="529">
        <f t="shared" ref="B153:M153" si="57">COUNT(B142:B151)</f>
        <v>9</v>
      </c>
      <c r="C153" s="529">
        <f t="shared" si="57"/>
        <v>8</v>
      </c>
      <c r="D153" s="529">
        <f t="shared" si="57"/>
        <v>8</v>
      </c>
      <c r="E153" s="529">
        <f t="shared" si="57"/>
        <v>8</v>
      </c>
      <c r="F153" s="529">
        <f t="shared" si="57"/>
        <v>8</v>
      </c>
      <c r="G153" s="529">
        <f t="shared" si="57"/>
        <v>8</v>
      </c>
      <c r="H153" s="529">
        <f t="shared" si="57"/>
        <v>8</v>
      </c>
      <c r="I153" s="529">
        <f t="shared" si="57"/>
        <v>8</v>
      </c>
      <c r="J153" s="529">
        <f t="shared" si="57"/>
        <v>5</v>
      </c>
      <c r="K153" s="529">
        <f t="shared" si="57"/>
        <v>0</v>
      </c>
      <c r="L153" s="529">
        <f t="shared" si="57"/>
        <v>0</v>
      </c>
      <c r="M153" s="529">
        <f t="shared" si="57"/>
        <v>0</v>
      </c>
      <c r="N153" s="529">
        <f>COUNT(B152:M152)</f>
        <v>9</v>
      </c>
    </row>
    <row r="155" spans="1:15" x14ac:dyDescent="0.25">
      <c r="A155" s="525" t="s">
        <v>608</v>
      </c>
    </row>
    <row r="156" spans="1:15" ht="25.5" x14ac:dyDescent="0.25">
      <c r="A156" s="523" t="s">
        <v>36</v>
      </c>
      <c r="B156" s="523" t="s">
        <v>576</v>
      </c>
      <c r="C156" s="523" t="s">
        <v>578</v>
      </c>
      <c r="D156" s="523" t="s">
        <v>580</v>
      </c>
      <c r="E156" s="523" t="s">
        <v>582</v>
      </c>
      <c r="F156" s="523" t="s">
        <v>584</v>
      </c>
      <c r="G156" s="523" t="s">
        <v>586</v>
      </c>
      <c r="H156" s="523" t="s">
        <v>588</v>
      </c>
      <c r="I156" s="523" t="s">
        <v>7</v>
      </c>
      <c r="J156" s="523" t="s">
        <v>591</v>
      </c>
      <c r="K156" s="523" t="s">
        <v>593</v>
      </c>
      <c r="L156" s="523" t="s">
        <v>595</v>
      </c>
      <c r="M156" s="523" t="s">
        <v>596</v>
      </c>
      <c r="N156" s="523" t="s">
        <v>574</v>
      </c>
      <c r="O156" s="523" t="s">
        <v>598</v>
      </c>
    </row>
    <row r="157" spans="1:15" x14ac:dyDescent="0.25">
      <c r="A157" t="s">
        <v>85</v>
      </c>
      <c r="B157" s="160" t="str">
        <f>""</f>
        <v/>
      </c>
      <c r="C157" s="160" t="str">
        <f>""</f>
        <v/>
      </c>
      <c r="D157" s="160" t="str">
        <f>""</f>
        <v/>
      </c>
      <c r="E157" s="160" t="str">
        <f>""</f>
        <v/>
      </c>
      <c r="F157" s="160" t="str">
        <f>""</f>
        <v/>
      </c>
      <c r="G157" s="160" t="str">
        <f>""</f>
        <v/>
      </c>
      <c r="H157" s="160" t="str">
        <f>""</f>
        <v/>
      </c>
      <c r="I157" s="160" t="str">
        <f>""</f>
        <v/>
      </c>
      <c r="J157" s="160" t="str">
        <f>""</f>
        <v/>
      </c>
      <c r="K157" s="160" t="str">
        <f>""</f>
        <v/>
      </c>
      <c r="L157" s="160" t="str">
        <f>""</f>
        <v/>
      </c>
      <c r="M157" s="160" t="str">
        <f>""</f>
        <v/>
      </c>
      <c r="N157" s="160" t="str">
        <f t="shared" ref="N157:N166" si="58">IF(COUNT(B157:M157)=0,"",SUM(B157:M157))</f>
        <v/>
      </c>
      <c r="O157" s="160" t="str">
        <f t="shared" ref="O157:O166" si="59">IF(COUNT(B157:M157)=0,"",AVERAGE(B157:M157))</f>
        <v/>
      </c>
    </row>
    <row r="158" spans="1:15" x14ac:dyDescent="0.25">
      <c r="A158" t="s">
        <v>91</v>
      </c>
      <c r="B158" s="160" t="str">
        <f>""</f>
        <v/>
      </c>
      <c r="C158" s="160" t="str">
        <f>""</f>
        <v/>
      </c>
      <c r="D158" s="160" t="str">
        <f>""</f>
        <v/>
      </c>
      <c r="E158" s="160" t="str">
        <f>""</f>
        <v/>
      </c>
      <c r="F158" s="160" t="str">
        <f>""</f>
        <v/>
      </c>
      <c r="G158" s="160" t="str">
        <f>""</f>
        <v/>
      </c>
      <c r="H158" s="160" t="str">
        <f>""</f>
        <v/>
      </c>
      <c r="I158" s="160" t="str">
        <f>""</f>
        <v/>
      </c>
      <c r="J158" s="160" t="str">
        <f>""</f>
        <v/>
      </c>
      <c r="K158" s="160" t="str">
        <f>""</f>
        <v/>
      </c>
      <c r="L158" s="160" t="str">
        <f>""</f>
        <v/>
      </c>
      <c r="M158" s="160" t="str">
        <f>""</f>
        <v/>
      </c>
      <c r="N158" s="160" t="str">
        <f t="shared" si="58"/>
        <v/>
      </c>
      <c r="O158" s="160" t="str">
        <f t="shared" si="59"/>
        <v/>
      </c>
    </row>
    <row r="159" spans="1:15" x14ac:dyDescent="0.25">
      <c r="A159" t="s">
        <v>93</v>
      </c>
      <c r="B159" s="160">
        <f>IF('GENERATOR CONSMP.'!B11="","",'GENERATOR CONSMP.'!B11)</f>
        <v>50</v>
      </c>
      <c r="C159" s="160">
        <f>IF('GENERATOR CONSMP.'!C11="","",'GENERATOR CONSMP.'!C11)</f>
        <v>50</v>
      </c>
      <c r="D159" s="160">
        <f>IF('GENERATOR CONSMP.'!D11="","",'GENERATOR CONSMP.'!D11)</f>
        <v>70</v>
      </c>
      <c r="E159" s="160">
        <f>IF('GENERATOR CONSMP.'!E11="","",'GENERATOR CONSMP.'!E11)</f>
        <v>73</v>
      </c>
      <c r="F159" s="160">
        <f>IF('GENERATOR CONSMP.'!F11="","",'GENERATOR CONSMP.'!F11)</f>
        <v>75</v>
      </c>
      <c r="G159" s="160">
        <f>IF('GENERATOR CONSMP.'!G11="","",'GENERATOR CONSMP.'!G11)</f>
        <v>69</v>
      </c>
      <c r="H159" s="160">
        <f>IF('GENERATOR CONSMP.'!H11="","",'GENERATOR CONSMP.'!H11)</f>
        <v>141</v>
      </c>
      <c r="I159" s="160">
        <f>IF('GENERATOR CONSMP.'!I11="","",'GENERATOR CONSMP.'!I11)</f>
        <v>49</v>
      </c>
      <c r="J159" s="160" t="str">
        <f>IF('GENERATOR CONSMP.'!J11="","",'GENERATOR CONSMP.'!J11)</f>
        <v/>
      </c>
      <c r="K159" s="160" t="str">
        <f>IF('GENERATOR CONSMP.'!K11="","",'GENERATOR CONSMP.'!K11)</f>
        <v/>
      </c>
      <c r="L159" s="160" t="str">
        <f>IF('GENERATOR CONSMP.'!L11="","",'GENERATOR CONSMP.'!L11)</f>
        <v/>
      </c>
      <c r="M159" s="160" t="str">
        <f>IF('GENERATOR CONSMP.'!M11="","",'GENERATOR CONSMP.'!M11)</f>
        <v/>
      </c>
      <c r="N159" s="160">
        <f t="shared" si="58"/>
        <v>577</v>
      </c>
      <c r="O159" s="160">
        <f t="shared" si="59"/>
        <v>72.125</v>
      </c>
    </row>
    <row r="160" spans="1:15" x14ac:dyDescent="0.25">
      <c r="A160" t="s">
        <v>98</v>
      </c>
      <c r="B160" s="160" t="str">
        <f>""</f>
        <v/>
      </c>
      <c r="C160" s="160" t="str">
        <f>""</f>
        <v/>
      </c>
      <c r="D160" s="160" t="str">
        <f>""</f>
        <v/>
      </c>
      <c r="E160" s="160" t="str">
        <f>""</f>
        <v/>
      </c>
      <c r="F160" s="160" t="str">
        <f>""</f>
        <v/>
      </c>
      <c r="G160" s="160" t="str">
        <f>""</f>
        <v/>
      </c>
      <c r="H160" s="160" t="str">
        <f>""</f>
        <v/>
      </c>
      <c r="I160" s="160" t="str">
        <f>""</f>
        <v/>
      </c>
      <c r="J160" s="160" t="str">
        <f>""</f>
        <v/>
      </c>
      <c r="K160" s="160" t="str">
        <f>""</f>
        <v/>
      </c>
      <c r="L160" s="160" t="str">
        <f>""</f>
        <v/>
      </c>
      <c r="M160" s="160" t="str">
        <f>""</f>
        <v/>
      </c>
      <c r="N160" s="160" t="str">
        <f t="shared" si="58"/>
        <v/>
      </c>
      <c r="O160" s="160" t="str">
        <f t="shared" si="59"/>
        <v/>
      </c>
    </row>
    <row r="161" spans="1:15" x14ac:dyDescent="0.25">
      <c r="A161" t="s">
        <v>100</v>
      </c>
      <c r="B161" s="160">
        <f>IF('GENERATOR CONSMP.'!B5="","",'GENERATOR CONSMP.'!B5)</f>
        <v>20</v>
      </c>
      <c r="C161" s="160">
        <f>IF('GENERATOR CONSMP.'!C5="","",'GENERATOR CONSMP.'!C5)</f>
        <v>8</v>
      </c>
      <c r="D161" s="160">
        <f>IF('GENERATOR CONSMP.'!D5="","",'GENERATOR CONSMP.'!D5)</f>
        <v>21</v>
      </c>
      <c r="E161" s="160">
        <f>IF('GENERATOR CONSMP.'!E5="","",'GENERATOR CONSMP.'!E5)</f>
        <v>25</v>
      </c>
      <c r="F161" s="160">
        <f>IF('GENERATOR CONSMP.'!F5="","",'GENERATOR CONSMP.'!F5)</f>
        <v>23</v>
      </c>
      <c r="G161" s="160">
        <f>IF('GENERATOR CONSMP.'!G5="","",'GENERATOR CONSMP.'!G5)</f>
        <v>22</v>
      </c>
      <c r="H161" s="160">
        <f>IF('GENERATOR CONSMP.'!H5="","",'GENERATOR CONSMP.'!H5)</f>
        <v>28</v>
      </c>
      <c r="I161" s="160">
        <f>IF('GENERATOR CONSMP.'!I5="","",'GENERATOR CONSMP.'!I5)</f>
        <v>21</v>
      </c>
      <c r="J161" s="160" t="str">
        <f>IF('GENERATOR CONSMP.'!J5="","",'GENERATOR CONSMP.'!J5)</f>
        <v/>
      </c>
      <c r="K161" s="160" t="str">
        <f>IF('GENERATOR CONSMP.'!K5="","",'GENERATOR CONSMP.'!K5)</f>
        <v/>
      </c>
      <c r="L161" s="160" t="str">
        <f>IF('GENERATOR CONSMP.'!L5="","",'GENERATOR CONSMP.'!L5)</f>
        <v/>
      </c>
      <c r="M161" s="160" t="str">
        <f>IF('GENERATOR CONSMP.'!M5="","",'GENERATOR CONSMP.'!M5)</f>
        <v/>
      </c>
      <c r="N161" s="160">
        <f t="shared" si="58"/>
        <v>168</v>
      </c>
      <c r="O161" s="160">
        <f t="shared" si="59"/>
        <v>21</v>
      </c>
    </row>
    <row r="162" spans="1:15" x14ac:dyDescent="0.25">
      <c r="A162" t="s">
        <v>224</v>
      </c>
      <c r="B162" s="160" t="str">
        <f>""</f>
        <v/>
      </c>
      <c r="C162" s="160" t="str">
        <f>""</f>
        <v/>
      </c>
      <c r="D162" s="160" t="str">
        <f>""</f>
        <v/>
      </c>
      <c r="E162" s="160" t="str">
        <f>""</f>
        <v/>
      </c>
      <c r="F162" s="160" t="str">
        <f>""</f>
        <v/>
      </c>
      <c r="G162" s="160" t="str">
        <f>""</f>
        <v/>
      </c>
      <c r="H162" s="160" t="str">
        <f>""</f>
        <v/>
      </c>
      <c r="I162" s="160" t="str">
        <f>""</f>
        <v/>
      </c>
      <c r="J162" s="160" t="str">
        <f>""</f>
        <v/>
      </c>
      <c r="K162" s="160" t="str">
        <f>""</f>
        <v/>
      </c>
      <c r="L162" s="160" t="str">
        <f>""</f>
        <v/>
      </c>
      <c r="M162" s="160" t="str">
        <f>""</f>
        <v/>
      </c>
      <c r="N162" s="160" t="str">
        <f t="shared" si="58"/>
        <v/>
      </c>
      <c r="O162" s="160" t="str">
        <f t="shared" si="59"/>
        <v/>
      </c>
    </row>
    <row r="163" spans="1:15" x14ac:dyDescent="0.25">
      <c r="A163" t="s">
        <v>106</v>
      </c>
      <c r="B163" s="160" t="str">
        <f>""</f>
        <v/>
      </c>
      <c r="C163" s="160" t="str">
        <f>""</f>
        <v/>
      </c>
      <c r="D163" s="160" t="str">
        <f>""</f>
        <v/>
      </c>
      <c r="E163" s="160" t="str">
        <f>""</f>
        <v/>
      </c>
      <c r="F163" s="160" t="str">
        <f>""</f>
        <v/>
      </c>
      <c r="G163" s="160" t="str">
        <f>""</f>
        <v/>
      </c>
      <c r="H163" s="160" t="str">
        <f>""</f>
        <v/>
      </c>
      <c r="I163" s="160" t="str">
        <f>""</f>
        <v/>
      </c>
      <c r="J163" s="160" t="str">
        <f>""</f>
        <v/>
      </c>
      <c r="K163" s="160" t="str">
        <f>""</f>
        <v/>
      </c>
      <c r="L163" s="160" t="str">
        <f>""</f>
        <v/>
      </c>
      <c r="M163" s="160" t="str">
        <f>""</f>
        <v/>
      </c>
      <c r="N163" s="160" t="str">
        <f t="shared" si="58"/>
        <v/>
      </c>
      <c r="O163" s="160" t="str">
        <f t="shared" si="59"/>
        <v/>
      </c>
    </row>
    <row r="164" spans="1:15" x14ac:dyDescent="0.25">
      <c r="A164" t="s">
        <v>108</v>
      </c>
      <c r="B164" s="160" t="str">
        <f>""</f>
        <v/>
      </c>
      <c r="C164" s="160" t="str">
        <f>""</f>
        <v/>
      </c>
      <c r="D164" s="160" t="str">
        <f>""</f>
        <v/>
      </c>
      <c r="E164" s="160" t="str">
        <f>""</f>
        <v/>
      </c>
      <c r="F164" s="160" t="str">
        <f>""</f>
        <v/>
      </c>
      <c r="G164" s="160" t="str">
        <f>""</f>
        <v/>
      </c>
      <c r="H164" s="160" t="str">
        <f>""</f>
        <v/>
      </c>
      <c r="I164" s="160" t="str">
        <f>""</f>
        <v/>
      </c>
      <c r="J164" s="160" t="str">
        <f>""</f>
        <v/>
      </c>
      <c r="K164" s="160" t="str">
        <f>""</f>
        <v/>
      </c>
      <c r="L164" s="160" t="str">
        <f>""</f>
        <v/>
      </c>
      <c r="M164" s="160" t="str">
        <f>""</f>
        <v/>
      </c>
      <c r="N164" s="160" t="str">
        <f t="shared" si="58"/>
        <v/>
      </c>
      <c r="O164" s="160" t="str">
        <f t="shared" si="59"/>
        <v/>
      </c>
    </row>
    <row r="165" spans="1:15" x14ac:dyDescent="0.25">
      <c r="A165" t="s">
        <v>110</v>
      </c>
      <c r="B165" s="160" t="str">
        <f>""</f>
        <v/>
      </c>
      <c r="C165" s="160" t="str">
        <f>""</f>
        <v/>
      </c>
      <c r="D165" s="160" t="str">
        <f>""</f>
        <v/>
      </c>
      <c r="E165" s="160" t="str">
        <f>""</f>
        <v/>
      </c>
      <c r="F165" s="160" t="str">
        <f>""</f>
        <v/>
      </c>
      <c r="G165" s="160" t="str">
        <f>""</f>
        <v/>
      </c>
      <c r="H165" s="160" t="str">
        <f>""</f>
        <v/>
      </c>
      <c r="I165" s="160" t="str">
        <f>""</f>
        <v/>
      </c>
      <c r="J165" s="160" t="str">
        <f>""</f>
        <v/>
      </c>
      <c r="K165" s="160" t="str">
        <f>""</f>
        <v/>
      </c>
      <c r="L165" s="160" t="str">
        <f>""</f>
        <v/>
      </c>
      <c r="M165" s="160" t="str">
        <f>""</f>
        <v/>
      </c>
      <c r="N165" s="160" t="str">
        <f t="shared" si="58"/>
        <v/>
      </c>
      <c r="O165" s="160" t="str">
        <f t="shared" si="59"/>
        <v/>
      </c>
    </row>
    <row r="166" spans="1:15" x14ac:dyDescent="0.25">
      <c r="A166" t="s">
        <v>112</v>
      </c>
      <c r="B166" s="160">
        <f>IF('GENERATOR CONSMP.'!B17="","",'GENERATOR CONSMP.'!B17)</f>
        <v>75.7</v>
      </c>
      <c r="C166" s="160">
        <f>IF('GENERATOR CONSMP.'!C17="","",'GENERATOR CONSMP.'!C17)</f>
        <v>92.3</v>
      </c>
      <c r="D166" s="160">
        <f>IF('GENERATOR CONSMP.'!D17="","",'GENERATOR CONSMP.'!D17)</f>
        <v>472.2</v>
      </c>
      <c r="E166" s="160">
        <f>IF('GENERATOR CONSMP.'!E17="","",'GENERATOR CONSMP.'!E17)</f>
        <v>285</v>
      </c>
      <c r="F166" s="160">
        <f>IF('GENERATOR CONSMP.'!F17="","",'GENERATOR CONSMP.'!F17)</f>
        <v>261.5</v>
      </c>
      <c r="G166" s="160">
        <f>IF('GENERATOR CONSMP.'!G17="","",'GENERATOR CONSMP.'!G17)</f>
        <v>579</v>
      </c>
      <c r="H166" s="160">
        <f>IF('GENERATOR CONSMP.'!H17="","",'GENERATOR CONSMP.'!H17)</f>
        <v>467</v>
      </c>
      <c r="I166" s="160">
        <f>IF('GENERATOR CONSMP.'!I17="","",'GENERATOR CONSMP.'!I17)</f>
        <v>116</v>
      </c>
      <c r="J166" s="160">
        <f>IF('GENERATOR CONSMP.'!J17="","",'GENERATOR CONSMP.'!J17)</f>
        <v>149.1</v>
      </c>
      <c r="K166" s="160" t="str">
        <f>IF('GENERATOR CONSMP.'!K17="","",'GENERATOR CONSMP.'!K17)</f>
        <v/>
      </c>
      <c r="L166" s="160" t="str">
        <f>IF('GENERATOR CONSMP.'!L17="","",'GENERATOR CONSMP.'!L17)</f>
        <v/>
      </c>
      <c r="M166" s="160" t="str">
        <f>IF('GENERATOR CONSMP.'!M17="","",'GENERATOR CONSMP.'!M17)</f>
        <v/>
      </c>
      <c r="N166" s="160">
        <f t="shared" si="58"/>
        <v>2497.7999999999997</v>
      </c>
      <c r="O166" s="160">
        <f t="shared" si="59"/>
        <v>277.5333333333333</v>
      </c>
    </row>
    <row r="167" spans="1:15" x14ac:dyDescent="0.25">
      <c r="A167" s="526" t="s">
        <v>9</v>
      </c>
      <c r="B167" s="527">
        <f t="shared" ref="B167:O167" si="60">IF(COUNT(B157:B166)=0,"",SUM(B157:B166))</f>
        <v>145.69999999999999</v>
      </c>
      <c r="C167" s="527">
        <f t="shared" si="60"/>
        <v>150.30000000000001</v>
      </c>
      <c r="D167" s="527">
        <f t="shared" si="60"/>
        <v>563.20000000000005</v>
      </c>
      <c r="E167" s="527">
        <f t="shared" si="60"/>
        <v>383</v>
      </c>
      <c r="F167" s="527">
        <f t="shared" si="60"/>
        <v>359.5</v>
      </c>
      <c r="G167" s="527">
        <f t="shared" si="60"/>
        <v>670</v>
      </c>
      <c r="H167" s="527">
        <f t="shared" si="60"/>
        <v>636</v>
      </c>
      <c r="I167" s="527">
        <f t="shared" si="60"/>
        <v>186</v>
      </c>
      <c r="J167" s="527">
        <f t="shared" si="60"/>
        <v>149.1</v>
      </c>
      <c r="K167" s="527" t="str">
        <f t="shared" si="60"/>
        <v/>
      </c>
      <c r="L167" s="527" t="str">
        <f t="shared" si="60"/>
        <v/>
      </c>
      <c r="M167" s="527" t="str">
        <f t="shared" si="60"/>
        <v/>
      </c>
      <c r="N167" s="527">
        <f t="shared" si="60"/>
        <v>3242.7999999999997</v>
      </c>
      <c r="O167" s="527">
        <f t="shared" si="60"/>
        <v>370.6583333333333</v>
      </c>
    </row>
    <row r="168" spans="1:15" x14ac:dyDescent="0.25">
      <c r="A168" s="528" t="s">
        <v>599</v>
      </c>
      <c r="B168" s="529">
        <f t="shared" ref="B168:M168" si="61">COUNT(B157:B166)</f>
        <v>3</v>
      </c>
      <c r="C168" s="529">
        <f t="shared" si="61"/>
        <v>3</v>
      </c>
      <c r="D168" s="529">
        <f t="shared" si="61"/>
        <v>3</v>
      </c>
      <c r="E168" s="529">
        <f t="shared" si="61"/>
        <v>3</v>
      </c>
      <c r="F168" s="529">
        <f t="shared" si="61"/>
        <v>3</v>
      </c>
      <c r="G168" s="529">
        <f t="shared" si="61"/>
        <v>3</v>
      </c>
      <c r="H168" s="529">
        <f t="shared" si="61"/>
        <v>3</v>
      </c>
      <c r="I168" s="529">
        <f t="shared" si="61"/>
        <v>3</v>
      </c>
      <c r="J168" s="529">
        <f t="shared" si="61"/>
        <v>1</v>
      </c>
      <c r="K168" s="529">
        <f t="shared" si="61"/>
        <v>0</v>
      </c>
      <c r="L168" s="529">
        <f t="shared" si="61"/>
        <v>0</v>
      </c>
      <c r="M168" s="529">
        <f t="shared" si="61"/>
        <v>0</v>
      </c>
      <c r="N168" s="529">
        <f>COUNT(B167:M167)</f>
        <v>9</v>
      </c>
    </row>
    <row r="170" spans="1:15" x14ac:dyDescent="0.25">
      <c r="A170" s="525" t="s">
        <v>609</v>
      </c>
    </row>
    <row r="171" spans="1:15" ht="25.5" x14ac:dyDescent="0.25">
      <c r="A171" s="523" t="s">
        <v>36</v>
      </c>
      <c r="B171" s="523" t="s">
        <v>576</v>
      </c>
      <c r="C171" s="523" t="s">
        <v>578</v>
      </c>
      <c r="D171" s="523" t="s">
        <v>580</v>
      </c>
      <c r="E171" s="523" t="s">
        <v>582</v>
      </c>
      <c r="F171" s="523" t="s">
        <v>584</v>
      </c>
      <c r="G171" s="523" t="s">
        <v>586</v>
      </c>
      <c r="H171" s="523" t="s">
        <v>588</v>
      </c>
      <c r="I171" s="523" t="s">
        <v>7</v>
      </c>
      <c r="J171" s="523" t="s">
        <v>591</v>
      </c>
      <c r="K171" s="523" t="s">
        <v>593</v>
      </c>
      <c r="L171" s="523" t="s">
        <v>595</v>
      </c>
      <c r="M171" s="523" t="s">
        <v>596</v>
      </c>
      <c r="N171" s="523" t="s">
        <v>574</v>
      </c>
      <c r="O171" s="523" t="s">
        <v>598</v>
      </c>
    </row>
    <row r="172" spans="1:15" x14ac:dyDescent="0.25">
      <c r="A172" t="s">
        <v>85</v>
      </c>
      <c r="B172" s="160" t="str">
        <f>""</f>
        <v/>
      </c>
      <c r="C172" s="160" t="str">
        <f>""</f>
        <v/>
      </c>
      <c r="D172" s="160" t="str">
        <f>""</f>
        <v/>
      </c>
      <c r="E172" s="160" t="str">
        <f>""</f>
        <v/>
      </c>
      <c r="F172" s="160" t="str">
        <f>""</f>
        <v/>
      </c>
      <c r="G172" s="160" t="str">
        <f>""</f>
        <v/>
      </c>
      <c r="H172" s="160" t="str">
        <f>""</f>
        <v/>
      </c>
      <c r="I172" s="160" t="str">
        <f>""</f>
        <v/>
      </c>
      <c r="J172" s="160" t="str">
        <f>""</f>
        <v/>
      </c>
      <c r="K172" s="160" t="str">
        <f>""</f>
        <v/>
      </c>
      <c r="L172" s="160" t="str">
        <f>""</f>
        <v/>
      </c>
      <c r="M172" s="160" t="str">
        <f>""</f>
        <v/>
      </c>
      <c r="N172" s="160" t="str">
        <f t="shared" ref="N172:N181" si="62">IF(COUNT(B172:M172)=0,"",SUM(B172:M172))</f>
        <v/>
      </c>
      <c r="O172" s="160" t="str">
        <f t="shared" ref="O172:O181" si="63">IF(COUNT(B172:M172)=0,"",AVERAGE(B172:M172))</f>
        <v/>
      </c>
    </row>
    <row r="173" spans="1:15" x14ac:dyDescent="0.25">
      <c r="A173" t="s">
        <v>91</v>
      </c>
      <c r="B173" s="160" t="str">
        <f>""</f>
        <v/>
      </c>
      <c r="C173" s="160" t="str">
        <f>""</f>
        <v/>
      </c>
      <c r="D173" s="160" t="str">
        <f>""</f>
        <v/>
      </c>
      <c r="E173" s="160" t="str">
        <f>""</f>
        <v/>
      </c>
      <c r="F173" s="160" t="str">
        <f>""</f>
        <v/>
      </c>
      <c r="G173" s="160" t="str">
        <f>""</f>
        <v/>
      </c>
      <c r="H173" s="160" t="str">
        <f>""</f>
        <v/>
      </c>
      <c r="I173" s="160" t="str">
        <f>""</f>
        <v/>
      </c>
      <c r="J173" s="160" t="str">
        <f>""</f>
        <v/>
      </c>
      <c r="K173" s="160" t="str">
        <f>""</f>
        <v/>
      </c>
      <c r="L173" s="160" t="str">
        <f>""</f>
        <v/>
      </c>
      <c r="M173" s="160" t="str">
        <f>""</f>
        <v/>
      </c>
      <c r="N173" s="160" t="str">
        <f t="shared" si="62"/>
        <v/>
      </c>
      <c r="O173" s="160" t="str">
        <f t="shared" si="63"/>
        <v/>
      </c>
    </row>
    <row r="174" spans="1:15" x14ac:dyDescent="0.25">
      <c r="A174" t="s">
        <v>93</v>
      </c>
      <c r="B174" s="160">
        <f>IF('GENERATOR CONSMP.'!B12="","",'GENERATOR CONSMP.'!B12)</f>
        <v>80</v>
      </c>
      <c r="C174" s="160">
        <f>IF('GENERATOR CONSMP.'!C12="","",'GENERATOR CONSMP.'!C12)</f>
        <v>80</v>
      </c>
      <c r="D174" s="160">
        <f>IF('GENERATOR CONSMP.'!D12="","",'GENERATOR CONSMP.'!D12)</f>
        <v>100</v>
      </c>
      <c r="E174" s="160">
        <f>IF('GENERATOR CONSMP.'!E12="","",'GENERATOR CONSMP.'!E12)</f>
        <v>0</v>
      </c>
      <c r="F174" s="160">
        <f>IF('GENERATOR CONSMP.'!F12="","",'GENERATOR CONSMP.'!F12)</f>
        <v>0</v>
      </c>
      <c r="G174" s="160">
        <f>IF('GENERATOR CONSMP.'!G12="","",'GENERATOR CONSMP.'!G12)</f>
        <v>40</v>
      </c>
      <c r="H174" s="160">
        <f>IF('GENERATOR CONSMP.'!H12="","",'GENERATOR CONSMP.'!H12)</f>
        <v>203.38</v>
      </c>
      <c r="I174" s="160">
        <f>IF('GENERATOR CONSMP.'!I12="","",'GENERATOR CONSMP.'!I12)</f>
        <v>204.08</v>
      </c>
      <c r="J174" s="160">
        <f>IF('GENERATOR CONSMP.'!J12="","",'GENERATOR CONSMP.'!J12)</f>
        <v>0</v>
      </c>
      <c r="K174" s="160" t="str">
        <f>IF('GENERATOR CONSMP.'!K12="","",'GENERATOR CONSMP.'!K12)</f>
        <v/>
      </c>
      <c r="L174" s="160" t="str">
        <f>IF('GENERATOR CONSMP.'!L12="","",'GENERATOR CONSMP.'!L12)</f>
        <v/>
      </c>
      <c r="M174" s="160" t="str">
        <f>IF('GENERATOR CONSMP.'!M12="","",'GENERATOR CONSMP.'!M12)</f>
        <v/>
      </c>
      <c r="N174" s="160">
        <f t="shared" si="62"/>
        <v>707.46</v>
      </c>
      <c r="O174" s="160">
        <f t="shared" si="63"/>
        <v>78.606666666666669</v>
      </c>
    </row>
    <row r="175" spans="1:15" x14ac:dyDescent="0.25">
      <c r="A175" t="s">
        <v>98</v>
      </c>
      <c r="B175" s="160" t="str">
        <f>""</f>
        <v/>
      </c>
      <c r="C175" s="160" t="str">
        <f>""</f>
        <v/>
      </c>
      <c r="D175" s="160" t="str">
        <f>""</f>
        <v/>
      </c>
      <c r="E175" s="160" t="str">
        <f>""</f>
        <v/>
      </c>
      <c r="F175" s="160" t="str">
        <f>""</f>
        <v/>
      </c>
      <c r="G175" s="160" t="str">
        <f>""</f>
        <v/>
      </c>
      <c r="H175" s="160" t="str">
        <f>""</f>
        <v/>
      </c>
      <c r="I175" s="160" t="str">
        <f>""</f>
        <v/>
      </c>
      <c r="J175" s="160" t="str">
        <f>""</f>
        <v/>
      </c>
      <c r="K175" s="160" t="str">
        <f>""</f>
        <v/>
      </c>
      <c r="L175" s="160" t="str">
        <f>""</f>
        <v/>
      </c>
      <c r="M175" s="160" t="str">
        <f>""</f>
        <v/>
      </c>
      <c r="N175" s="160" t="str">
        <f t="shared" si="62"/>
        <v/>
      </c>
      <c r="O175" s="160" t="str">
        <f t="shared" si="63"/>
        <v/>
      </c>
    </row>
    <row r="176" spans="1:15" x14ac:dyDescent="0.25">
      <c r="A176" t="s">
        <v>100</v>
      </c>
      <c r="B176" s="160">
        <f>IF('GENERATOR CONSMP.'!B6="","",'GENERATOR CONSMP.'!B6)</f>
        <v>21.89</v>
      </c>
      <c r="C176" s="160">
        <f>IF('GENERATOR CONSMP.'!C6="","",'GENERATOR CONSMP.'!C6)</f>
        <v>0</v>
      </c>
      <c r="D176" s="160">
        <f>IF('GENERATOR CONSMP.'!D6="","",'GENERATOR CONSMP.'!D6)</f>
        <v>21.89</v>
      </c>
      <c r="E176" s="160">
        <f>IF('GENERATOR CONSMP.'!E6="","",'GENERATOR CONSMP.'!E6)</f>
        <v>20</v>
      </c>
      <c r="F176" s="160">
        <f>IF('GENERATOR CONSMP.'!F6="","",'GENERATOR CONSMP.'!F6)</f>
        <v>20</v>
      </c>
      <c r="G176" s="160">
        <f>IF('GENERATOR CONSMP.'!G6="","",'GENERATOR CONSMP.'!G6)</f>
        <v>20</v>
      </c>
      <c r="H176" s="160">
        <f>IF('GENERATOR CONSMP.'!H6="","",'GENERATOR CONSMP.'!H6)</f>
        <v>40</v>
      </c>
      <c r="I176" s="160">
        <f>IF('GENERATOR CONSMP.'!I6="","",'GENERATOR CONSMP.'!I6)</f>
        <v>20</v>
      </c>
      <c r="J176" s="160">
        <f>IF('GENERATOR CONSMP.'!J6="","",'GENERATOR CONSMP.'!J6)</f>
        <v>20</v>
      </c>
      <c r="K176" s="160" t="str">
        <f>IF('GENERATOR CONSMP.'!K6="","",'GENERATOR CONSMP.'!K6)</f>
        <v/>
      </c>
      <c r="L176" s="160" t="str">
        <f>IF('GENERATOR CONSMP.'!L6="","",'GENERATOR CONSMP.'!L6)</f>
        <v/>
      </c>
      <c r="M176" s="160" t="str">
        <f>IF('GENERATOR CONSMP.'!M6="","",'GENERATOR CONSMP.'!M6)</f>
        <v/>
      </c>
      <c r="N176" s="160">
        <f t="shared" si="62"/>
        <v>183.78</v>
      </c>
      <c r="O176" s="160">
        <f t="shared" si="63"/>
        <v>20.420000000000002</v>
      </c>
    </row>
    <row r="177" spans="1:15" x14ac:dyDescent="0.25">
      <c r="A177" t="s">
        <v>224</v>
      </c>
      <c r="B177" s="160" t="str">
        <f>""</f>
        <v/>
      </c>
      <c r="C177" s="160" t="str">
        <f>""</f>
        <v/>
      </c>
      <c r="D177" s="160" t="str">
        <f>""</f>
        <v/>
      </c>
      <c r="E177" s="160" t="str">
        <f>""</f>
        <v/>
      </c>
      <c r="F177" s="160" t="str">
        <f>""</f>
        <v/>
      </c>
      <c r="G177" s="160" t="str">
        <f>""</f>
        <v/>
      </c>
      <c r="H177" s="160" t="str">
        <f>""</f>
        <v/>
      </c>
      <c r="I177" s="160" t="str">
        <f>""</f>
        <v/>
      </c>
      <c r="J177" s="160" t="str">
        <f>""</f>
        <v/>
      </c>
      <c r="K177" s="160" t="str">
        <f>""</f>
        <v/>
      </c>
      <c r="L177" s="160" t="str">
        <f>""</f>
        <v/>
      </c>
      <c r="M177" s="160" t="str">
        <f>""</f>
        <v/>
      </c>
      <c r="N177" s="160" t="str">
        <f t="shared" si="62"/>
        <v/>
      </c>
      <c r="O177" s="160" t="str">
        <f t="shared" si="63"/>
        <v/>
      </c>
    </row>
    <row r="178" spans="1:15" x14ac:dyDescent="0.25">
      <c r="A178" t="s">
        <v>106</v>
      </c>
      <c r="B178" s="160" t="str">
        <f>""</f>
        <v/>
      </c>
      <c r="C178" s="160" t="str">
        <f>""</f>
        <v/>
      </c>
      <c r="D178" s="160" t="str">
        <f>""</f>
        <v/>
      </c>
      <c r="E178" s="160" t="str">
        <f>""</f>
        <v/>
      </c>
      <c r="F178" s="160" t="str">
        <f>""</f>
        <v/>
      </c>
      <c r="G178" s="160" t="str">
        <f>""</f>
        <v/>
      </c>
      <c r="H178" s="160" t="str">
        <f>""</f>
        <v/>
      </c>
      <c r="I178" s="160" t="str">
        <f>""</f>
        <v/>
      </c>
      <c r="J178" s="160" t="str">
        <f>""</f>
        <v/>
      </c>
      <c r="K178" s="160" t="str">
        <f>""</f>
        <v/>
      </c>
      <c r="L178" s="160" t="str">
        <f>""</f>
        <v/>
      </c>
      <c r="M178" s="160" t="str">
        <f>""</f>
        <v/>
      </c>
      <c r="N178" s="160" t="str">
        <f t="shared" si="62"/>
        <v/>
      </c>
      <c r="O178" s="160" t="str">
        <f t="shared" si="63"/>
        <v/>
      </c>
    </row>
    <row r="179" spans="1:15" x14ac:dyDescent="0.25">
      <c r="A179" t="s">
        <v>108</v>
      </c>
      <c r="B179" s="160" t="str">
        <f>""</f>
        <v/>
      </c>
      <c r="C179" s="160" t="str">
        <f>""</f>
        <v/>
      </c>
      <c r="D179" s="160" t="str">
        <f>""</f>
        <v/>
      </c>
      <c r="E179" s="160" t="str">
        <f>""</f>
        <v/>
      </c>
      <c r="F179" s="160" t="str">
        <f>""</f>
        <v/>
      </c>
      <c r="G179" s="160" t="str">
        <f>""</f>
        <v/>
      </c>
      <c r="H179" s="160" t="str">
        <f>""</f>
        <v/>
      </c>
      <c r="I179" s="160" t="str">
        <f>""</f>
        <v/>
      </c>
      <c r="J179" s="160" t="str">
        <f>""</f>
        <v/>
      </c>
      <c r="K179" s="160" t="str">
        <f>""</f>
        <v/>
      </c>
      <c r="L179" s="160" t="str">
        <f>""</f>
        <v/>
      </c>
      <c r="M179" s="160" t="str">
        <f>""</f>
        <v/>
      </c>
      <c r="N179" s="160" t="str">
        <f t="shared" si="62"/>
        <v/>
      </c>
      <c r="O179" s="160" t="str">
        <f t="shared" si="63"/>
        <v/>
      </c>
    </row>
    <row r="180" spans="1:15" x14ac:dyDescent="0.25">
      <c r="A180" t="s">
        <v>110</v>
      </c>
      <c r="B180" s="160" t="str">
        <f>""</f>
        <v/>
      </c>
      <c r="C180" s="160" t="str">
        <f>""</f>
        <v/>
      </c>
      <c r="D180" s="160" t="str">
        <f>""</f>
        <v/>
      </c>
      <c r="E180" s="160" t="str">
        <f>""</f>
        <v/>
      </c>
      <c r="F180" s="160" t="str">
        <f>""</f>
        <v/>
      </c>
      <c r="G180" s="160" t="str">
        <f>""</f>
        <v/>
      </c>
      <c r="H180" s="160" t="str">
        <f>""</f>
        <v/>
      </c>
      <c r="I180" s="160" t="str">
        <f>""</f>
        <v/>
      </c>
      <c r="J180" s="160" t="str">
        <f>""</f>
        <v/>
      </c>
      <c r="K180" s="160" t="str">
        <f>""</f>
        <v/>
      </c>
      <c r="L180" s="160" t="str">
        <f>""</f>
        <v/>
      </c>
      <c r="M180" s="160" t="str">
        <f>""</f>
        <v/>
      </c>
      <c r="N180" s="160" t="str">
        <f t="shared" si="62"/>
        <v/>
      </c>
      <c r="O180" s="160" t="str">
        <f t="shared" si="63"/>
        <v/>
      </c>
    </row>
    <row r="181" spans="1:15" x14ac:dyDescent="0.25">
      <c r="A181" t="s">
        <v>112</v>
      </c>
      <c r="B181" s="160">
        <f>IF('GENERATOR CONSMP.'!B18="","",'GENERATOR CONSMP.'!B18)</f>
        <v>70</v>
      </c>
      <c r="C181" s="160">
        <f>IF('GENERATOR CONSMP.'!C18="","",'GENERATOR CONSMP.'!C18)</f>
        <v>95</v>
      </c>
      <c r="D181" s="160">
        <f>IF('GENERATOR CONSMP.'!D18="","",'GENERATOR CONSMP.'!D18)</f>
        <v>160</v>
      </c>
      <c r="E181" s="160">
        <f>IF('GENERATOR CONSMP.'!E18="","",'GENERATOR CONSMP.'!E18)</f>
        <v>140</v>
      </c>
      <c r="F181" s="160">
        <f>IF('GENERATOR CONSMP.'!F18="","",'GENERATOR CONSMP.'!F18)</f>
        <v>120</v>
      </c>
      <c r="G181" s="160">
        <f>IF('GENERATOR CONSMP.'!G18="","",'GENERATOR CONSMP.'!G18)</f>
        <v>140</v>
      </c>
      <c r="H181" s="160">
        <f>IF('GENERATOR CONSMP.'!H18="","",'GENERATOR CONSMP.'!H18)</f>
        <v>200</v>
      </c>
      <c r="I181" s="160">
        <f>IF('GENERATOR CONSMP.'!I18="","",'GENERATOR CONSMP.'!I18)</f>
        <v>115</v>
      </c>
      <c r="J181" s="160">
        <f>IF('GENERATOR CONSMP.'!J18="","",'GENERATOR CONSMP.'!J18)</f>
        <v>40</v>
      </c>
      <c r="K181" s="160" t="str">
        <f>IF('GENERATOR CONSMP.'!K18="","",'GENERATOR CONSMP.'!K18)</f>
        <v/>
      </c>
      <c r="L181" s="160" t="str">
        <f>IF('GENERATOR CONSMP.'!L18="","",'GENERATOR CONSMP.'!L18)</f>
        <v/>
      </c>
      <c r="M181" s="160" t="str">
        <f>IF('GENERATOR CONSMP.'!M18="","",'GENERATOR CONSMP.'!M18)</f>
        <v/>
      </c>
      <c r="N181" s="160">
        <f t="shared" si="62"/>
        <v>1080</v>
      </c>
      <c r="O181" s="160">
        <f t="shared" si="63"/>
        <v>120</v>
      </c>
    </row>
    <row r="182" spans="1:15" x14ac:dyDescent="0.25">
      <c r="A182" s="526" t="s">
        <v>9</v>
      </c>
      <c r="B182" s="527">
        <f t="shared" ref="B182:O182" si="64">IF(COUNT(B172:B181)=0,"",SUM(B172:B181))</f>
        <v>171.89</v>
      </c>
      <c r="C182" s="527">
        <f t="shared" si="64"/>
        <v>175</v>
      </c>
      <c r="D182" s="527">
        <f t="shared" si="64"/>
        <v>281.89</v>
      </c>
      <c r="E182" s="527">
        <f t="shared" si="64"/>
        <v>160</v>
      </c>
      <c r="F182" s="527">
        <f t="shared" si="64"/>
        <v>140</v>
      </c>
      <c r="G182" s="527">
        <f t="shared" si="64"/>
        <v>200</v>
      </c>
      <c r="H182" s="527">
        <f t="shared" si="64"/>
        <v>443.38</v>
      </c>
      <c r="I182" s="527">
        <f t="shared" si="64"/>
        <v>339.08000000000004</v>
      </c>
      <c r="J182" s="527">
        <f t="shared" si="64"/>
        <v>60</v>
      </c>
      <c r="K182" s="527" t="str">
        <f t="shared" si="64"/>
        <v/>
      </c>
      <c r="L182" s="527" t="str">
        <f t="shared" si="64"/>
        <v/>
      </c>
      <c r="M182" s="527" t="str">
        <f t="shared" si="64"/>
        <v/>
      </c>
      <c r="N182" s="527">
        <f t="shared" si="64"/>
        <v>1971.24</v>
      </c>
      <c r="O182" s="527">
        <f t="shared" si="64"/>
        <v>219.02666666666667</v>
      </c>
    </row>
    <row r="183" spans="1:15" x14ac:dyDescent="0.25">
      <c r="A183" s="528" t="s">
        <v>599</v>
      </c>
      <c r="B183" s="529">
        <f t="shared" ref="B183:M183" si="65">COUNT(B172:B181)</f>
        <v>3</v>
      </c>
      <c r="C183" s="529">
        <f t="shared" si="65"/>
        <v>3</v>
      </c>
      <c r="D183" s="529">
        <f t="shared" si="65"/>
        <v>3</v>
      </c>
      <c r="E183" s="529">
        <f t="shared" si="65"/>
        <v>3</v>
      </c>
      <c r="F183" s="529">
        <f t="shared" si="65"/>
        <v>3</v>
      </c>
      <c r="G183" s="529">
        <f t="shared" si="65"/>
        <v>3</v>
      </c>
      <c r="H183" s="529">
        <f t="shared" si="65"/>
        <v>3</v>
      </c>
      <c r="I183" s="529">
        <f t="shared" si="65"/>
        <v>3</v>
      </c>
      <c r="J183" s="529">
        <f t="shared" si="65"/>
        <v>3</v>
      </c>
      <c r="K183" s="529">
        <f t="shared" si="65"/>
        <v>0</v>
      </c>
      <c r="L183" s="529">
        <f t="shared" si="65"/>
        <v>0</v>
      </c>
      <c r="M183" s="529">
        <f t="shared" si="65"/>
        <v>0</v>
      </c>
      <c r="N183" s="529">
        <f>COUNT(B182:M182)</f>
        <v>9</v>
      </c>
    </row>
    <row r="185" spans="1:15" x14ac:dyDescent="0.25">
      <c r="A185" s="525" t="s">
        <v>610</v>
      </c>
    </row>
    <row r="186" spans="1:15" ht="25.5" x14ac:dyDescent="0.25">
      <c r="A186" s="523" t="s">
        <v>36</v>
      </c>
      <c r="B186" s="523" t="s">
        <v>576</v>
      </c>
      <c r="C186" s="523" t="s">
        <v>578</v>
      </c>
      <c r="D186" s="523" t="s">
        <v>580</v>
      </c>
      <c r="E186" s="523" t="s">
        <v>582</v>
      </c>
      <c r="F186" s="523" t="s">
        <v>584</v>
      </c>
      <c r="G186" s="523" t="s">
        <v>586</v>
      </c>
      <c r="H186" s="523" t="s">
        <v>588</v>
      </c>
      <c r="I186" s="523" t="s">
        <v>7</v>
      </c>
      <c r="J186" s="523" t="s">
        <v>591</v>
      </c>
      <c r="K186" s="523" t="s">
        <v>593</v>
      </c>
      <c r="L186" s="523" t="s">
        <v>595</v>
      </c>
      <c r="M186" s="523" t="s">
        <v>596</v>
      </c>
      <c r="N186" s="523" t="s">
        <v>574</v>
      </c>
      <c r="O186" s="523" t="s">
        <v>598</v>
      </c>
    </row>
    <row r="187" spans="1:15" x14ac:dyDescent="0.25">
      <c r="A187" t="s">
        <v>85</v>
      </c>
      <c r="B187" s="530" t="str">
        <f>""</f>
        <v/>
      </c>
      <c r="C187" s="530" t="str">
        <f>""</f>
        <v/>
      </c>
      <c r="D187" s="530" t="str">
        <f>""</f>
        <v/>
      </c>
      <c r="E187" s="530" t="str">
        <f>""</f>
        <v/>
      </c>
      <c r="F187" s="530" t="str">
        <f>""</f>
        <v/>
      </c>
      <c r="G187" s="530" t="str">
        <f>""</f>
        <v/>
      </c>
      <c r="H187" s="530" t="str">
        <f>""</f>
        <v/>
      </c>
      <c r="I187" s="530" t="str">
        <f>""</f>
        <v/>
      </c>
      <c r="J187" s="530" t="str">
        <f>""</f>
        <v/>
      </c>
      <c r="K187" s="530" t="str">
        <f>""</f>
        <v/>
      </c>
      <c r="L187" s="530" t="str">
        <f>""</f>
        <v/>
      </c>
      <c r="M187" s="530" t="str">
        <f>""</f>
        <v/>
      </c>
      <c r="N187" s="530" t="str">
        <f t="shared" ref="N187:N196" si="66">IF(COUNT(B187:M187)=0,"",SUM(B187:M187))</f>
        <v/>
      </c>
      <c r="O187" s="530" t="str">
        <f t="shared" ref="O187:O196" si="67">IF(COUNT(B187:M187)=0,"",AVERAGE(B187:M187))</f>
        <v/>
      </c>
    </row>
    <row r="188" spans="1:15" x14ac:dyDescent="0.25">
      <c r="A188" t="s">
        <v>91</v>
      </c>
      <c r="B188" s="530" t="str">
        <f>""</f>
        <v/>
      </c>
      <c r="C188" s="530" t="str">
        <f>""</f>
        <v/>
      </c>
      <c r="D188" s="530" t="str">
        <f>""</f>
        <v/>
      </c>
      <c r="E188" s="530" t="str">
        <f>""</f>
        <v/>
      </c>
      <c r="F188" s="530" t="str">
        <f>""</f>
        <v/>
      </c>
      <c r="G188" s="530" t="str">
        <f>""</f>
        <v/>
      </c>
      <c r="H188" s="530" t="str">
        <f>""</f>
        <v/>
      </c>
      <c r="I188" s="530" t="str">
        <f>""</f>
        <v/>
      </c>
      <c r="J188" s="530" t="str">
        <f>""</f>
        <v/>
      </c>
      <c r="K188" s="530" t="str">
        <f>""</f>
        <v/>
      </c>
      <c r="L188" s="530" t="str">
        <f>""</f>
        <v/>
      </c>
      <c r="M188" s="530" t="str">
        <f>""</f>
        <v/>
      </c>
      <c r="N188" s="530" t="str">
        <f t="shared" si="66"/>
        <v/>
      </c>
      <c r="O188" s="530" t="str">
        <f t="shared" si="67"/>
        <v/>
      </c>
    </row>
    <row r="189" spans="1:15" x14ac:dyDescent="0.25">
      <c r="A189" t="s">
        <v>93</v>
      </c>
      <c r="B189" s="530">
        <f>IF('GENERATOR CONSMP.'!B13="","",'GENERATOR CONSMP.'!B13)</f>
        <v>8</v>
      </c>
      <c r="C189" s="530">
        <f>IF('GENERATOR CONSMP.'!C13="","",'GENERATOR CONSMP.'!C13)</f>
        <v>8</v>
      </c>
      <c r="D189" s="530">
        <f>IF('GENERATOR CONSMP.'!D13="","",'GENERATOR CONSMP.'!D13)</f>
        <v>10</v>
      </c>
      <c r="E189" s="530">
        <f>IF('GENERATOR CONSMP.'!E13="","",'GENERATOR CONSMP.'!E13)</f>
        <v>11</v>
      </c>
      <c r="F189" s="530">
        <f>IF('GENERATOR CONSMP.'!F13="","",'GENERATOR CONSMP.'!F13)</f>
        <v>11</v>
      </c>
      <c r="G189" s="530">
        <f>IF('GENERATOR CONSMP.'!G13="","",'GENERATOR CONSMP.'!G13)</f>
        <v>10</v>
      </c>
      <c r="H189" s="530">
        <f>IF('GENERATOR CONSMP.'!H13="","",'GENERATOR CONSMP.'!H13)</f>
        <v>24</v>
      </c>
      <c r="I189" s="530">
        <f>IF('GENERATOR CONSMP.'!I13="","",'GENERATOR CONSMP.'!I13)</f>
        <v>8</v>
      </c>
      <c r="J189" s="530" t="str">
        <f>IF('GENERATOR CONSMP.'!J13="","",'GENERATOR CONSMP.'!J13)</f>
        <v/>
      </c>
      <c r="K189" s="530" t="str">
        <f>IF('GENERATOR CONSMP.'!K13="","",'GENERATOR CONSMP.'!K13)</f>
        <v/>
      </c>
      <c r="L189" s="530" t="str">
        <f>IF('GENERATOR CONSMP.'!L13="","",'GENERATOR CONSMP.'!L13)</f>
        <v/>
      </c>
      <c r="M189" s="530" t="str">
        <f>IF('GENERATOR CONSMP.'!M13="","",'GENERATOR CONSMP.'!M13)</f>
        <v/>
      </c>
      <c r="N189" s="530">
        <f t="shared" si="66"/>
        <v>90</v>
      </c>
      <c r="O189" s="530">
        <f t="shared" si="67"/>
        <v>11.25</v>
      </c>
    </row>
    <row r="190" spans="1:15" x14ac:dyDescent="0.25">
      <c r="A190" t="s">
        <v>98</v>
      </c>
      <c r="B190" s="530" t="str">
        <f>""</f>
        <v/>
      </c>
      <c r="C190" s="530" t="str">
        <f>""</f>
        <v/>
      </c>
      <c r="D190" s="530" t="str">
        <f>""</f>
        <v/>
      </c>
      <c r="E190" s="530" t="str">
        <f>""</f>
        <v/>
      </c>
      <c r="F190" s="530" t="str">
        <f>""</f>
        <v/>
      </c>
      <c r="G190" s="530" t="str">
        <f>""</f>
        <v/>
      </c>
      <c r="H190" s="530" t="str">
        <f>""</f>
        <v/>
      </c>
      <c r="I190" s="530" t="str">
        <f>""</f>
        <v/>
      </c>
      <c r="J190" s="530" t="str">
        <f>""</f>
        <v/>
      </c>
      <c r="K190" s="530" t="str">
        <f>""</f>
        <v/>
      </c>
      <c r="L190" s="530" t="str">
        <f>""</f>
        <v/>
      </c>
      <c r="M190" s="530" t="str">
        <f>""</f>
        <v/>
      </c>
      <c r="N190" s="530" t="str">
        <f t="shared" si="66"/>
        <v/>
      </c>
      <c r="O190" s="530" t="str">
        <f t="shared" si="67"/>
        <v/>
      </c>
    </row>
    <row r="191" spans="1:15" x14ac:dyDescent="0.25">
      <c r="A191" t="s">
        <v>100</v>
      </c>
      <c r="B191" s="530">
        <f>IF('GENERATOR CONSMP.'!B7="","",'GENERATOR CONSMP.'!B7)</f>
        <v>10.5</v>
      </c>
      <c r="C191" s="530">
        <f>IF('GENERATOR CONSMP.'!C7="","",'GENERATOR CONSMP.'!C7)</f>
        <v>8</v>
      </c>
      <c r="D191" s="530">
        <f>IF('GENERATOR CONSMP.'!D7="","",'GENERATOR CONSMP.'!D7)</f>
        <v>12</v>
      </c>
      <c r="E191" s="530">
        <f>IF('GENERATOR CONSMP.'!E7="","",'GENERATOR CONSMP.'!E7)</f>
        <v>16</v>
      </c>
      <c r="F191" s="530">
        <f>IF('GENERATOR CONSMP.'!F7="","",'GENERATOR CONSMP.'!F7)</f>
        <v>13</v>
      </c>
      <c r="G191" s="530">
        <f>IF('GENERATOR CONSMP.'!G7="","",'GENERATOR CONSMP.'!G7)</f>
        <v>17</v>
      </c>
      <c r="H191" s="530">
        <f>IF('GENERATOR CONSMP.'!H7="","",'GENERATOR CONSMP.'!H7)</f>
        <v>32</v>
      </c>
      <c r="I191" s="530">
        <f>IF('GENERATOR CONSMP.'!I7="","",'GENERATOR CONSMP.'!I7)</f>
        <v>18</v>
      </c>
      <c r="J191" s="530">
        <f>IF('GENERATOR CONSMP.'!J7="","",'GENERATOR CONSMP.'!J7)</f>
        <v>18</v>
      </c>
      <c r="K191" s="530" t="str">
        <f>IF('GENERATOR CONSMP.'!K7="","",'GENERATOR CONSMP.'!K7)</f>
        <v/>
      </c>
      <c r="L191" s="530" t="str">
        <f>IF('GENERATOR CONSMP.'!L7="","",'GENERATOR CONSMP.'!L7)</f>
        <v/>
      </c>
      <c r="M191" s="530" t="str">
        <f>IF('GENERATOR CONSMP.'!M7="","",'GENERATOR CONSMP.'!M7)</f>
        <v/>
      </c>
      <c r="N191" s="530">
        <f t="shared" si="66"/>
        <v>144.5</v>
      </c>
      <c r="O191" s="530">
        <f t="shared" si="67"/>
        <v>16.055555555555557</v>
      </c>
    </row>
    <row r="192" spans="1:15" x14ac:dyDescent="0.25">
      <c r="A192" t="s">
        <v>224</v>
      </c>
      <c r="B192" s="530" t="str">
        <f>""</f>
        <v/>
      </c>
      <c r="C192" s="530" t="str">
        <f>""</f>
        <v/>
      </c>
      <c r="D192" s="530" t="str">
        <f>""</f>
        <v/>
      </c>
      <c r="E192" s="530" t="str">
        <f>""</f>
        <v/>
      </c>
      <c r="F192" s="530" t="str">
        <f>""</f>
        <v/>
      </c>
      <c r="G192" s="530" t="str">
        <f>""</f>
        <v/>
      </c>
      <c r="H192" s="530" t="str">
        <f>""</f>
        <v/>
      </c>
      <c r="I192" s="530" t="str">
        <f>""</f>
        <v/>
      </c>
      <c r="J192" s="530" t="str">
        <f>""</f>
        <v/>
      </c>
      <c r="K192" s="530" t="str">
        <f>""</f>
        <v/>
      </c>
      <c r="L192" s="530" t="str">
        <f>""</f>
        <v/>
      </c>
      <c r="M192" s="530" t="str">
        <f>""</f>
        <v/>
      </c>
      <c r="N192" s="530" t="str">
        <f t="shared" si="66"/>
        <v/>
      </c>
      <c r="O192" s="530" t="str">
        <f t="shared" si="67"/>
        <v/>
      </c>
    </row>
    <row r="193" spans="1:15" x14ac:dyDescent="0.25">
      <c r="A193" t="s">
        <v>106</v>
      </c>
      <c r="B193" s="530" t="str">
        <f>""</f>
        <v/>
      </c>
      <c r="C193" s="530" t="str">
        <f>""</f>
        <v/>
      </c>
      <c r="D193" s="530" t="str">
        <f>""</f>
        <v/>
      </c>
      <c r="E193" s="530" t="str">
        <f>""</f>
        <v/>
      </c>
      <c r="F193" s="530" t="str">
        <f>""</f>
        <v/>
      </c>
      <c r="G193" s="530" t="str">
        <f>""</f>
        <v/>
      </c>
      <c r="H193" s="530" t="str">
        <f>""</f>
        <v/>
      </c>
      <c r="I193" s="530" t="str">
        <f>""</f>
        <v/>
      </c>
      <c r="J193" s="530" t="str">
        <f>""</f>
        <v/>
      </c>
      <c r="K193" s="530" t="str">
        <f>""</f>
        <v/>
      </c>
      <c r="L193" s="530" t="str">
        <f>""</f>
        <v/>
      </c>
      <c r="M193" s="530" t="str">
        <f>""</f>
        <v/>
      </c>
      <c r="N193" s="530" t="str">
        <f t="shared" si="66"/>
        <v/>
      </c>
      <c r="O193" s="530" t="str">
        <f t="shared" si="67"/>
        <v/>
      </c>
    </row>
    <row r="194" spans="1:15" x14ac:dyDescent="0.25">
      <c r="A194" t="s">
        <v>108</v>
      </c>
      <c r="B194" s="530" t="str">
        <f>""</f>
        <v/>
      </c>
      <c r="C194" s="530" t="str">
        <f>""</f>
        <v/>
      </c>
      <c r="D194" s="530" t="str">
        <f>""</f>
        <v/>
      </c>
      <c r="E194" s="530" t="str">
        <f>""</f>
        <v/>
      </c>
      <c r="F194" s="530" t="str">
        <f>""</f>
        <v/>
      </c>
      <c r="G194" s="530" t="str">
        <f>""</f>
        <v/>
      </c>
      <c r="H194" s="530" t="str">
        <f>""</f>
        <v/>
      </c>
      <c r="I194" s="530" t="str">
        <f>""</f>
        <v/>
      </c>
      <c r="J194" s="530" t="str">
        <f>""</f>
        <v/>
      </c>
      <c r="K194" s="530" t="str">
        <f>""</f>
        <v/>
      </c>
      <c r="L194" s="530" t="str">
        <f>""</f>
        <v/>
      </c>
      <c r="M194" s="530" t="str">
        <f>""</f>
        <v/>
      </c>
      <c r="N194" s="530" t="str">
        <f t="shared" si="66"/>
        <v/>
      </c>
      <c r="O194" s="530" t="str">
        <f t="shared" si="67"/>
        <v/>
      </c>
    </row>
    <row r="195" spans="1:15" x14ac:dyDescent="0.25">
      <c r="A195" t="s">
        <v>110</v>
      </c>
      <c r="B195" s="530" t="str">
        <f>""</f>
        <v/>
      </c>
      <c r="C195" s="530" t="str">
        <f>""</f>
        <v/>
      </c>
      <c r="D195" s="530" t="str">
        <f>""</f>
        <v/>
      </c>
      <c r="E195" s="530" t="str">
        <f>""</f>
        <v/>
      </c>
      <c r="F195" s="530" t="str">
        <f>""</f>
        <v/>
      </c>
      <c r="G195" s="530" t="str">
        <f>""</f>
        <v/>
      </c>
      <c r="H195" s="530" t="str">
        <f>""</f>
        <v/>
      </c>
      <c r="I195" s="530" t="str">
        <f>""</f>
        <v/>
      </c>
      <c r="J195" s="530" t="str">
        <f>""</f>
        <v/>
      </c>
      <c r="K195" s="530" t="str">
        <f>""</f>
        <v/>
      </c>
      <c r="L195" s="530" t="str">
        <f>""</f>
        <v/>
      </c>
      <c r="M195" s="530" t="str">
        <f>""</f>
        <v/>
      </c>
      <c r="N195" s="530" t="str">
        <f t="shared" si="66"/>
        <v/>
      </c>
      <c r="O195" s="530" t="str">
        <f t="shared" si="67"/>
        <v/>
      </c>
    </row>
    <row r="196" spans="1:15" x14ac:dyDescent="0.25">
      <c r="A196" t="s">
        <v>112</v>
      </c>
      <c r="B196" s="530">
        <f>IF('GENERATOR CONSMP.'!B19="","",'GENERATOR CONSMP.'!B19)</f>
        <v>5.18</v>
      </c>
      <c r="C196" s="530">
        <f>IF('GENERATOR CONSMP.'!C19="","",'GENERATOR CONSMP.'!C19)</f>
        <v>5.42</v>
      </c>
      <c r="D196" s="530">
        <f>IF('GENERATOR CONSMP.'!D19="","",'GENERATOR CONSMP.'!D19)</f>
        <v>29.35</v>
      </c>
      <c r="E196" s="530">
        <f>IF('GENERATOR CONSMP.'!E19="","",'GENERATOR CONSMP.'!E19)</f>
        <v>20.49</v>
      </c>
      <c r="F196" s="530">
        <f>IF('GENERATOR CONSMP.'!F19="","",'GENERATOR CONSMP.'!F19)</f>
        <v>26.49</v>
      </c>
      <c r="G196" s="530">
        <f>IF('GENERATOR CONSMP.'!G19="","",'GENERATOR CONSMP.'!G19)</f>
        <v>36</v>
      </c>
      <c r="H196" s="530">
        <f>IF('GENERATOR CONSMP.'!H19="","",'GENERATOR CONSMP.'!H19)</f>
        <v>36.700000000000003</v>
      </c>
      <c r="I196" s="530">
        <f>IF('GENERATOR CONSMP.'!I19="","",'GENERATOR CONSMP.'!I19)</f>
        <v>12</v>
      </c>
      <c r="J196" s="530">
        <f>IF('GENERATOR CONSMP.'!J19="","",'GENERATOR CONSMP.'!J19)</f>
        <v>11.06</v>
      </c>
      <c r="K196" s="530" t="str">
        <f>IF('GENERATOR CONSMP.'!K19="","",'GENERATOR CONSMP.'!K19)</f>
        <v/>
      </c>
      <c r="L196" s="530" t="str">
        <f>IF('GENERATOR CONSMP.'!L19="","",'GENERATOR CONSMP.'!L19)</f>
        <v/>
      </c>
      <c r="M196" s="530" t="str">
        <f>IF('GENERATOR CONSMP.'!M19="","",'GENERATOR CONSMP.'!M19)</f>
        <v/>
      </c>
      <c r="N196" s="530">
        <f t="shared" si="66"/>
        <v>182.69</v>
      </c>
      <c r="O196" s="530">
        <f t="shared" si="67"/>
        <v>20.298888888888889</v>
      </c>
    </row>
    <row r="197" spans="1:15" x14ac:dyDescent="0.25">
      <c r="A197" s="526" t="s">
        <v>9</v>
      </c>
      <c r="B197" s="531">
        <f t="shared" ref="B197:O197" si="68">IF(COUNT(B187:B196)=0,"",SUM(B187:B196))</f>
        <v>23.68</v>
      </c>
      <c r="C197" s="531">
        <f t="shared" si="68"/>
        <v>21.42</v>
      </c>
      <c r="D197" s="531">
        <f t="shared" si="68"/>
        <v>51.35</v>
      </c>
      <c r="E197" s="531">
        <f t="shared" si="68"/>
        <v>47.489999999999995</v>
      </c>
      <c r="F197" s="531">
        <f t="shared" si="68"/>
        <v>50.489999999999995</v>
      </c>
      <c r="G197" s="531">
        <f t="shared" si="68"/>
        <v>63</v>
      </c>
      <c r="H197" s="531">
        <f t="shared" si="68"/>
        <v>92.7</v>
      </c>
      <c r="I197" s="531">
        <f t="shared" si="68"/>
        <v>38</v>
      </c>
      <c r="J197" s="531">
        <f t="shared" si="68"/>
        <v>29.060000000000002</v>
      </c>
      <c r="K197" s="531" t="str">
        <f t="shared" si="68"/>
        <v/>
      </c>
      <c r="L197" s="531" t="str">
        <f t="shared" si="68"/>
        <v/>
      </c>
      <c r="M197" s="531" t="str">
        <f t="shared" si="68"/>
        <v/>
      </c>
      <c r="N197" s="531">
        <f t="shared" si="68"/>
        <v>417.19</v>
      </c>
      <c r="O197" s="531">
        <f t="shared" si="68"/>
        <v>47.604444444444447</v>
      </c>
    </row>
    <row r="198" spans="1:15" x14ac:dyDescent="0.25">
      <c r="A198" s="528" t="s">
        <v>599</v>
      </c>
      <c r="B198" s="529">
        <f t="shared" ref="B198:M198" si="69">COUNT(B187:B196)</f>
        <v>3</v>
      </c>
      <c r="C198" s="529">
        <f t="shared" si="69"/>
        <v>3</v>
      </c>
      <c r="D198" s="529">
        <f t="shared" si="69"/>
        <v>3</v>
      </c>
      <c r="E198" s="529">
        <f t="shared" si="69"/>
        <v>3</v>
      </c>
      <c r="F198" s="529">
        <f t="shared" si="69"/>
        <v>3</v>
      </c>
      <c r="G198" s="529">
        <f t="shared" si="69"/>
        <v>3</v>
      </c>
      <c r="H198" s="529">
        <f t="shared" si="69"/>
        <v>3</v>
      </c>
      <c r="I198" s="529">
        <f t="shared" si="69"/>
        <v>3</v>
      </c>
      <c r="J198" s="529">
        <f t="shared" si="69"/>
        <v>2</v>
      </c>
      <c r="K198" s="529">
        <f t="shared" si="69"/>
        <v>0</v>
      </c>
      <c r="L198" s="529">
        <f t="shared" si="69"/>
        <v>0</v>
      </c>
      <c r="M198" s="529">
        <f t="shared" si="69"/>
        <v>0</v>
      </c>
      <c r="N198" s="529">
        <f>COUNT(B197:M197)</f>
        <v>9</v>
      </c>
    </row>
    <row r="200" spans="1:15" x14ac:dyDescent="0.25">
      <c r="A200" s="525" t="s">
        <v>611</v>
      </c>
    </row>
    <row r="201" spans="1:15" ht="25.5" x14ac:dyDescent="0.25">
      <c r="A201" s="523" t="s">
        <v>36</v>
      </c>
      <c r="B201" s="523" t="s">
        <v>576</v>
      </c>
      <c r="C201" s="523" t="s">
        <v>578</v>
      </c>
      <c r="D201" s="523" t="s">
        <v>580</v>
      </c>
      <c r="E201" s="523" t="s">
        <v>582</v>
      </c>
      <c r="F201" s="523" t="s">
        <v>584</v>
      </c>
      <c r="G201" s="523" t="s">
        <v>586</v>
      </c>
      <c r="H201" s="523" t="s">
        <v>588</v>
      </c>
      <c r="I201" s="523" t="s">
        <v>7</v>
      </c>
      <c r="J201" s="523" t="s">
        <v>591</v>
      </c>
      <c r="K201" s="523" t="s">
        <v>593</v>
      </c>
      <c r="L201" s="523" t="s">
        <v>595</v>
      </c>
      <c r="M201" s="523" t="s">
        <v>596</v>
      </c>
      <c r="N201" s="523" t="s">
        <v>574</v>
      </c>
      <c r="O201" s="523" t="s">
        <v>598</v>
      </c>
    </row>
    <row r="202" spans="1:15" x14ac:dyDescent="0.25">
      <c r="A202" t="s">
        <v>85</v>
      </c>
      <c r="B202" s="160">
        <f t="shared" ref="B202:M202" si="70">IF(OR(B67="",B82=""),"",B67)</f>
        <v>58399.999999999636</v>
      </c>
      <c r="C202" s="160">
        <f t="shared" si="70"/>
        <v>60100.000000000364</v>
      </c>
      <c r="D202" s="160">
        <f t="shared" si="70"/>
        <v>54899.999999999636</v>
      </c>
      <c r="E202" s="160">
        <f t="shared" si="70"/>
        <v>54000</v>
      </c>
      <c r="F202" s="160">
        <f t="shared" si="70"/>
        <v>67900.000000000087</v>
      </c>
      <c r="G202" s="160">
        <f t="shared" si="70"/>
        <v>40400.000000000087</v>
      </c>
      <c r="H202" s="160">
        <f t="shared" si="70"/>
        <v>50500</v>
      </c>
      <c r="I202" s="160">
        <f t="shared" si="70"/>
        <v>43400.000000000087</v>
      </c>
      <c r="J202" s="160">
        <f t="shared" si="70"/>
        <v>42299.999999999724</v>
      </c>
      <c r="K202" s="160" t="str">
        <f t="shared" si="70"/>
        <v/>
      </c>
      <c r="L202" s="160" t="str">
        <f t="shared" si="70"/>
        <v/>
      </c>
      <c r="M202" s="160" t="str">
        <f t="shared" si="70"/>
        <v/>
      </c>
      <c r="N202" s="160">
        <f t="shared" ref="N202:N211" si="71">IF(COUNT(B202:M202)=0,"",SUM(B202:M202))</f>
        <v>471899.99999999971</v>
      </c>
      <c r="O202" s="160">
        <f t="shared" ref="O202:O211" si="72">IF(COUNT(B202:M202)=0,"",AVERAGE(B202:M202))</f>
        <v>52433.333333333299</v>
      </c>
    </row>
    <row r="203" spans="1:15" x14ac:dyDescent="0.25">
      <c r="A203" t="s">
        <v>91</v>
      </c>
      <c r="B203" s="160">
        <f t="shared" ref="B203:M203" si="73">IF(OR(B68="",B83=""),"",B68)</f>
        <v>16184</v>
      </c>
      <c r="C203" s="160">
        <f t="shared" si="73"/>
        <v>13357</v>
      </c>
      <c r="D203" s="160">
        <f t="shared" si="73"/>
        <v>14763</v>
      </c>
      <c r="E203" s="160">
        <f t="shared" si="73"/>
        <v>8947</v>
      </c>
      <c r="F203" s="160">
        <f t="shared" si="73"/>
        <v>5991</v>
      </c>
      <c r="G203" s="160">
        <f t="shared" si="73"/>
        <v>12743</v>
      </c>
      <c r="H203" s="160">
        <f t="shared" si="73"/>
        <v>16086</v>
      </c>
      <c r="I203" s="160">
        <f t="shared" si="73"/>
        <v>15124</v>
      </c>
      <c r="J203" s="160">
        <f t="shared" si="73"/>
        <v>13436</v>
      </c>
      <c r="K203" s="160" t="str">
        <f t="shared" si="73"/>
        <v/>
      </c>
      <c r="L203" s="160" t="str">
        <f t="shared" si="73"/>
        <v/>
      </c>
      <c r="M203" s="160" t="str">
        <f t="shared" si="73"/>
        <v/>
      </c>
      <c r="N203" s="160">
        <f t="shared" si="71"/>
        <v>116631</v>
      </c>
      <c r="O203" s="160">
        <f t="shared" si="72"/>
        <v>12959</v>
      </c>
    </row>
    <row r="204" spans="1:15" x14ac:dyDescent="0.25">
      <c r="A204" t="s">
        <v>93</v>
      </c>
      <c r="B204" s="160">
        <f t="shared" ref="B204:M204" si="74">IF(OR(B69="",B84=""),"",B69)</f>
        <v>435000</v>
      </c>
      <c r="C204" s="160">
        <f t="shared" si="74"/>
        <v>321000</v>
      </c>
      <c r="D204" s="160">
        <f t="shared" si="74"/>
        <v>209000</v>
      </c>
      <c r="E204" s="160">
        <f t="shared" si="74"/>
        <v>91000</v>
      </c>
      <c r="F204" s="160">
        <f t="shared" si="74"/>
        <v>165000</v>
      </c>
      <c r="G204" s="160">
        <f t="shared" si="74"/>
        <v>223000</v>
      </c>
      <c r="H204" s="160">
        <f t="shared" si="74"/>
        <v>185000</v>
      </c>
      <c r="I204" s="160" t="str">
        <f t="shared" si="74"/>
        <v/>
      </c>
      <c r="J204" s="160" t="str">
        <f t="shared" si="74"/>
        <v/>
      </c>
      <c r="K204" s="160" t="str">
        <f t="shared" si="74"/>
        <v/>
      </c>
      <c r="L204" s="160" t="str">
        <f t="shared" si="74"/>
        <v/>
      </c>
      <c r="M204" s="160" t="str">
        <f t="shared" si="74"/>
        <v/>
      </c>
      <c r="N204" s="160">
        <f t="shared" si="71"/>
        <v>1629000</v>
      </c>
      <c r="O204" s="160">
        <f t="shared" si="72"/>
        <v>232714.28571428571</v>
      </c>
    </row>
    <row r="205" spans="1:15" x14ac:dyDescent="0.25">
      <c r="A205" t="s">
        <v>98</v>
      </c>
      <c r="B205" s="160">
        <f t="shared" ref="B205:M205" si="75">IF(OR(B70="",B85=""),"",B70)</f>
        <v>48300</v>
      </c>
      <c r="C205" s="160">
        <f t="shared" si="75"/>
        <v>41200</v>
      </c>
      <c r="D205" s="160">
        <f t="shared" si="75"/>
        <v>51200</v>
      </c>
      <c r="E205" s="160">
        <f t="shared" si="75"/>
        <v>63600</v>
      </c>
      <c r="F205" s="160">
        <f t="shared" si="75"/>
        <v>33800</v>
      </c>
      <c r="G205" s="160">
        <f t="shared" si="75"/>
        <v>66300</v>
      </c>
      <c r="H205" s="160">
        <f t="shared" si="75"/>
        <v>12000</v>
      </c>
      <c r="I205" s="160">
        <f t="shared" si="75"/>
        <v>27900</v>
      </c>
      <c r="J205" s="160">
        <f t="shared" si="75"/>
        <v>27900</v>
      </c>
      <c r="K205" s="160" t="str">
        <f t="shared" si="75"/>
        <v/>
      </c>
      <c r="L205" s="160" t="str">
        <f t="shared" si="75"/>
        <v/>
      </c>
      <c r="M205" s="160" t="str">
        <f t="shared" si="75"/>
        <v/>
      </c>
      <c r="N205" s="160">
        <f t="shared" si="71"/>
        <v>372200</v>
      </c>
      <c r="O205" s="160">
        <f t="shared" si="72"/>
        <v>41355.555555555555</v>
      </c>
    </row>
    <row r="206" spans="1:15" x14ac:dyDescent="0.25">
      <c r="A206" t="s">
        <v>100</v>
      </c>
      <c r="B206" s="160">
        <f t="shared" ref="B206:M206" si="76">IF(OR(B71="",B86=""),"",B71)</f>
        <v>240000</v>
      </c>
      <c r="C206" s="160">
        <f t="shared" si="76"/>
        <v>220000</v>
      </c>
      <c r="D206" s="160">
        <f t="shared" si="76"/>
        <v>258000</v>
      </c>
      <c r="E206" s="160">
        <f t="shared" si="76"/>
        <v>280000</v>
      </c>
      <c r="F206" s="160">
        <f t="shared" si="76"/>
        <v>265000</v>
      </c>
      <c r="G206" s="160">
        <f t="shared" si="76"/>
        <v>240000</v>
      </c>
      <c r="H206" s="160">
        <f t="shared" si="76"/>
        <v>270000</v>
      </c>
      <c r="I206" s="160">
        <f t="shared" si="76"/>
        <v>255000</v>
      </c>
      <c r="J206" s="160" t="str">
        <f t="shared" si="76"/>
        <v/>
      </c>
      <c r="K206" s="160" t="str">
        <f t="shared" si="76"/>
        <v/>
      </c>
      <c r="L206" s="160" t="str">
        <f t="shared" si="76"/>
        <v/>
      </c>
      <c r="M206" s="160" t="str">
        <f t="shared" si="76"/>
        <v/>
      </c>
      <c r="N206" s="160">
        <f t="shared" si="71"/>
        <v>2028000</v>
      </c>
      <c r="O206" s="160">
        <f t="shared" si="72"/>
        <v>253500</v>
      </c>
    </row>
    <row r="207" spans="1:15" x14ac:dyDescent="0.25">
      <c r="A207" t="s">
        <v>224</v>
      </c>
      <c r="B207" s="160">
        <f t="shared" ref="B207:M207" si="77">IF(OR(B72="",B87=""),"",B72)</f>
        <v>78000</v>
      </c>
      <c r="C207" s="160">
        <f t="shared" si="77"/>
        <v>81000</v>
      </c>
      <c r="D207" s="160">
        <f t="shared" si="77"/>
        <v>71940</v>
      </c>
      <c r="E207" s="160">
        <f t="shared" si="77"/>
        <v>65370</v>
      </c>
      <c r="F207" s="160">
        <f t="shared" si="77"/>
        <v>52650</v>
      </c>
      <c r="G207" s="160">
        <f t="shared" si="77"/>
        <v>47761</v>
      </c>
      <c r="H207" s="160">
        <f t="shared" si="77"/>
        <v>142210</v>
      </c>
      <c r="I207" s="160">
        <f t="shared" si="77"/>
        <v>85920</v>
      </c>
      <c r="J207" s="160">
        <f t="shared" si="77"/>
        <v>78110</v>
      </c>
      <c r="K207" s="160" t="str">
        <f t="shared" si="77"/>
        <v/>
      </c>
      <c r="L207" s="160" t="str">
        <f t="shared" si="77"/>
        <v/>
      </c>
      <c r="M207" s="160" t="str">
        <f t="shared" si="77"/>
        <v/>
      </c>
      <c r="N207" s="160">
        <f t="shared" si="71"/>
        <v>702961</v>
      </c>
      <c r="O207" s="160">
        <f t="shared" si="72"/>
        <v>78106.777777777781</v>
      </c>
    </row>
    <row r="208" spans="1:15" x14ac:dyDescent="0.25">
      <c r="A208" t="s">
        <v>106</v>
      </c>
      <c r="B208" s="160">
        <f t="shared" ref="B208:M208" si="78">IF(OR(B73="",B88=""),"",B73)</f>
        <v>225000</v>
      </c>
      <c r="C208" s="160">
        <f t="shared" si="78"/>
        <v>174000</v>
      </c>
      <c r="D208" s="160">
        <f t="shared" si="78"/>
        <v>130000</v>
      </c>
      <c r="E208" s="160">
        <f t="shared" si="78"/>
        <v>165000</v>
      </c>
      <c r="F208" s="160">
        <f t="shared" si="78"/>
        <v>66400</v>
      </c>
      <c r="G208" s="160">
        <f t="shared" si="78"/>
        <v>107400</v>
      </c>
      <c r="H208" s="160">
        <f t="shared" si="78"/>
        <v>168800</v>
      </c>
      <c r="I208" s="160">
        <f t="shared" si="78"/>
        <v>169700</v>
      </c>
      <c r="J208" s="160">
        <f t="shared" si="78"/>
        <v>141300</v>
      </c>
      <c r="K208" s="160" t="str">
        <f t="shared" si="78"/>
        <v/>
      </c>
      <c r="L208" s="160" t="str">
        <f t="shared" si="78"/>
        <v/>
      </c>
      <c r="M208" s="160" t="str">
        <f t="shared" si="78"/>
        <v/>
      </c>
      <c r="N208" s="160">
        <f t="shared" si="71"/>
        <v>1347600</v>
      </c>
      <c r="O208" s="160">
        <f t="shared" si="72"/>
        <v>149733.33333333334</v>
      </c>
    </row>
    <row r="209" spans="1:15" x14ac:dyDescent="0.25">
      <c r="A209" t="s">
        <v>108</v>
      </c>
      <c r="B209" s="160">
        <f t="shared" ref="B209:M209" si="79">IF(OR(B74="",B89=""),"",B74)</f>
        <v>558700</v>
      </c>
      <c r="C209" s="160">
        <f t="shared" si="79"/>
        <v>569000</v>
      </c>
      <c r="D209" s="160">
        <f t="shared" si="79"/>
        <v>565238</v>
      </c>
      <c r="E209" s="160">
        <f t="shared" si="79"/>
        <v>380900</v>
      </c>
      <c r="F209" s="160">
        <f t="shared" si="79"/>
        <v>256875</v>
      </c>
      <c r="G209" s="160">
        <f t="shared" si="79"/>
        <v>446000</v>
      </c>
      <c r="H209" s="160">
        <f t="shared" si="79"/>
        <v>659000</v>
      </c>
      <c r="I209" s="160">
        <f t="shared" si="79"/>
        <v>669440</v>
      </c>
      <c r="J209" s="160">
        <f t="shared" si="79"/>
        <v>699000</v>
      </c>
      <c r="K209" s="160" t="str">
        <f t="shared" si="79"/>
        <v/>
      </c>
      <c r="L209" s="160" t="str">
        <f t="shared" si="79"/>
        <v/>
      </c>
      <c r="M209" s="160" t="str">
        <f t="shared" si="79"/>
        <v/>
      </c>
      <c r="N209" s="160">
        <f t="shared" si="71"/>
        <v>4804153</v>
      </c>
      <c r="O209" s="160">
        <f t="shared" si="72"/>
        <v>533794.77777777775</v>
      </c>
    </row>
    <row r="210" spans="1:15" x14ac:dyDescent="0.25">
      <c r="A210" t="s">
        <v>110</v>
      </c>
      <c r="B210" s="160">
        <f t="shared" ref="B210:M210" si="80">IF(OR(B75="",B90=""),"",B75)</f>
        <v>333860</v>
      </c>
      <c r="C210" s="160">
        <f t="shared" si="80"/>
        <v>264500</v>
      </c>
      <c r="D210" s="160">
        <f t="shared" si="80"/>
        <v>432756</v>
      </c>
      <c r="E210" s="160">
        <f t="shared" si="80"/>
        <v>248950</v>
      </c>
      <c r="F210" s="160">
        <f t="shared" si="80"/>
        <v>117348</v>
      </c>
      <c r="G210" s="160">
        <f t="shared" si="80"/>
        <v>288354</v>
      </c>
      <c r="H210" s="160">
        <f t="shared" si="80"/>
        <v>402336</v>
      </c>
      <c r="I210" s="160">
        <f t="shared" si="80"/>
        <v>435889</v>
      </c>
      <c r="J210" s="160">
        <f t="shared" si="80"/>
        <v>456330</v>
      </c>
      <c r="K210" s="160" t="str">
        <f t="shared" si="80"/>
        <v/>
      </c>
      <c r="L210" s="160" t="str">
        <f t="shared" si="80"/>
        <v/>
      </c>
      <c r="M210" s="160" t="str">
        <f t="shared" si="80"/>
        <v/>
      </c>
      <c r="N210" s="160">
        <f t="shared" si="71"/>
        <v>2980323</v>
      </c>
      <c r="O210" s="160">
        <f t="shared" si="72"/>
        <v>331147</v>
      </c>
    </row>
    <row r="211" spans="1:15" x14ac:dyDescent="0.25">
      <c r="A211" t="s">
        <v>112</v>
      </c>
      <c r="B211" s="160">
        <f t="shared" ref="B211:M211" si="81">IF(OR(B76="",B91=""),"",B76)</f>
        <v>1351000</v>
      </c>
      <c r="C211" s="160">
        <f t="shared" si="81"/>
        <v>1351000</v>
      </c>
      <c r="D211" s="160">
        <f t="shared" si="81"/>
        <v>880000</v>
      </c>
      <c r="E211" s="160">
        <f t="shared" si="81"/>
        <v>779000</v>
      </c>
      <c r="F211" s="160">
        <f t="shared" si="81"/>
        <v>1051000</v>
      </c>
      <c r="G211" s="160">
        <f t="shared" si="81"/>
        <v>1721000</v>
      </c>
      <c r="H211" s="160">
        <f t="shared" si="81"/>
        <v>1929000</v>
      </c>
      <c r="I211" s="160">
        <f t="shared" si="81"/>
        <v>1634000</v>
      </c>
      <c r="J211" s="160">
        <f t="shared" si="81"/>
        <v>1588000</v>
      </c>
      <c r="K211" s="160" t="str">
        <f t="shared" si="81"/>
        <v/>
      </c>
      <c r="L211" s="160" t="str">
        <f t="shared" si="81"/>
        <v/>
      </c>
      <c r="M211" s="160" t="str">
        <f t="shared" si="81"/>
        <v/>
      </c>
      <c r="N211" s="160">
        <f t="shared" si="71"/>
        <v>12284000</v>
      </c>
      <c r="O211" s="160">
        <f t="shared" si="72"/>
        <v>1364888.888888889</v>
      </c>
    </row>
    <row r="212" spans="1:15" x14ac:dyDescent="0.25">
      <c r="A212" s="526" t="s">
        <v>9</v>
      </c>
      <c r="B212" s="527">
        <f t="shared" ref="B212:O212" si="82">IF(COUNT(B202:B211)=0,"",SUM(B202:B211))</f>
        <v>3344443.9999999995</v>
      </c>
      <c r="C212" s="527">
        <f t="shared" si="82"/>
        <v>3095157.0000000005</v>
      </c>
      <c r="D212" s="527">
        <f t="shared" si="82"/>
        <v>2667796.9999999995</v>
      </c>
      <c r="E212" s="527">
        <f t="shared" si="82"/>
        <v>2136767</v>
      </c>
      <c r="F212" s="527">
        <f t="shared" si="82"/>
        <v>2081964</v>
      </c>
      <c r="G212" s="527">
        <f t="shared" si="82"/>
        <v>3192958</v>
      </c>
      <c r="H212" s="527">
        <f t="shared" si="82"/>
        <v>3834932</v>
      </c>
      <c r="I212" s="527">
        <f t="shared" si="82"/>
        <v>3336373</v>
      </c>
      <c r="J212" s="527">
        <f t="shared" si="82"/>
        <v>3046376</v>
      </c>
      <c r="K212" s="527" t="str">
        <f t="shared" si="82"/>
        <v/>
      </c>
      <c r="L212" s="527" t="str">
        <f t="shared" si="82"/>
        <v/>
      </c>
      <c r="M212" s="527" t="str">
        <f t="shared" si="82"/>
        <v/>
      </c>
      <c r="N212" s="527">
        <f t="shared" si="82"/>
        <v>26736768</v>
      </c>
      <c r="O212" s="527">
        <f t="shared" si="82"/>
        <v>3050632.9523809524</v>
      </c>
    </row>
    <row r="213" spans="1:15" x14ac:dyDescent="0.25">
      <c r="A213" s="528" t="s">
        <v>599</v>
      </c>
      <c r="B213" s="529">
        <f t="shared" ref="B213:M213" si="83">COUNT(B202:B211)</f>
        <v>10</v>
      </c>
      <c r="C213" s="529">
        <f t="shared" si="83"/>
        <v>10</v>
      </c>
      <c r="D213" s="529">
        <f t="shared" si="83"/>
        <v>10</v>
      </c>
      <c r="E213" s="529">
        <f t="shared" si="83"/>
        <v>10</v>
      </c>
      <c r="F213" s="529">
        <f t="shared" si="83"/>
        <v>10</v>
      </c>
      <c r="G213" s="529">
        <f t="shared" si="83"/>
        <v>10</v>
      </c>
      <c r="H213" s="529">
        <f t="shared" si="83"/>
        <v>10</v>
      </c>
      <c r="I213" s="529">
        <f t="shared" si="83"/>
        <v>9</v>
      </c>
      <c r="J213" s="529">
        <f t="shared" si="83"/>
        <v>8</v>
      </c>
      <c r="K213" s="529">
        <f t="shared" si="83"/>
        <v>0</v>
      </c>
      <c r="L213" s="529">
        <f t="shared" si="83"/>
        <v>0</v>
      </c>
      <c r="M213" s="529">
        <f t="shared" si="83"/>
        <v>0</v>
      </c>
      <c r="N213" s="529">
        <f>COUNT(B212:M212)</f>
        <v>9</v>
      </c>
    </row>
    <row r="215" spans="1:15" x14ac:dyDescent="0.25">
      <c r="A215" s="525" t="s">
        <v>612</v>
      </c>
    </row>
    <row r="216" spans="1:15" ht="25.5" x14ac:dyDescent="0.25">
      <c r="A216" s="523" t="s">
        <v>36</v>
      </c>
      <c r="B216" s="523" t="s">
        <v>576</v>
      </c>
      <c r="C216" s="523" t="s">
        <v>578</v>
      </c>
      <c r="D216" s="523" t="s">
        <v>580</v>
      </c>
      <c r="E216" s="523" t="s">
        <v>582</v>
      </c>
      <c r="F216" s="523" t="s">
        <v>584</v>
      </c>
      <c r="G216" s="523" t="s">
        <v>586</v>
      </c>
      <c r="H216" s="523" t="s">
        <v>588</v>
      </c>
      <c r="I216" s="523" t="s">
        <v>7</v>
      </c>
      <c r="J216" s="523" t="s">
        <v>591</v>
      </c>
      <c r="K216" s="523" t="s">
        <v>593</v>
      </c>
      <c r="L216" s="523" t="s">
        <v>595</v>
      </c>
      <c r="M216" s="523" t="s">
        <v>596</v>
      </c>
      <c r="N216" s="523" t="s">
        <v>574</v>
      </c>
      <c r="O216" s="523" t="s">
        <v>598</v>
      </c>
    </row>
    <row r="217" spans="1:15" x14ac:dyDescent="0.25">
      <c r="A217" t="s">
        <v>85</v>
      </c>
      <c r="B217" s="160">
        <f t="shared" ref="B217:M217" si="84">IF(OR(B22="",B82=""),"",B22)</f>
        <v>11200</v>
      </c>
      <c r="C217" s="160">
        <f t="shared" si="84"/>
        <v>12400</v>
      </c>
      <c r="D217" s="160">
        <f t="shared" si="84"/>
        <v>12000</v>
      </c>
      <c r="E217" s="160">
        <f t="shared" si="84"/>
        <v>14600</v>
      </c>
      <c r="F217" s="160">
        <f t="shared" si="84"/>
        <v>9000</v>
      </c>
      <c r="G217" s="160">
        <f t="shared" si="84"/>
        <v>16800</v>
      </c>
      <c r="H217" s="160">
        <f t="shared" si="84"/>
        <v>15000</v>
      </c>
      <c r="I217" s="160">
        <f t="shared" si="84"/>
        <v>14800</v>
      </c>
      <c r="J217" s="160" t="str">
        <f t="shared" si="84"/>
        <v/>
      </c>
      <c r="K217" s="160" t="str">
        <f t="shared" si="84"/>
        <v/>
      </c>
      <c r="L217" s="160" t="str">
        <f t="shared" si="84"/>
        <v/>
      </c>
      <c r="M217" s="160" t="str">
        <f t="shared" si="84"/>
        <v/>
      </c>
      <c r="N217" s="160">
        <f t="shared" ref="N217:N226" si="85">IF(COUNT(B217:M217)=0,"",SUM(B217:M217))</f>
        <v>105800</v>
      </c>
      <c r="O217" s="160">
        <f t="shared" ref="O217:O226" si="86">IF(COUNT(B217:M217)=0,"",AVERAGE(B217:M217))</f>
        <v>13225</v>
      </c>
    </row>
    <row r="218" spans="1:15" x14ac:dyDescent="0.25">
      <c r="A218" t="s">
        <v>91</v>
      </c>
      <c r="B218" s="160">
        <f t="shared" ref="B218:M218" si="87">IF(OR(B23="",B83=""),"",B23)</f>
        <v>2280</v>
      </c>
      <c r="C218" s="160">
        <f t="shared" si="87"/>
        <v>2727</v>
      </c>
      <c r="D218" s="160">
        <f t="shared" si="87"/>
        <v>3054</v>
      </c>
      <c r="E218" s="160">
        <f t="shared" si="87"/>
        <v>3334</v>
      </c>
      <c r="F218" s="160">
        <f t="shared" si="87"/>
        <v>2364</v>
      </c>
      <c r="G218" s="160">
        <f t="shared" si="87"/>
        <v>2319</v>
      </c>
      <c r="H218" s="160">
        <f t="shared" si="87"/>
        <v>3660</v>
      </c>
      <c r="I218" s="160">
        <f t="shared" si="87"/>
        <v>3884</v>
      </c>
      <c r="J218" s="160">
        <f t="shared" si="87"/>
        <v>3820</v>
      </c>
      <c r="K218" s="160" t="str">
        <f t="shared" si="87"/>
        <v/>
      </c>
      <c r="L218" s="160" t="str">
        <f t="shared" si="87"/>
        <v/>
      </c>
      <c r="M218" s="160" t="str">
        <f t="shared" si="87"/>
        <v/>
      </c>
      <c r="N218" s="160">
        <f t="shared" si="85"/>
        <v>27442</v>
      </c>
      <c r="O218" s="160">
        <f t="shared" si="86"/>
        <v>3049.1111111111113</v>
      </c>
    </row>
    <row r="219" spans="1:15" x14ac:dyDescent="0.25">
      <c r="A219" t="s">
        <v>93</v>
      </c>
      <c r="B219" s="160">
        <f t="shared" ref="B219:M219" si="88">IF(OR(B24="",B84=""),"",B24)</f>
        <v>1376</v>
      </c>
      <c r="C219" s="160">
        <f t="shared" si="88"/>
        <v>1020</v>
      </c>
      <c r="D219" s="160">
        <f t="shared" si="88"/>
        <v>1311</v>
      </c>
      <c r="E219" s="160">
        <f t="shared" si="88"/>
        <v>2178</v>
      </c>
      <c r="F219" s="160">
        <f t="shared" si="88"/>
        <v>338</v>
      </c>
      <c r="G219" s="160">
        <f t="shared" si="88"/>
        <v>2400</v>
      </c>
      <c r="H219" s="160">
        <f t="shared" si="88"/>
        <v>3596</v>
      </c>
      <c r="I219" s="160" t="str">
        <f t="shared" si="88"/>
        <v/>
      </c>
      <c r="J219" s="160" t="str">
        <f t="shared" si="88"/>
        <v/>
      </c>
      <c r="K219" s="160" t="str">
        <f t="shared" si="88"/>
        <v/>
      </c>
      <c r="L219" s="160" t="str">
        <f t="shared" si="88"/>
        <v/>
      </c>
      <c r="M219" s="160" t="str">
        <f t="shared" si="88"/>
        <v/>
      </c>
      <c r="N219" s="160">
        <f t="shared" si="85"/>
        <v>12219</v>
      </c>
      <c r="O219" s="160">
        <f t="shared" si="86"/>
        <v>1745.5714285714287</v>
      </c>
    </row>
    <row r="220" spans="1:15" x14ac:dyDescent="0.25">
      <c r="A220" t="s">
        <v>98</v>
      </c>
      <c r="B220" s="160">
        <f t="shared" ref="B220:M220" si="89">IF(OR(B25="",B85=""),"",B25)</f>
        <v>2261</v>
      </c>
      <c r="C220" s="160">
        <f t="shared" si="89"/>
        <v>2111</v>
      </c>
      <c r="D220" s="160">
        <f t="shared" si="89"/>
        <v>2872</v>
      </c>
      <c r="E220" s="160">
        <f t="shared" si="89"/>
        <v>4747</v>
      </c>
      <c r="F220" s="160">
        <f t="shared" si="89"/>
        <v>5189</v>
      </c>
      <c r="G220" s="160">
        <f t="shared" si="89"/>
        <v>7265</v>
      </c>
      <c r="H220" s="160">
        <f t="shared" si="89"/>
        <v>5844</v>
      </c>
      <c r="I220" s="160">
        <f t="shared" si="89"/>
        <v>4860</v>
      </c>
      <c r="J220" s="160" t="str">
        <f t="shared" si="89"/>
        <v/>
      </c>
      <c r="K220" s="160" t="str">
        <f t="shared" si="89"/>
        <v/>
      </c>
      <c r="L220" s="160" t="str">
        <f t="shared" si="89"/>
        <v/>
      </c>
      <c r="M220" s="160" t="str">
        <f t="shared" si="89"/>
        <v/>
      </c>
      <c r="N220" s="160">
        <f t="shared" si="85"/>
        <v>35149</v>
      </c>
      <c r="O220" s="160">
        <f t="shared" si="86"/>
        <v>4393.625</v>
      </c>
    </row>
    <row r="221" spans="1:15" x14ac:dyDescent="0.25">
      <c r="A221" t="s">
        <v>100</v>
      </c>
      <c r="B221" s="160">
        <f t="shared" ref="B221:M221" si="90">IF(OR(B26="",B86=""),"",B26)</f>
        <v>0</v>
      </c>
      <c r="C221" s="160">
        <f t="shared" si="90"/>
        <v>0</v>
      </c>
      <c r="D221" s="160">
        <f t="shared" si="90"/>
        <v>0</v>
      </c>
      <c r="E221" s="160">
        <f t="shared" si="90"/>
        <v>0</v>
      </c>
      <c r="F221" s="160">
        <f t="shared" si="90"/>
        <v>0</v>
      </c>
      <c r="G221" s="160">
        <f t="shared" si="90"/>
        <v>5378</v>
      </c>
      <c r="H221" s="160">
        <f t="shared" si="90"/>
        <v>6691</v>
      </c>
      <c r="I221" s="160">
        <f t="shared" si="90"/>
        <v>7600</v>
      </c>
      <c r="J221" s="160" t="str">
        <f t="shared" si="90"/>
        <v/>
      </c>
      <c r="K221" s="160" t="str">
        <f t="shared" si="90"/>
        <v/>
      </c>
      <c r="L221" s="160" t="str">
        <f t="shared" si="90"/>
        <v/>
      </c>
      <c r="M221" s="160" t="str">
        <f t="shared" si="90"/>
        <v/>
      </c>
      <c r="N221" s="160">
        <f t="shared" si="85"/>
        <v>19669</v>
      </c>
      <c r="O221" s="160">
        <f t="shared" si="86"/>
        <v>2458.625</v>
      </c>
    </row>
    <row r="222" spans="1:15" x14ac:dyDescent="0.25">
      <c r="A222" t="s">
        <v>224</v>
      </c>
      <c r="B222" s="160">
        <f t="shared" ref="B222:M222" si="91">IF(OR(B27="",B87=""),"",B27)</f>
        <v>783</v>
      </c>
      <c r="C222" s="160">
        <f t="shared" si="91"/>
        <v>1022</v>
      </c>
      <c r="D222" s="160">
        <f t="shared" si="91"/>
        <v>1065</v>
      </c>
      <c r="E222" s="160">
        <f t="shared" si="91"/>
        <v>786</v>
      </c>
      <c r="F222" s="160">
        <f t="shared" si="91"/>
        <v>531</v>
      </c>
      <c r="G222" s="160">
        <f t="shared" si="91"/>
        <v>1165</v>
      </c>
      <c r="H222" s="160">
        <f t="shared" si="91"/>
        <v>1300</v>
      </c>
      <c r="I222" s="160">
        <f t="shared" si="91"/>
        <v>1330</v>
      </c>
      <c r="J222" s="160">
        <f t="shared" si="91"/>
        <v>1187</v>
      </c>
      <c r="K222" s="160" t="str">
        <f t="shared" si="91"/>
        <v/>
      </c>
      <c r="L222" s="160" t="str">
        <f t="shared" si="91"/>
        <v/>
      </c>
      <c r="M222" s="160" t="str">
        <f t="shared" si="91"/>
        <v/>
      </c>
      <c r="N222" s="160">
        <f t="shared" si="85"/>
        <v>9169</v>
      </c>
      <c r="O222" s="160">
        <f t="shared" si="86"/>
        <v>1018.7777777777778</v>
      </c>
    </row>
    <row r="223" spans="1:15" x14ac:dyDescent="0.25">
      <c r="A223" t="s">
        <v>106</v>
      </c>
      <c r="B223" s="160">
        <f t="shared" ref="B223:M223" si="92">IF(OR(B28="",B88=""),"",B28)</f>
        <v>1873</v>
      </c>
      <c r="C223" s="160">
        <f t="shared" si="92"/>
        <v>2273</v>
      </c>
      <c r="D223" s="160">
        <f t="shared" si="92"/>
        <v>2436</v>
      </c>
      <c r="E223" s="160">
        <f t="shared" si="92"/>
        <v>3214</v>
      </c>
      <c r="F223" s="160">
        <f t="shared" si="92"/>
        <v>2853</v>
      </c>
      <c r="G223" s="160">
        <f t="shared" si="92"/>
        <v>3226</v>
      </c>
      <c r="H223" s="160">
        <f t="shared" si="92"/>
        <v>3270</v>
      </c>
      <c r="I223" s="160">
        <f t="shared" si="92"/>
        <v>3062</v>
      </c>
      <c r="J223" s="160">
        <f t="shared" si="92"/>
        <v>3427</v>
      </c>
      <c r="K223" s="160" t="str">
        <f t="shared" si="92"/>
        <v/>
      </c>
      <c r="L223" s="160" t="str">
        <f t="shared" si="92"/>
        <v/>
      </c>
      <c r="M223" s="160" t="str">
        <f t="shared" si="92"/>
        <v/>
      </c>
      <c r="N223" s="160">
        <f t="shared" si="85"/>
        <v>25634</v>
      </c>
      <c r="O223" s="160">
        <f t="shared" si="86"/>
        <v>2848.2222222222222</v>
      </c>
    </row>
    <row r="224" spans="1:15" x14ac:dyDescent="0.25">
      <c r="A224" t="s">
        <v>108</v>
      </c>
      <c r="B224" s="160">
        <f t="shared" ref="B224:M224" si="93">IF(OR(B29="",B89=""),"",B29)</f>
        <v>3548</v>
      </c>
      <c r="C224" s="160">
        <f t="shared" si="93"/>
        <v>4827</v>
      </c>
      <c r="D224" s="160">
        <f t="shared" si="93"/>
        <v>5086</v>
      </c>
      <c r="E224" s="160">
        <f t="shared" si="93"/>
        <v>5320</v>
      </c>
      <c r="F224" s="160">
        <f t="shared" si="93"/>
        <v>4331</v>
      </c>
      <c r="G224" s="160">
        <f t="shared" si="93"/>
        <v>5754</v>
      </c>
      <c r="H224" s="160">
        <f t="shared" si="93"/>
        <v>7480</v>
      </c>
      <c r="I224" s="160">
        <f t="shared" si="93"/>
        <v>5901</v>
      </c>
      <c r="J224" s="160" t="str">
        <f t="shared" si="93"/>
        <v/>
      </c>
      <c r="K224" s="160" t="str">
        <f t="shared" si="93"/>
        <v/>
      </c>
      <c r="L224" s="160" t="str">
        <f t="shared" si="93"/>
        <v/>
      </c>
      <c r="M224" s="160" t="str">
        <f t="shared" si="93"/>
        <v/>
      </c>
      <c r="N224" s="160">
        <f t="shared" si="85"/>
        <v>42247</v>
      </c>
      <c r="O224" s="160">
        <f t="shared" si="86"/>
        <v>5280.875</v>
      </c>
    </row>
    <row r="225" spans="1:15" x14ac:dyDescent="0.25">
      <c r="A225" t="s">
        <v>110</v>
      </c>
      <c r="B225" s="160">
        <f t="shared" ref="B225:M225" si="94">IF(OR(B30="",B90=""),"",B30)</f>
        <v>2616</v>
      </c>
      <c r="C225" s="160">
        <f t="shared" si="94"/>
        <v>3235</v>
      </c>
      <c r="D225" s="160">
        <f t="shared" si="94"/>
        <v>4519</v>
      </c>
      <c r="E225" s="160">
        <f t="shared" si="94"/>
        <v>4456</v>
      </c>
      <c r="F225" s="160">
        <f t="shared" si="94"/>
        <v>3614</v>
      </c>
      <c r="G225" s="160">
        <f t="shared" si="94"/>
        <v>5666</v>
      </c>
      <c r="H225" s="160">
        <f t="shared" si="94"/>
        <v>5226</v>
      </c>
      <c r="I225" s="160">
        <f t="shared" si="94"/>
        <v>4200</v>
      </c>
      <c r="J225" s="160">
        <f t="shared" si="94"/>
        <v>3089</v>
      </c>
      <c r="K225" s="160" t="str">
        <f t="shared" si="94"/>
        <v/>
      </c>
      <c r="L225" s="160" t="str">
        <f t="shared" si="94"/>
        <v/>
      </c>
      <c r="M225" s="160" t="str">
        <f t="shared" si="94"/>
        <v/>
      </c>
      <c r="N225" s="160">
        <f t="shared" si="85"/>
        <v>36621</v>
      </c>
      <c r="O225" s="160">
        <f t="shared" si="86"/>
        <v>4069</v>
      </c>
    </row>
    <row r="226" spans="1:15" x14ac:dyDescent="0.25">
      <c r="A226" t="s">
        <v>112</v>
      </c>
      <c r="B226" s="160">
        <f t="shared" ref="B226:M226" si="95">IF(OR(B31="",B91=""),"",B31)</f>
        <v>12593</v>
      </c>
      <c r="C226" s="160">
        <f t="shared" si="95"/>
        <v>12752</v>
      </c>
      <c r="D226" s="160">
        <f t="shared" si="95"/>
        <v>8431</v>
      </c>
      <c r="E226" s="160">
        <f t="shared" si="95"/>
        <v>8840</v>
      </c>
      <c r="F226" s="160">
        <f t="shared" si="95"/>
        <v>4819</v>
      </c>
      <c r="G226" s="160">
        <f t="shared" si="95"/>
        <v>8107</v>
      </c>
      <c r="H226" s="160">
        <f t="shared" si="95"/>
        <v>9271</v>
      </c>
      <c r="I226" s="160">
        <f t="shared" si="95"/>
        <v>9715</v>
      </c>
      <c r="J226" s="160">
        <f t="shared" si="95"/>
        <v>9252</v>
      </c>
      <c r="K226" s="160" t="str">
        <f t="shared" si="95"/>
        <v/>
      </c>
      <c r="L226" s="160" t="str">
        <f t="shared" si="95"/>
        <v/>
      </c>
      <c r="M226" s="160" t="str">
        <f t="shared" si="95"/>
        <v/>
      </c>
      <c r="N226" s="160">
        <f t="shared" si="85"/>
        <v>83780</v>
      </c>
      <c r="O226" s="160">
        <f t="shared" si="86"/>
        <v>9308.8888888888887</v>
      </c>
    </row>
    <row r="227" spans="1:15" x14ac:dyDescent="0.25">
      <c r="A227" s="526" t="s">
        <v>9</v>
      </c>
      <c r="B227" s="527">
        <f t="shared" ref="B227:O227" si="96">IF(COUNT(B217:B226)=0,"",SUM(B217:B226))</f>
        <v>38530</v>
      </c>
      <c r="C227" s="527">
        <f t="shared" si="96"/>
        <v>42367</v>
      </c>
      <c r="D227" s="527">
        <f t="shared" si="96"/>
        <v>40774</v>
      </c>
      <c r="E227" s="527">
        <f t="shared" si="96"/>
        <v>47475</v>
      </c>
      <c r="F227" s="527">
        <f t="shared" si="96"/>
        <v>33039</v>
      </c>
      <c r="G227" s="527">
        <f t="shared" si="96"/>
        <v>58080</v>
      </c>
      <c r="H227" s="527">
        <f t="shared" si="96"/>
        <v>61338</v>
      </c>
      <c r="I227" s="527">
        <f t="shared" si="96"/>
        <v>55352</v>
      </c>
      <c r="J227" s="527">
        <f t="shared" si="96"/>
        <v>20775</v>
      </c>
      <c r="K227" s="527" t="str">
        <f t="shared" si="96"/>
        <v/>
      </c>
      <c r="L227" s="527" t="str">
        <f t="shared" si="96"/>
        <v/>
      </c>
      <c r="M227" s="527" t="str">
        <f t="shared" si="96"/>
        <v/>
      </c>
      <c r="N227" s="527">
        <f t="shared" si="96"/>
        <v>397730</v>
      </c>
      <c r="O227" s="527">
        <f t="shared" si="96"/>
        <v>47397.696428571435</v>
      </c>
    </row>
    <row r="228" spans="1:15" x14ac:dyDescent="0.25">
      <c r="A228" s="528" t="s">
        <v>599</v>
      </c>
      <c r="B228" s="529">
        <f t="shared" ref="B228:M228" si="97">COUNT(B217:B226)</f>
        <v>10</v>
      </c>
      <c r="C228" s="529">
        <f t="shared" si="97"/>
        <v>10</v>
      </c>
      <c r="D228" s="529">
        <f t="shared" si="97"/>
        <v>10</v>
      </c>
      <c r="E228" s="529">
        <f t="shared" si="97"/>
        <v>10</v>
      </c>
      <c r="F228" s="529">
        <f t="shared" si="97"/>
        <v>10</v>
      </c>
      <c r="G228" s="529">
        <f t="shared" si="97"/>
        <v>10</v>
      </c>
      <c r="H228" s="529">
        <f t="shared" si="97"/>
        <v>10</v>
      </c>
      <c r="I228" s="529">
        <f t="shared" si="97"/>
        <v>9</v>
      </c>
      <c r="J228" s="529">
        <f t="shared" si="97"/>
        <v>5</v>
      </c>
      <c r="K228" s="529">
        <f t="shared" si="97"/>
        <v>0</v>
      </c>
      <c r="L228" s="529">
        <f t="shared" si="97"/>
        <v>0</v>
      </c>
      <c r="M228" s="529">
        <f t="shared" si="97"/>
        <v>0</v>
      </c>
      <c r="N228" s="529">
        <f>COUNT(B227:M227)</f>
        <v>9</v>
      </c>
    </row>
    <row r="230" spans="1:15" x14ac:dyDescent="0.25">
      <c r="A230" s="525" t="s">
        <v>613</v>
      </c>
    </row>
    <row r="231" spans="1:15" ht="25.5" x14ac:dyDescent="0.25">
      <c r="A231" s="523" t="s">
        <v>36</v>
      </c>
      <c r="B231" s="523" t="s">
        <v>576</v>
      </c>
      <c r="C231" s="523" t="s">
        <v>578</v>
      </c>
      <c r="D231" s="523" t="s">
        <v>580</v>
      </c>
      <c r="E231" s="523" t="s">
        <v>582</v>
      </c>
      <c r="F231" s="523" t="s">
        <v>584</v>
      </c>
      <c r="G231" s="523" t="s">
        <v>586</v>
      </c>
      <c r="H231" s="523" t="s">
        <v>588</v>
      </c>
      <c r="I231" s="523" t="s">
        <v>7</v>
      </c>
      <c r="J231" s="523" t="s">
        <v>591</v>
      </c>
      <c r="K231" s="523" t="s">
        <v>593</v>
      </c>
      <c r="L231" s="523" t="s">
        <v>595</v>
      </c>
      <c r="M231" s="523" t="s">
        <v>596</v>
      </c>
      <c r="N231" s="523" t="s">
        <v>574</v>
      </c>
      <c r="O231" s="523" t="s">
        <v>598</v>
      </c>
    </row>
    <row r="232" spans="1:15" x14ac:dyDescent="0.25">
      <c r="A232" t="s">
        <v>85</v>
      </c>
      <c r="B232" s="530">
        <f t="shared" ref="B232:N232" si="98">IF(OR(B202="",B97="",N(B97)=0),"",B202/B97)</f>
        <v>1.4821958833532052</v>
      </c>
      <c r="C232" s="530">
        <f t="shared" si="98"/>
        <v>1.7295959479682388</v>
      </c>
      <c r="D232" s="530">
        <f t="shared" si="98"/>
        <v>1.4281997918834453</v>
      </c>
      <c r="E232" s="530">
        <f t="shared" si="98"/>
        <v>1.4516129032258065</v>
      </c>
      <c r="F232" s="530">
        <f t="shared" si="98"/>
        <v>53.422501966955224</v>
      </c>
      <c r="G232" s="530">
        <f t="shared" si="98"/>
        <v>1.1383488306565255</v>
      </c>
      <c r="H232" s="530">
        <f t="shared" si="98"/>
        <v>1.3620671054051139</v>
      </c>
      <c r="I232" s="530">
        <f t="shared" si="98"/>
        <v>1.1637572734829615</v>
      </c>
      <c r="J232" s="530">
        <f t="shared" si="98"/>
        <v>1.1681855840927844</v>
      </c>
      <c r="K232" s="530" t="str">
        <f t="shared" si="98"/>
        <v/>
      </c>
      <c r="L232" s="530" t="str">
        <f t="shared" si="98"/>
        <v/>
      </c>
      <c r="M232" s="530" t="str">
        <f t="shared" si="98"/>
        <v/>
      </c>
      <c r="N232" s="530">
        <f t="shared" si="98"/>
        <v>1.5881990650525519</v>
      </c>
      <c r="O232" s="530">
        <f t="shared" ref="O232:O242" si="99">N232</f>
        <v>1.5881990650525519</v>
      </c>
    </row>
    <row r="233" spans="1:15" x14ac:dyDescent="0.25">
      <c r="A233" t="s">
        <v>91</v>
      </c>
      <c r="B233" s="530">
        <f t="shared" ref="B233:N233" si="100">IF(OR(B203="",B98="",N(B98)=0),"",B203/B98)</f>
        <v>0.51689556052379426</v>
      </c>
      <c r="C233" s="530">
        <f t="shared" si="100"/>
        <v>0.47231258840169732</v>
      </c>
      <c r="D233" s="530">
        <f t="shared" si="100"/>
        <v>0.47151069945704249</v>
      </c>
      <c r="E233" s="530">
        <f t="shared" si="100"/>
        <v>0.29586640211640214</v>
      </c>
      <c r="F233" s="530">
        <f t="shared" si="100"/>
        <v>9.6629032258064509</v>
      </c>
      <c r="G233" s="530">
        <f t="shared" si="100"/>
        <v>0.41684658161596339</v>
      </c>
      <c r="H233" s="530">
        <f t="shared" si="100"/>
        <v>0.5087286527514232</v>
      </c>
      <c r="I233" s="530">
        <f t="shared" si="100"/>
        <v>0.47830487033523089</v>
      </c>
      <c r="J233" s="530">
        <f t="shared" si="100"/>
        <v>0.43908496732026142</v>
      </c>
      <c r="K233" s="530" t="str">
        <f t="shared" si="100"/>
        <v/>
      </c>
      <c r="L233" s="530" t="str">
        <f t="shared" si="100"/>
        <v/>
      </c>
      <c r="M233" s="530" t="str">
        <f t="shared" si="100"/>
        <v/>
      </c>
      <c r="N233" s="530">
        <f t="shared" si="100"/>
        <v>0.47378234553357434</v>
      </c>
      <c r="O233" s="530">
        <f t="shared" si="99"/>
        <v>0.47378234553357434</v>
      </c>
    </row>
    <row r="234" spans="1:15" x14ac:dyDescent="0.25">
      <c r="A234" t="s">
        <v>93</v>
      </c>
      <c r="B234" s="530">
        <f t="shared" ref="B234:N234" si="101">IF(OR(B204="",B99="",N(B99)=0),"",B204/B99)</f>
        <v>17.302414382880553</v>
      </c>
      <c r="C234" s="530">
        <f t="shared" si="101"/>
        <v>14.135987317245023</v>
      </c>
      <c r="D234" s="530">
        <f t="shared" si="101"/>
        <v>8.9179040791944022</v>
      </c>
      <c r="E234" s="530">
        <f t="shared" si="101"/>
        <v>4.0123456790123457</v>
      </c>
      <c r="F234" s="530">
        <f t="shared" si="101"/>
        <v>7.040450588837686</v>
      </c>
      <c r="G234" s="530">
        <f t="shared" si="101"/>
        <v>9.8324514991181662</v>
      </c>
      <c r="H234" s="530">
        <f t="shared" si="101"/>
        <v>7.2248691712879793</v>
      </c>
      <c r="I234" s="530" t="str">
        <f t="shared" si="101"/>
        <v/>
      </c>
      <c r="J234" s="530" t="str">
        <f t="shared" si="101"/>
        <v/>
      </c>
      <c r="K234" s="530" t="str">
        <f t="shared" si="101"/>
        <v/>
      </c>
      <c r="L234" s="530" t="str">
        <f t="shared" si="101"/>
        <v/>
      </c>
      <c r="M234" s="530" t="str">
        <f t="shared" si="101"/>
        <v/>
      </c>
      <c r="N234" s="530">
        <f t="shared" si="101"/>
        <v>9.8317912690796501</v>
      </c>
      <c r="O234" s="530">
        <f t="shared" si="99"/>
        <v>9.8317912690796501</v>
      </c>
    </row>
    <row r="235" spans="1:15" x14ac:dyDescent="0.25">
      <c r="A235" t="s">
        <v>98</v>
      </c>
      <c r="B235" s="530">
        <f t="shared" ref="B235:N235" si="102">IF(OR(B205="",B100="",N(B100)=0),"",B205/B100)</f>
        <v>3.0852762695624403</v>
      </c>
      <c r="C235" s="530">
        <f t="shared" si="102"/>
        <v>2.9137199434229135</v>
      </c>
      <c r="D235" s="530">
        <f t="shared" si="102"/>
        <v>3.2705206004471417</v>
      </c>
      <c r="E235" s="530">
        <f t="shared" si="102"/>
        <v>4.1980198019801982</v>
      </c>
      <c r="F235" s="530">
        <f t="shared" si="102"/>
        <v>43.612903225806448</v>
      </c>
      <c r="G235" s="530">
        <f t="shared" si="102"/>
        <v>4.1698113207547172</v>
      </c>
      <c r="H235" s="530">
        <f t="shared" si="102"/>
        <v>0.73037127206329888</v>
      </c>
      <c r="I235" s="530">
        <f t="shared" si="102"/>
        <v>1.6981132075471699</v>
      </c>
      <c r="J235" s="530">
        <f t="shared" si="102"/>
        <v>1.7547169811320755</v>
      </c>
      <c r="K235" s="530" t="str">
        <f t="shared" si="102"/>
        <v/>
      </c>
      <c r="L235" s="530" t="str">
        <f t="shared" si="102"/>
        <v/>
      </c>
      <c r="M235" s="530" t="str">
        <f t="shared" si="102"/>
        <v/>
      </c>
      <c r="N235" s="530">
        <f t="shared" si="102"/>
        <v>2.9531479350973937</v>
      </c>
      <c r="O235" s="530">
        <f t="shared" si="99"/>
        <v>2.9531479350973937</v>
      </c>
    </row>
    <row r="236" spans="1:15" x14ac:dyDescent="0.25">
      <c r="A236" t="s">
        <v>100</v>
      </c>
      <c r="B236" s="530">
        <f t="shared" ref="B236:N236" si="103">IF(OR(B206="",B101="",N(B101)=0),"",B206/B101)</f>
        <v>22.311053267639675</v>
      </c>
      <c r="C236" s="530">
        <f t="shared" si="103"/>
        <v>22.77432712215321</v>
      </c>
      <c r="D236" s="530">
        <f t="shared" si="103"/>
        <v>24.123422159887799</v>
      </c>
      <c r="E236" s="530">
        <f t="shared" si="103"/>
        <v>27.053140096618357</v>
      </c>
      <c r="F236" s="530">
        <f t="shared" si="103"/>
        <v>24.777933613838243</v>
      </c>
      <c r="G236" s="530">
        <f t="shared" si="103"/>
        <v>22.099447513812155</v>
      </c>
      <c r="H236" s="530">
        <f t="shared" si="103"/>
        <v>23.539668700959023</v>
      </c>
      <c r="I236" s="530">
        <f t="shared" si="103"/>
        <v>22.231909328683521</v>
      </c>
      <c r="J236" s="530" t="str">
        <f t="shared" si="103"/>
        <v/>
      </c>
      <c r="K236" s="530" t="str">
        <f t="shared" si="103"/>
        <v/>
      </c>
      <c r="L236" s="530" t="str">
        <f t="shared" si="103"/>
        <v/>
      </c>
      <c r="M236" s="530" t="str">
        <f t="shared" si="103"/>
        <v/>
      </c>
      <c r="N236" s="530">
        <f t="shared" si="103"/>
        <v>23.593191944809615</v>
      </c>
      <c r="O236" s="530">
        <f t="shared" si="99"/>
        <v>23.593191944809615</v>
      </c>
    </row>
    <row r="237" spans="1:15" x14ac:dyDescent="0.25">
      <c r="A237" t="s">
        <v>224</v>
      </c>
      <c r="B237" s="530">
        <f t="shared" ref="B237:N237" si="104">IF(OR(B207="",B102="",N(B102)=0),"",B207/B102)</f>
        <v>8.387096774193548</v>
      </c>
      <c r="C237" s="530">
        <f t="shared" si="104"/>
        <v>9.6428571428571423</v>
      </c>
      <c r="D237" s="530">
        <f t="shared" si="104"/>
        <v>7.7354838709677418</v>
      </c>
      <c r="E237" s="530">
        <f t="shared" si="104"/>
        <v>7.2633333333333336</v>
      </c>
      <c r="F237" s="530">
        <f t="shared" si="104"/>
        <v>169.83870967741936</v>
      </c>
      <c r="G237" s="530">
        <f t="shared" si="104"/>
        <v>5.5278935185185185</v>
      </c>
      <c r="H237" s="530">
        <f t="shared" si="104"/>
        <v>15.928539426523297</v>
      </c>
      <c r="I237" s="530">
        <f t="shared" si="104"/>
        <v>9.6236559139784941</v>
      </c>
      <c r="J237" s="530">
        <f t="shared" si="104"/>
        <v>9.0405092592592595</v>
      </c>
      <c r="K237" s="530" t="str">
        <f t="shared" si="104"/>
        <v/>
      </c>
      <c r="L237" s="530" t="str">
        <f t="shared" si="104"/>
        <v/>
      </c>
      <c r="M237" s="530" t="str">
        <f t="shared" si="104"/>
        <v/>
      </c>
      <c r="N237" s="530">
        <f t="shared" si="104"/>
        <v>9.839053271001875</v>
      </c>
      <c r="O237" s="530">
        <f t="shared" si="99"/>
        <v>9.839053271001875</v>
      </c>
    </row>
    <row r="238" spans="1:15" x14ac:dyDescent="0.25">
      <c r="A238" t="s">
        <v>106</v>
      </c>
      <c r="B238" s="530">
        <f t="shared" ref="B238:N238" si="105">IF(OR(B208="",B103="",N(B103)=0),"",B208/B103)</f>
        <v>12.960829493087557</v>
      </c>
      <c r="C238" s="530">
        <f t="shared" si="105"/>
        <v>11.096938775510203</v>
      </c>
      <c r="D238" s="530">
        <f t="shared" si="105"/>
        <v>7.4884792626728114</v>
      </c>
      <c r="E238" s="530">
        <f t="shared" si="105"/>
        <v>9.8214285714285712</v>
      </c>
      <c r="F238" s="530">
        <f t="shared" si="105"/>
        <v>107.09677419354838</v>
      </c>
      <c r="G238" s="530">
        <f t="shared" si="105"/>
        <v>5.9666666666666668</v>
      </c>
      <c r="H238" s="530">
        <f t="shared" si="105"/>
        <v>9.0752688172043019</v>
      </c>
      <c r="I238" s="530">
        <f t="shared" si="105"/>
        <v>9.1236559139784941</v>
      </c>
      <c r="J238" s="530">
        <f t="shared" si="105"/>
        <v>7.85</v>
      </c>
      <c r="K238" s="530" t="str">
        <f t="shared" si="105"/>
        <v/>
      </c>
      <c r="L238" s="530" t="str">
        <f t="shared" si="105"/>
        <v/>
      </c>
      <c r="M238" s="530" t="str">
        <f t="shared" si="105"/>
        <v/>
      </c>
      <c r="N238" s="530">
        <f t="shared" si="105"/>
        <v>9.5560913345624741</v>
      </c>
      <c r="O238" s="530">
        <f t="shared" si="99"/>
        <v>9.5560913345624741</v>
      </c>
    </row>
    <row r="239" spans="1:15" x14ac:dyDescent="0.25">
      <c r="A239" t="s">
        <v>108</v>
      </c>
      <c r="B239" s="530">
        <f t="shared" ref="B239:N239" si="106">IF(OR(B209="",B104="",N(B104)=0),"",B209/B104)</f>
        <v>12.472374148900547</v>
      </c>
      <c r="C239" s="530">
        <f t="shared" si="106"/>
        <v>14.063272367770638</v>
      </c>
      <c r="D239" s="530">
        <f t="shared" si="106"/>
        <v>12.618327938385981</v>
      </c>
      <c r="E239" s="530">
        <f t="shared" si="106"/>
        <v>8.7866205305651679</v>
      </c>
      <c r="F239" s="530">
        <f t="shared" si="106"/>
        <v>5.7344569706440449</v>
      </c>
      <c r="G239" s="530">
        <f t="shared" si="106"/>
        <v>10.741811175337187</v>
      </c>
      <c r="H239" s="530">
        <f t="shared" si="106"/>
        <v>15.184331797235023</v>
      </c>
      <c r="I239" s="530">
        <f t="shared" si="106"/>
        <v>15.424884792626727</v>
      </c>
      <c r="J239" s="530">
        <f t="shared" si="106"/>
        <v>16.385372714486639</v>
      </c>
      <c r="K239" s="530" t="str">
        <f t="shared" si="106"/>
        <v/>
      </c>
      <c r="L239" s="530" t="str">
        <f t="shared" si="106"/>
        <v/>
      </c>
      <c r="M239" s="530" t="str">
        <f t="shared" si="106"/>
        <v/>
      </c>
      <c r="N239" s="530">
        <f t="shared" si="106"/>
        <v>12.344454294340592</v>
      </c>
      <c r="O239" s="530">
        <f t="shared" si="99"/>
        <v>12.344454294340592</v>
      </c>
    </row>
    <row r="240" spans="1:15" x14ac:dyDescent="0.25">
      <c r="A240" t="s">
        <v>110</v>
      </c>
      <c r="B240" s="530">
        <f t="shared" ref="B240:N240" si="107">IF(OR(B210="",B105="",N(B105)=0),"",B210/B105)</f>
        <v>8.7629596577337985</v>
      </c>
      <c r="C240" s="530">
        <f t="shared" si="107"/>
        <v>7.6862722306172264</v>
      </c>
      <c r="D240" s="530">
        <f t="shared" si="107"/>
        <v>11.35872332607155</v>
      </c>
      <c r="E240" s="530">
        <f t="shared" si="107"/>
        <v>6.7521019799294821</v>
      </c>
      <c r="F240" s="530">
        <f t="shared" si="107"/>
        <v>172.06451612903226</v>
      </c>
      <c r="G240" s="530">
        <f t="shared" si="107"/>
        <v>8.3508253692441361</v>
      </c>
      <c r="H240" s="530">
        <f t="shared" si="107"/>
        <v>11.246603678649299</v>
      </c>
      <c r="I240" s="530">
        <f t="shared" si="107"/>
        <v>12.184519483423715</v>
      </c>
      <c r="J240" s="530">
        <f t="shared" si="107"/>
        <v>13.18110918544194</v>
      </c>
      <c r="K240" s="530" t="str">
        <f t="shared" si="107"/>
        <v/>
      </c>
      <c r="L240" s="530" t="str">
        <f t="shared" si="107"/>
        <v/>
      </c>
      <c r="M240" s="530" t="str">
        <f t="shared" si="107"/>
        <v/>
      </c>
      <c r="N240" s="530">
        <f t="shared" si="107"/>
        <v>10.317534445752267</v>
      </c>
      <c r="O240" s="530">
        <f t="shared" si="99"/>
        <v>10.317534445752267</v>
      </c>
    </row>
    <row r="241" spans="1:15" x14ac:dyDescent="0.25">
      <c r="A241" t="s">
        <v>112</v>
      </c>
      <c r="B241" s="530">
        <f t="shared" ref="B241:N241" si="108">IF(OR(B211="",B106="",N(B106)=0),"",B211/B106)</f>
        <v>311.29032258064518</v>
      </c>
      <c r="C241" s="530">
        <f t="shared" si="108"/>
        <v>344.64285714285717</v>
      </c>
      <c r="D241" s="530">
        <f t="shared" si="108"/>
        <v>202.76497695852535</v>
      </c>
      <c r="E241" s="530">
        <f t="shared" si="108"/>
        <v>185.47619047619048</v>
      </c>
      <c r="F241" s="530">
        <f t="shared" si="108"/>
        <v>376.70250896057348</v>
      </c>
      <c r="G241" s="530">
        <f t="shared" si="108"/>
        <v>374.94553376906316</v>
      </c>
      <c r="H241" s="530">
        <f t="shared" si="108"/>
        <v>406.70461733080327</v>
      </c>
      <c r="I241" s="530">
        <f t="shared" si="108"/>
        <v>344.50769555133883</v>
      </c>
      <c r="J241" s="530">
        <f t="shared" si="108"/>
        <v>345.96949891067538</v>
      </c>
      <c r="K241" s="530" t="str">
        <f t="shared" si="108"/>
        <v/>
      </c>
      <c r="L241" s="530" t="str">
        <f t="shared" si="108"/>
        <v/>
      </c>
      <c r="M241" s="530" t="str">
        <f t="shared" si="108"/>
        <v/>
      </c>
      <c r="N241" s="530">
        <f t="shared" si="108"/>
        <v>321.09995817649519</v>
      </c>
      <c r="O241" s="530">
        <f t="shared" si="99"/>
        <v>321.09995817649519</v>
      </c>
    </row>
    <row r="242" spans="1:15" x14ac:dyDescent="0.25">
      <c r="A242" s="526" t="s">
        <v>9</v>
      </c>
      <c r="B242" s="531">
        <f t="shared" ref="B242:N242" si="109">IF(OR(B212="",B107="",N(B107)=0),"",B212/B107)</f>
        <v>14.161891614935762</v>
      </c>
      <c r="C242" s="531">
        <f t="shared" si="109"/>
        <v>14.571753417950362</v>
      </c>
      <c r="D242" s="531">
        <f t="shared" si="109"/>
        <v>11.42868097502463</v>
      </c>
      <c r="E242" s="531">
        <f t="shared" si="109"/>
        <v>9.4614195890896209</v>
      </c>
      <c r="F242" s="531">
        <f t="shared" si="109"/>
        <v>24.210572830662603</v>
      </c>
      <c r="G242" s="531">
        <f t="shared" si="109"/>
        <v>14.332336834545291</v>
      </c>
      <c r="H242" s="531">
        <f t="shared" si="109"/>
        <v>16.413358613635101</v>
      </c>
      <c r="I242" s="531">
        <f t="shared" si="109"/>
        <v>16.020383370626817</v>
      </c>
      <c r="J242" s="531">
        <f t="shared" si="109"/>
        <v>15.931262420248927</v>
      </c>
      <c r="K242" s="531" t="str">
        <f t="shared" si="109"/>
        <v/>
      </c>
      <c r="L242" s="531" t="str">
        <f t="shared" si="109"/>
        <v/>
      </c>
      <c r="M242" s="531" t="str">
        <f t="shared" si="109"/>
        <v/>
      </c>
      <c r="N242" s="531">
        <f t="shared" si="109"/>
        <v>14.454377518941902</v>
      </c>
      <c r="O242" s="531">
        <f t="shared" si="99"/>
        <v>14.454377518941902</v>
      </c>
    </row>
    <row r="243" spans="1:15" x14ac:dyDescent="0.25">
      <c r="A243" s="528" t="s">
        <v>599</v>
      </c>
      <c r="B243" s="529">
        <f t="shared" ref="B243:M243" si="110">COUNT(B232:B241)</f>
        <v>10</v>
      </c>
      <c r="C243" s="529">
        <f t="shared" si="110"/>
        <v>10</v>
      </c>
      <c r="D243" s="529">
        <f t="shared" si="110"/>
        <v>10</v>
      </c>
      <c r="E243" s="529">
        <f t="shared" si="110"/>
        <v>10</v>
      </c>
      <c r="F243" s="529">
        <f t="shared" si="110"/>
        <v>10</v>
      </c>
      <c r="G243" s="529">
        <f t="shared" si="110"/>
        <v>10</v>
      </c>
      <c r="H243" s="529">
        <f t="shared" si="110"/>
        <v>10</v>
      </c>
      <c r="I243" s="529">
        <f t="shared" si="110"/>
        <v>9</v>
      </c>
      <c r="J243" s="529">
        <f t="shared" si="110"/>
        <v>8</v>
      </c>
      <c r="K243" s="529">
        <f t="shared" si="110"/>
        <v>0</v>
      </c>
      <c r="L243" s="529">
        <f t="shared" si="110"/>
        <v>0</v>
      </c>
      <c r="M243" s="529">
        <f t="shared" si="110"/>
        <v>0</v>
      </c>
      <c r="N243" s="529">
        <f>COUNT(B242:M242)</f>
        <v>9</v>
      </c>
    </row>
    <row r="245" spans="1:15" x14ac:dyDescent="0.25">
      <c r="A245" s="525" t="s">
        <v>614</v>
      </c>
    </row>
    <row r="246" spans="1:15" ht="25.5" x14ac:dyDescent="0.25">
      <c r="A246" s="523" t="s">
        <v>36</v>
      </c>
      <c r="B246" s="523" t="s">
        <v>576</v>
      </c>
      <c r="C246" s="523" t="s">
        <v>578</v>
      </c>
      <c r="D246" s="523" t="s">
        <v>580</v>
      </c>
      <c r="E246" s="523" t="s">
        <v>582</v>
      </c>
      <c r="F246" s="523" t="s">
        <v>584</v>
      </c>
      <c r="G246" s="523" t="s">
        <v>586</v>
      </c>
      <c r="H246" s="523" t="s">
        <v>588</v>
      </c>
      <c r="I246" s="523" t="s">
        <v>7</v>
      </c>
      <c r="J246" s="523" t="s">
        <v>591</v>
      </c>
      <c r="K246" s="523" t="s">
        <v>593</v>
      </c>
      <c r="L246" s="523" t="s">
        <v>595</v>
      </c>
      <c r="M246" s="523" t="s">
        <v>596</v>
      </c>
      <c r="N246" s="523" t="s">
        <v>574</v>
      </c>
      <c r="O246" s="523" t="s">
        <v>598</v>
      </c>
    </row>
    <row r="247" spans="1:15" x14ac:dyDescent="0.25">
      <c r="A247" t="s">
        <v>85</v>
      </c>
      <c r="B247" s="532">
        <f t="shared" ref="B247:N247" si="111">IF(OR(B37="",B22="",N(B22)=0),"",B37/B22)</f>
        <v>12.391071428571429</v>
      </c>
      <c r="C247" s="532">
        <f t="shared" si="111"/>
        <v>13.642741935483871</v>
      </c>
      <c r="D247" s="532">
        <f t="shared" si="111"/>
        <v>15.656666666666666</v>
      </c>
      <c r="E247" s="532">
        <f t="shared" si="111"/>
        <v>14.739041095890411</v>
      </c>
      <c r="F247" s="532">
        <f t="shared" si="111"/>
        <v>17.81111111111111</v>
      </c>
      <c r="G247" s="532">
        <f t="shared" si="111"/>
        <v>14.794642857142858</v>
      </c>
      <c r="H247" s="532">
        <f t="shared" si="111"/>
        <v>15.443333333333333</v>
      </c>
      <c r="I247" s="532">
        <f t="shared" si="111"/>
        <v>16.400675675675675</v>
      </c>
      <c r="J247" s="532" t="str">
        <f t="shared" si="111"/>
        <v/>
      </c>
      <c r="K247" s="532" t="str">
        <f t="shared" si="111"/>
        <v/>
      </c>
      <c r="L247" s="532" t="str">
        <f t="shared" si="111"/>
        <v/>
      </c>
      <c r="M247" s="532" t="str">
        <f t="shared" si="111"/>
        <v/>
      </c>
      <c r="N247" s="532">
        <f t="shared" si="111"/>
        <v>15.068525519848771</v>
      </c>
      <c r="O247" s="532">
        <f t="shared" ref="O247:O257" si="112">N247</f>
        <v>15.068525519848771</v>
      </c>
    </row>
    <row r="248" spans="1:15" x14ac:dyDescent="0.25">
      <c r="A248" t="s">
        <v>91</v>
      </c>
      <c r="B248" s="532">
        <f t="shared" ref="B248:N248" si="113">IF(OR(B38="",B23="",N(B23)=0),"",B38/B23)</f>
        <v>10.864473684210527</v>
      </c>
      <c r="C248" s="532">
        <f t="shared" si="113"/>
        <v>10.668500183351668</v>
      </c>
      <c r="D248" s="532">
        <f t="shared" si="113"/>
        <v>8.4174852652259329</v>
      </c>
      <c r="E248" s="532">
        <f t="shared" si="113"/>
        <v>10.239652069586082</v>
      </c>
      <c r="F248" s="532">
        <f t="shared" si="113"/>
        <v>10.231810490693739</v>
      </c>
      <c r="G248" s="532">
        <f t="shared" si="113"/>
        <v>10.36869340232859</v>
      </c>
      <c r="H248" s="532">
        <f t="shared" si="113"/>
        <v>10.625409836065574</v>
      </c>
      <c r="I248" s="532">
        <f t="shared" si="113"/>
        <v>10.706230690010299</v>
      </c>
      <c r="J248" s="532">
        <f t="shared" si="113"/>
        <v>11.415445026178011</v>
      </c>
      <c r="K248" s="532" t="str">
        <f t="shared" si="113"/>
        <v/>
      </c>
      <c r="L248" s="532" t="str">
        <f t="shared" si="113"/>
        <v/>
      </c>
      <c r="M248" s="532" t="str">
        <f t="shared" si="113"/>
        <v/>
      </c>
      <c r="N248" s="532">
        <f t="shared" si="113"/>
        <v>10.422782596020697</v>
      </c>
      <c r="O248" s="532">
        <f t="shared" si="112"/>
        <v>10.422782596020697</v>
      </c>
    </row>
    <row r="249" spans="1:15" x14ac:dyDescent="0.25">
      <c r="A249" t="s">
        <v>93</v>
      </c>
      <c r="B249" s="532">
        <f t="shared" ref="B249:N249" si="114">IF(OR(B39="",B24="",N(B24)=0),"",B39/B24)</f>
        <v>14.244912790697674</v>
      </c>
      <c r="C249" s="532">
        <f t="shared" si="114"/>
        <v>16.687254901960785</v>
      </c>
      <c r="D249" s="532">
        <f t="shared" si="114"/>
        <v>16.925247902364607</v>
      </c>
      <c r="E249" s="532">
        <f t="shared" si="114"/>
        <v>12.62809917355372</v>
      </c>
      <c r="F249" s="532">
        <f t="shared" si="114"/>
        <v>30.248520710059172</v>
      </c>
      <c r="G249" s="532">
        <f t="shared" si="114"/>
        <v>9.19</v>
      </c>
      <c r="H249" s="532">
        <f t="shared" si="114"/>
        <v>12.277252502780868</v>
      </c>
      <c r="I249" s="532">
        <f t="shared" si="114"/>
        <v>13.182467161621931</v>
      </c>
      <c r="J249" s="532" t="str">
        <f t="shared" si="114"/>
        <v/>
      </c>
      <c r="K249" s="532" t="str">
        <f t="shared" si="114"/>
        <v/>
      </c>
      <c r="L249" s="532" t="str">
        <f t="shared" si="114"/>
        <v/>
      </c>
      <c r="M249" s="532" t="str">
        <f t="shared" si="114"/>
        <v/>
      </c>
      <c r="N249" s="532">
        <f t="shared" si="114"/>
        <v>13.288531263914509</v>
      </c>
      <c r="O249" s="532">
        <f t="shared" si="112"/>
        <v>13.288531263914509</v>
      </c>
    </row>
    <row r="250" spans="1:15" x14ac:dyDescent="0.25">
      <c r="A250" t="s">
        <v>98</v>
      </c>
      <c r="B250" s="532">
        <f t="shared" ref="B250:N250" si="115">IF(OR(B40="",B25="",N(B25)=0),"",B40/B25)</f>
        <v>7.3361344537815123</v>
      </c>
      <c r="C250" s="532">
        <f t="shared" si="115"/>
        <v>7.361440075793463</v>
      </c>
      <c r="D250" s="532">
        <f t="shared" si="115"/>
        <v>7.3001392757660168</v>
      </c>
      <c r="E250" s="532">
        <f t="shared" si="115"/>
        <v>6.2972403623341053</v>
      </c>
      <c r="F250" s="532">
        <f t="shared" si="115"/>
        <v>6.3422624783195225</v>
      </c>
      <c r="G250" s="532">
        <f t="shared" si="115"/>
        <v>6.8930488644184447</v>
      </c>
      <c r="H250" s="532">
        <f t="shared" si="115"/>
        <v>6.916666666666667</v>
      </c>
      <c r="I250" s="532">
        <f t="shared" si="115"/>
        <v>6.9475308641975309</v>
      </c>
      <c r="J250" s="532" t="str">
        <f t="shared" si="115"/>
        <v/>
      </c>
      <c r="K250" s="532" t="str">
        <f t="shared" si="115"/>
        <v/>
      </c>
      <c r="L250" s="532" t="str">
        <f t="shared" si="115"/>
        <v/>
      </c>
      <c r="M250" s="532" t="str">
        <f t="shared" si="115"/>
        <v/>
      </c>
      <c r="N250" s="532">
        <f t="shared" si="115"/>
        <v>6.8326268172636491</v>
      </c>
      <c r="O250" s="532">
        <f t="shared" si="112"/>
        <v>6.8326268172636491</v>
      </c>
    </row>
    <row r="251" spans="1:15" x14ac:dyDescent="0.25">
      <c r="A251" t="s">
        <v>100</v>
      </c>
      <c r="B251" s="532" t="str">
        <f t="shared" ref="B251:N251" si="116">IF(OR(B41="",B26="",N(B26)=0),"",B41/B26)</f>
        <v/>
      </c>
      <c r="C251" s="532" t="str">
        <f t="shared" si="116"/>
        <v/>
      </c>
      <c r="D251" s="532" t="str">
        <f t="shared" si="116"/>
        <v/>
      </c>
      <c r="E251" s="532" t="str">
        <f t="shared" si="116"/>
        <v/>
      </c>
      <c r="F251" s="532" t="str">
        <f t="shared" si="116"/>
        <v/>
      </c>
      <c r="G251" s="532">
        <f t="shared" si="116"/>
        <v>1.8419486798066196</v>
      </c>
      <c r="H251" s="532">
        <f t="shared" si="116"/>
        <v>1.3347780600807053</v>
      </c>
      <c r="I251" s="532">
        <f t="shared" si="116"/>
        <v>0.85421052631578942</v>
      </c>
      <c r="J251" s="532" t="str">
        <f t="shared" si="116"/>
        <v/>
      </c>
      <c r="K251" s="532" t="str">
        <f t="shared" si="116"/>
        <v/>
      </c>
      <c r="L251" s="532" t="str">
        <f t="shared" si="116"/>
        <v/>
      </c>
      <c r="M251" s="532" t="str">
        <f t="shared" si="116"/>
        <v/>
      </c>
      <c r="N251" s="532">
        <f t="shared" si="116"/>
        <v>1.2877624688596268</v>
      </c>
      <c r="O251" s="532">
        <f t="shared" si="112"/>
        <v>1.2877624688596268</v>
      </c>
    </row>
    <row r="252" spans="1:15" x14ac:dyDescent="0.25">
      <c r="A252" t="s">
        <v>224</v>
      </c>
      <c r="B252" s="532">
        <f t="shared" ref="B252:N252" si="117">IF(OR(B42="",B27="",N(B27)=0),"",B42/B27)</f>
        <v>11.676883780332057</v>
      </c>
      <c r="C252" s="532">
        <f t="shared" si="117"/>
        <v>11.38160469667319</v>
      </c>
      <c r="D252" s="532">
        <f t="shared" si="117"/>
        <v>11.407511737089202</v>
      </c>
      <c r="E252" s="532">
        <f t="shared" si="117"/>
        <v>11.631043256997456</v>
      </c>
      <c r="F252" s="532">
        <f t="shared" si="117"/>
        <v>11.576271186440678</v>
      </c>
      <c r="G252" s="532">
        <f t="shared" si="117"/>
        <v>11.412017167381974</v>
      </c>
      <c r="H252" s="532">
        <f t="shared" si="117"/>
        <v>11.388461538461538</v>
      </c>
      <c r="I252" s="532">
        <f t="shared" si="117"/>
        <v>11.310526315789474</v>
      </c>
      <c r="J252" s="532">
        <f t="shared" si="117"/>
        <v>11.405223251895535</v>
      </c>
      <c r="K252" s="532" t="str">
        <f t="shared" si="117"/>
        <v/>
      </c>
      <c r="L252" s="532" t="str">
        <f t="shared" si="117"/>
        <v/>
      </c>
      <c r="M252" s="532" t="str">
        <f t="shared" si="117"/>
        <v/>
      </c>
      <c r="N252" s="532">
        <f t="shared" si="117"/>
        <v>11.44006980041444</v>
      </c>
      <c r="O252" s="532">
        <f t="shared" si="112"/>
        <v>11.44006980041444</v>
      </c>
    </row>
    <row r="253" spans="1:15" x14ac:dyDescent="0.25">
      <c r="A253" t="s">
        <v>106</v>
      </c>
      <c r="B253" s="532">
        <f t="shared" ref="B253:N253" si="118">IF(OR(B43="",B28="",N(B28)=0),"",B43/B28)</f>
        <v>11.787506673785371</v>
      </c>
      <c r="C253" s="532">
        <f t="shared" si="118"/>
        <v>11.326000879894412</v>
      </c>
      <c r="D253" s="532">
        <f t="shared" si="118"/>
        <v>11.592364532019705</v>
      </c>
      <c r="E253" s="532">
        <f t="shared" si="118"/>
        <v>11.372121966397014</v>
      </c>
      <c r="F253" s="532">
        <f t="shared" si="118"/>
        <v>11.284262180161234</v>
      </c>
      <c r="G253" s="532">
        <f t="shared" si="118"/>
        <v>11.49008059516429</v>
      </c>
      <c r="H253" s="532">
        <f t="shared" si="118"/>
        <v>11.437003058103976</v>
      </c>
      <c r="I253" s="532">
        <f t="shared" si="118"/>
        <v>11.454931417374265</v>
      </c>
      <c r="J253" s="532">
        <f t="shared" si="118"/>
        <v>11.333819667347534</v>
      </c>
      <c r="K253" s="532" t="str">
        <f t="shared" si="118"/>
        <v/>
      </c>
      <c r="L253" s="532" t="str">
        <f t="shared" si="118"/>
        <v/>
      </c>
      <c r="M253" s="532" t="str">
        <f t="shared" si="118"/>
        <v/>
      </c>
      <c r="N253" s="532">
        <f t="shared" si="118"/>
        <v>11.437426854958259</v>
      </c>
      <c r="O253" s="532">
        <f t="shared" si="112"/>
        <v>11.437426854958259</v>
      </c>
    </row>
    <row r="254" spans="1:15" x14ac:dyDescent="0.25">
      <c r="A254" t="s">
        <v>108</v>
      </c>
      <c r="B254" s="532">
        <f t="shared" ref="B254:N254" si="119">IF(OR(B44="",B29="",N(B29)=0),"",B44/B29)</f>
        <v>17.829481397970689</v>
      </c>
      <c r="C254" s="532">
        <f t="shared" si="119"/>
        <v>15.598922726331054</v>
      </c>
      <c r="D254" s="532">
        <f t="shared" si="119"/>
        <v>15.457333857648447</v>
      </c>
      <c r="E254" s="532">
        <f t="shared" si="119"/>
        <v>14.839285714285714</v>
      </c>
      <c r="F254" s="532">
        <f t="shared" si="119"/>
        <v>14.190256291849458</v>
      </c>
      <c r="G254" s="532">
        <f t="shared" si="119"/>
        <v>14.555092109836636</v>
      </c>
      <c r="H254" s="532">
        <f t="shared" si="119"/>
        <v>13.329411764705883</v>
      </c>
      <c r="I254" s="532">
        <f t="shared" si="119"/>
        <v>14.422979156075241</v>
      </c>
      <c r="J254" s="532" t="str">
        <f t="shared" si="119"/>
        <v/>
      </c>
      <c r="K254" s="532" t="str">
        <f t="shared" si="119"/>
        <v/>
      </c>
      <c r="L254" s="532" t="str">
        <f t="shared" si="119"/>
        <v/>
      </c>
      <c r="M254" s="532" t="str">
        <f t="shared" si="119"/>
        <v/>
      </c>
      <c r="N254" s="532">
        <f t="shared" si="119"/>
        <v>14.820886690179185</v>
      </c>
      <c r="O254" s="532">
        <f t="shared" si="112"/>
        <v>14.820886690179185</v>
      </c>
    </row>
    <row r="255" spans="1:15" x14ac:dyDescent="0.25">
      <c r="A255" t="s">
        <v>110</v>
      </c>
      <c r="B255" s="532">
        <f t="shared" ref="B255:N255" si="120">IF(OR(B45="",B30="",N(B30)=0),"",B45/B30)</f>
        <v>12.618501529051988</v>
      </c>
      <c r="C255" s="532">
        <f t="shared" si="120"/>
        <v>12.315919629057188</v>
      </c>
      <c r="D255" s="532">
        <f t="shared" si="120"/>
        <v>12.028767426421775</v>
      </c>
      <c r="E255" s="532">
        <f t="shared" si="120"/>
        <v>12.027827648114901</v>
      </c>
      <c r="F255" s="532">
        <f t="shared" si="120"/>
        <v>10.722191477587161</v>
      </c>
      <c r="G255" s="532">
        <f t="shared" si="120"/>
        <v>11.795799505824215</v>
      </c>
      <c r="H255" s="532">
        <f t="shared" si="120"/>
        <v>13.061997703788748</v>
      </c>
      <c r="I255" s="532">
        <f t="shared" si="120"/>
        <v>12.062380952380952</v>
      </c>
      <c r="J255" s="532">
        <f t="shared" si="120"/>
        <v>12.289414049854322</v>
      </c>
      <c r="K255" s="532" t="str">
        <f t="shared" si="120"/>
        <v/>
      </c>
      <c r="L255" s="532" t="str">
        <f t="shared" si="120"/>
        <v/>
      </c>
      <c r="M255" s="532" t="str">
        <f t="shared" si="120"/>
        <v/>
      </c>
      <c r="N255" s="532">
        <f t="shared" si="120"/>
        <v>12.104448267387564</v>
      </c>
      <c r="O255" s="532">
        <f t="shared" si="112"/>
        <v>12.104448267387564</v>
      </c>
    </row>
    <row r="256" spans="1:15" x14ac:dyDescent="0.25">
      <c r="A256" t="s">
        <v>112</v>
      </c>
      <c r="B256" s="532">
        <f t="shared" ref="B256:N256" si="121">IF(OR(B46="",B31="",N(B31)=0),"",B46/B31)</f>
        <v>11.910902882553799</v>
      </c>
      <c r="C256" s="532">
        <f t="shared" si="121"/>
        <v>11.913425345043915</v>
      </c>
      <c r="D256" s="532">
        <f t="shared" si="121"/>
        <v>1.4280631004625786</v>
      </c>
      <c r="E256" s="532">
        <f t="shared" si="121"/>
        <v>7.1369909502262443</v>
      </c>
      <c r="F256" s="532">
        <f t="shared" si="121"/>
        <v>24.156671508611744</v>
      </c>
      <c r="G256" s="532">
        <f t="shared" si="121"/>
        <v>15.93252744541754</v>
      </c>
      <c r="H256" s="532">
        <f t="shared" si="121"/>
        <v>13.36943156078093</v>
      </c>
      <c r="I256" s="532">
        <f t="shared" si="121"/>
        <v>13.056922285126094</v>
      </c>
      <c r="J256" s="532">
        <f t="shared" si="121"/>
        <v>13.217682663207954</v>
      </c>
      <c r="K256" s="532" t="str">
        <f t="shared" si="121"/>
        <v/>
      </c>
      <c r="L256" s="532" t="str">
        <f t="shared" si="121"/>
        <v/>
      </c>
      <c r="M256" s="532" t="str">
        <f t="shared" si="121"/>
        <v/>
      </c>
      <c r="N256" s="532">
        <f t="shared" si="121"/>
        <v>11.884781570780616</v>
      </c>
      <c r="O256" s="532">
        <f t="shared" si="112"/>
        <v>11.884781570780616</v>
      </c>
    </row>
    <row r="257" spans="1:15" x14ac:dyDescent="0.25">
      <c r="A257" s="526" t="s">
        <v>9</v>
      </c>
      <c r="B257" s="533">
        <f t="shared" ref="B257:N257" si="122">IF(OR(B47="",B32="",N(B32)=0),"",B47/B32)</f>
        <v>12.385751362574617</v>
      </c>
      <c r="C257" s="533">
        <f t="shared" si="122"/>
        <v>12.633842377321972</v>
      </c>
      <c r="D257" s="533">
        <f t="shared" si="122"/>
        <v>10.843772992593319</v>
      </c>
      <c r="E257" s="533">
        <f t="shared" si="122"/>
        <v>11.543970510795155</v>
      </c>
      <c r="F257" s="533">
        <f t="shared" si="122"/>
        <v>14.606434819455794</v>
      </c>
      <c r="G257" s="533">
        <f t="shared" si="122"/>
        <v>11.789721074380166</v>
      </c>
      <c r="H257" s="533">
        <f t="shared" si="122"/>
        <v>11.545175910528547</v>
      </c>
      <c r="I257" s="533">
        <f t="shared" si="122"/>
        <v>11.613025452815442</v>
      </c>
      <c r="J257" s="533">
        <f t="shared" si="122"/>
        <v>12.333959085439229</v>
      </c>
      <c r="K257" s="533" t="str">
        <f t="shared" si="122"/>
        <v/>
      </c>
      <c r="L257" s="533" t="str">
        <f t="shared" si="122"/>
        <v/>
      </c>
      <c r="M257" s="533" t="str">
        <f t="shared" si="122"/>
        <v/>
      </c>
      <c r="N257" s="533">
        <f t="shared" si="122"/>
        <v>12.00769878773378</v>
      </c>
      <c r="O257" s="533">
        <f t="shared" si="112"/>
        <v>12.00769878773378</v>
      </c>
    </row>
    <row r="258" spans="1:15" x14ac:dyDescent="0.25">
      <c r="A258" s="528" t="s">
        <v>599</v>
      </c>
      <c r="B258" s="529">
        <f t="shared" ref="B258:M258" si="123">COUNT(B247:B256)</f>
        <v>9</v>
      </c>
      <c r="C258" s="529">
        <f t="shared" si="123"/>
        <v>9</v>
      </c>
      <c r="D258" s="529">
        <f t="shared" si="123"/>
        <v>9</v>
      </c>
      <c r="E258" s="529">
        <f t="shared" si="123"/>
        <v>9</v>
      </c>
      <c r="F258" s="529">
        <f t="shared" si="123"/>
        <v>9</v>
      </c>
      <c r="G258" s="529">
        <f t="shared" si="123"/>
        <v>10</v>
      </c>
      <c r="H258" s="529">
        <f t="shared" si="123"/>
        <v>10</v>
      </c>
      <c r="I258" s="529">
        <f t="shared" si="123"/>
        <v>10</v>
      </c>
      <c r="J258" s="529">
        <f t="shared" si="123"/>
        <v>5</v>
      </c>
      <c r="K258" s="529">
        <f t="shared" si="123"/>
        <v>0</v>
      </c>
      <c r="L258" s="529">
        <f t="shared" si="123"/>
        <v>0</v>
      </c>
      <c r="M258" s="529">
        <f t="shared" si="123"/>
        <v>0</v>
      </c>
      <c r="N258" s="529">
        <f>COUNT(B257:M257)</f>
        <v>9</v>
      </c>
    </row>
    <row r="260" spans="1:15" x14ac:dyDescent="0.25">
      <c r="A260" s="525" t="s">
        <v>615</v>
      </c>
    </row>
    <row r="261" spans="1:15" ht="25.5" x14ac:dyDescent="0.25">
      <c r="A261" s="523" t="s">
        <v>36</v>
      </c>
      <c r="B261" s="523" t="s">
        <v>576</v>
      </c>
      <c r="C261" s="523" t="s">
        <v>578</v>
      </c>
      <c r="D261" s="523" t="s">
        <v>580</v>
      </c>
      <c r="E261" s="523" t="s">
        <v>582</v>
      </c>
      <c r="F261" s="523" t="s">
        <v>584</v>
      </c>
      <c r="G261" s="523" t="s">
        <v>586</v>
      </c>
      <c r="H261" s="523" t="s">
        <v>588</v>
      </c>
      <c r="I261" s="523" t="s">
        <v>7</v>
      </c>
      <c r="J261" s="523" t="s">
        <v>591</v>
      </c>
      <c r="K261" s="523" t="s">
        <v>593</v>
      </c>
      <c r="L261" s="523" t="s">
        <v>595</v>
      </c>
      <c r="M261" s="523" t="s">
        <v>596</v>
      </c>
      <c r="N261" s="523" t="s">
        <v>574</v>
      </c>
      <c r="O261" s="523" t="s">
        <v>598</v>
      </c>
    </row>
    <row r="262" spans="1:15" x14ac:dyDescent="0.25">
      <c r="A262" t="s">
        <v>85</v>
      </c>
      <c r="B262" s="530">
        <f t="shared" ref="B262:N262" si="124">IF(OR(B217="",B112="",N(B112)=0),"",B217/B112)</f>
        <v>8.8119590873328093</v>
      </c>
      <c r="C262" s="530">
        <f t="shared" si="124"/>
        <v>9.9919419822723619</v>
      </c>
      <c r="D262" s="530">
        <f t="shared" si="124"/>
        <v>9.67741935483871</v>
      </c>
      <c r="E262" s="530">
        <f t="shared" si="124"/>
        <v>11.774193548387096</v>
      </c>
      <c r="F262" s="530">
        <f t="shared" si="124"/>
        <v>219.51219512195121</v>
      </c>
      <c r="G262" s="530">
        <f t="shared" si="124"/>
        <v>14.201183431952662</v>
      </c>
      <c r="H262" s="530">
        <f t="shared" si="124"/>
        <v>12.54180602006689</v>
      </c>
      <c r="I262" s="530">
        <f t="shared" si="124"/>
        <v>12.30257689110557</v>
      </c>
      <c r="J262" s="530" t="str">
        <f t="shared" si="124"/>
        <v/>
      </c>
      <c r="K262" s="530" t="str">
        <f t="shared" si="124"/>
        <v/>
      </c>
      <c r="L262" s="530" t="str">
        <f t="shared" si="124"/>
        <v/>
      </c>
      <c r="M262" s="530" t="str">
        <f t="shared" si="124"/>
        <v/>
      </c>
      <c r="N262" s="530">
        <f t="shared" si="124"/>
        <v>12.280905397562391</v>
      </c>
      <c r="O262" s="530">
        <f t="shared" ref="O262:O272" si="125">N262</f>
        <v>12.280905397562391</v>
      </c>
    </row>
    <row r="263" spans="1:15" x14ac:dyDescent="0.25">
      <c r="A263" t="s">
        <v>91</v>
      </c>
      <c r="B263" s="530">
        <f t="shared" ref="B263:N263" si="126">IF(OR(B218="",B113="",N(B113)=0),"",B218/B113)</f>
        <v>2.2574257425742572</v>
      </c>
      <c r="C263" s="530">
        <f t="shared" si="126"/>
        <v>2.7</v>
      </c>
      <c r="D263" s="530">
        <f t="shared" si="126"/>
        <v>3.0237623762376238</v>
      </c>
      <c r="E263" s="530">
        <f t="shared" si="126"/>
        <v>3.3075396825396823</v>
      </c>
      <c r="F263" s="530">
        <f t="shared" si="126"/>
        <v>118.2</v>
      </c>
      <c r="G263" s="530">
        <f t="shared" si="126"/>
        <v>2.2757605495583908</v>
      </c>
      <c r="H263" s="530">
        <f t="shared" si="126"/>
        <v>3.5882352941176472</v>
      </c>
      <c r="I263" s="530">
        <f t="shared" si="126"/>
        <v>3.8078431372549018</v>
      </c>
      <c r="J263" s="530">
        <f t="shared" si="126"/>
        <v>3.7450980392156863</v>
      </c>
      <c r="K263" s="530" t="str">
        <f t="shared" si="126"/>
        <v/>
      </c>
      <c r="L263" s="530" t="str">
        <f t="shared" si="126"/>
        <v/>
      </c>
      <c r="M263" s="530" t="str">
        <f t="shared" si="126"/>
        <v/>
      </c>
      <c r="N263" s="530">
        <f t="shared" si="126"/>
        <v>3.3724960058989799</v>
      </c>
      <c r="O263" s="530">
        <f t="shared" si="125"/>
        <v>3.3724960058989799</v>
      </c>
    </row>
    <row r="264" spans="1:15" x14ac:dyDescent="0.25">
      <c r="A264" t="s">
        <v>93</v>
      </c>
      <c r="B264" s="530">
        <f t="shared" ref="B264:N264" si="127">IF(OR(B219="",B114="",N(B114)=0),"",B219/B114)</f>
        <v>1.6966707768187423</v>
      </c>
      <c r="C264" s="530">
        <f t="shared" si="127"/>
        <v>1.2577065351418002</v>
      </c>
      <c r="D264" s="530">
        <f t="shared" si="127"/>
        <v>1.7341269841269842</v>
      </c>
      <c r="E264" s="530">
        <f t="shared" si="127"/>
        <v>2.8809523809523809</v>
      </c>
      <c r="F264" s="530">
        <f t="shared" si="127"/>
        <v>0.44708994708994709</v>
      </c>
      <c r="G264" s="530">
        <f t="shared" si="127"/>
        <v>3.1746031746031744</v>
      </c>
      <c r="H264" s="530">
        <f t="shared" si="127"/>
        <v>4.3535108958837769</v>
      </c>
      <c r="I264" s="530" t="str">
        <f t="shared" si="127"/>
        <v/>
      </c>
      <c r="J264" s="530" t="str">
        <f t="shared" si="127"/>
        <v/>
      </c>
      <c r="K264" s="530" t="str">
        <f t="shared" si="127"/>
        <v/>
      </c>
      <c r="L264" s="530" t="str">
        <f t="shared" si="127"/>
        <v/>
      </c>
      <c r="M264" s="530" t="str">
        <f t="shared" si="127"/>
        <v/>
      </c>
      <c r="N264" s="530">
        <f t="shared" si="127"/>
        <v>2.2330043859649122</v>
      </c>
      <c r="O264" s="530">
        <f t="shared" si="125"/>
        <v>2.2330043859649122</v>
      </c>
    </row>
    <row r="265" spans="1:15" x14ac:dyDescent="0.25">
      <c r="A265" t="s">
        <v>98</v>
      </c>
      <c r="B265" s="530">
        <f t="shared" ref="B265:N265" si="128">IF(OR(B220="",B115="",N(B115)=0),"",B220/B115)</f>
        <v>4.4772277227722777</v>
      </c>
      <c r="C265" s="530">
        <f t="shared" si="128"/>
        <v>4.1801980198019804</v>
      </c>
      <c r="D265" s="530">
        <f t="shared" si="128"/>
        <v>5.6871287128712869</v>
      </c>
      <c r="E265" s="530">
        <f t="shared" si="128"/>
        <v>9.4</v>
      </c>
      <c r="F265" s="530">
        <f t="shared" si="128"/>
        <v>207.56</v>
      </c>
      <c r="G265" s="530">
        <f t="shared" si="128"/>
        <v>13.70754716981132</v>
      </c>
      <c r="H265" s="530">
        <f t="shared" si="128"/>
        <v>11.026415094339622</v>
      </c>
      <c r="I265" s="530">
        <f t="shared" si="128"/>
        <v>9.1698113207547163</v>
      </c>
      <c r="J265" s="530" t="str">
        <f t="shared" si="128"/>
        <v/>
      </c>
      <c r="K265" s="530" t="str">
        <f t="shared" si="128"/>
        <v/>
      </c>
      <c r="L265" s="530" t="str">
        <f t="shared" si="128"/>
        <v/>
      </c>
      <c r="M265" s="530" t="str">
        <f t="shared" si="128"/>
        <v/>
      </c>
      <c r="N265" s="530">
        <f t="shared" si="128"/>
        <v>9.6696011004126543</v>
      </c>
      <c r="O265" s="530">
        <f t="shared" si="125"/>
        <v>9.6696011004126543</v>
      </c>
    </row>
    <row r="266" spans="1:15" x14ac:dyDescent="0.25">
      <c r="A266" t="s">
        <v>100</v>
      </c>
      <c r="B266" s="530">
        <f t="shared" ref="B266:N266" si="129">IF(OR(B221="",B116="",N(B116)=0),"",B221/B116)</f>
        <v>0</v>
      </c>
      <c r="C266" s="530">
        <f t="shared" si="129"/>
        <v>0</v>
      </c>
      <c r="D266" s="530">
        <f t="shared" si="129"/>
        <v>0</v>
      </c>
      <c r="E266" s="530">
        <f t="shared" si="129"/>
        <v>0</v>
      </c>
      <c r="F266" s="530">
        <f t="shared" si="129"/>
        <v>0</v>
      </c>
      <c r="G266" s="530">
        <f t="shared" si="129"/>
        <v>14.856353591160222</v>
      </c>
      <c r="H266" s="530">
        <f t="shared" si="129"/>
        <v>18.083783783783783</v>
      </c>
      <c r="I266" s="530">
        <f t="shared" si="129"/>
        <v>20.54054054054054</v>
      </c>
      <c r="J266" s="530" t="str">
        <f t="shared" si="129"/>
        <v/>
      </c>
      <c r="K266" s="530" t="str">
        <f t="shared" si="129"/>
        <v/>
      </c>
      <c r="L266" s="530" t="str">
        <f t="shared" si="129"/>
        <v/>
      </c>
      <c r="M266" s="530" t="str">
        <f t="shared" si="129"/>
        <v/>
      </c>
      <c r="N266" s="530">
        <f t="shared" si="129"/>
        <v>6.9526334393778724</v>
      </c>
      <c r="O266" s="530">
        <f t="shared" si="125"/>
        <v>6.9526334393778724</v>
      </c>
    </row>
    <row r="267" spans="1:15" x14ac:dyDescent="0.25">
      <c r="A267" t="s">
        <v>224</v>
      </c>
      <c r="B267" s="530">
        <f t="shared" ref="B267:N267" si="130">IF(OR(B222="",B117="",N(B117)=0),"",B222/B117)</f>
        <v>2.61</v>
      </c>
      <c r="C267" s="530">
        <f t="shared" si="130"/>
        <v>3.4066666666666667</v>
      </c>
      <c r="D267" s="530">
        <f t="shared" si="130"/>
        <v>3.55</v>
      </c>
      <c r="E267" s="530">
        <f t="shared" si="130"/>
        <v>2.62</v>
      </c>
      <c r="F267" s="530">
        <f t="shared" si="130"/>
        <v>53.1</v>
      </c>
      <c r="G267" s="530">
        <f t="shared" si="130"/>
        <v>4.0451388888888893</v>
      </c>
      <c r="H267" s="530">
        <f t="shared" si="130"/>
        <v>4.5138888888888893</v>
      </c>
      <c r="I267" s="530">
        <f t="shared" si="130"/>
        <v>4.6180555555555554</v>
      </c>
      <c r="J267" s="530">
        <f t="shared" si="130"/>
        <v>4.1215277777777777</v>
      </c>
      <c r="K267" s="530" t="str">
        <f t="shared" si="130"/>
        <v/>
      </c>
      <c r="L267" s="530" t="str">
        <f t="shared" si="130"/>
        <v/>
      </c>
      <c r="M267" s="530" t="str">
        <f t="shared" si="130"/>
        <v/>
      </c>
      <c r="N267" s="530">
        <f t="shared" si="130"/>
        <v>3.8818797629127859</v>
      </c>
      <c r="O267" s="530">
        <f t="shared" si="125"/>
        <v>3.8818797629127859</v>
      </c>
    </row>
    <row r="268" spans="1:15" x14ac:dyDescent="0.25">
      <c r="A268" t="s">
        <v>106</v>
      </c>
      <c r="B268" s="530">
        <f t="shared" ref="B268:N268" si="131">IF(OR(B223="",B118="",N(B118)=0),"",B223/B118)</f>
        <v>3.344642857142857</v>
      </c>
      <c r="C268" s="530">
        <f t="shared" si="131"/>
        <v>4.058928571428571</v>
      </c>
      <c r="D268" s="530">
        <f t="shared" si="131"/>
        <v>4.3499999999999996</v>
      </c>
      <c r="E268" s="530">
        <f t="shared" si="131"/>
        <v>5.7392857142857139</v>
      </c>
      <c r="F268" s="530">
        <f t="shared" si="131"/>
        <v>142.65</v>
      </c>
      <c r="G268" s="530">
        <f t="shared" si="131"/>
        <v>5.3766666666666669</v>
      </c>
      <c r="H268" s="530">
        <f t="shared" si="131"/>
        <v>5.45</v>
      </c>
      <c r="I268" s="530">
        <f t="shared" si="131"/>
        <v>5.1033333333333335</v>
      </c>
      <c r="J268" s="530">
        <f t="shared" si="131"/>
        <v>5.7116666666666669</v>
      </c>
      <c r="K268" s="530" t="str">
        <f t="shared" si="131"/>
        <v/>
      </c>
      <c r="L268" s="530" t="str">
        <f t="shared" si="131"/>
        <v/>
      </c>
      <c r="M268" s="530" t="str">
        <f t="shared" si="131"/>
        <v/>
      </c>
      <c r="N268" s="530">
        <f t="shared" si="131"/>
        <v>5.5008583690987125</v>
      </c>
      <c r="O268" s="530">
        <f t="shared" si="125"/>
        <v>5.5008583690987125</v>
      </c>
    </row>
    <row r="269" spans="1:15" x14ac:dyDescent="0.25">
      <c r="A269" t="s">
        <v>108</v>
      </c>
      <c r="B269" s="530">
        <f t="shared" ref="B269:N269" si="132">IF(OR(B224="",B119="",N(B119)=0),"",B224/B119)</f>
        <v>2.4553633217993078</v>
      </c>
      <c r="C269" s="530">
        <f t="shared" si="132"/>
        <v>3.3404844290657438</v>
      </c>
      <c r="D269" s="530">
        <f t="shared" si="132"/>
        <v>3.5197231833910037</v>
      </c>
      <c r="E269" s="530">
        <f t="shared" si="132"/>
        <v>3.6816608996539792</v>
      </c>
      <c r="F269" s="530">
        <f t="shared" si="132"/>
        <v>2.9972318339100346</v>
      </c>
      <c r="G269" s="530">
        <f t="shared" si="132"/>
        <v>4.1575144508670521</v>
      </c>
      <c r="H269" s="530">
        <f t="shared" si="132"/>
        <v>5.3428571428571425</v>
      </c>
      <c r="I269" s="530">
        <f t="shared" si="132"/>
        <v>4.2149999999999999</v>
      </c>
      <c r="J269" s="530" t="str">
        <f t="shared" si="132"/>
        <v/>
      </c>
      <c r="K269" s="530" t="str">
        <f t="shared" si="132"/>
        <v/>
      </c>
      <c r="L269" s="530" t="str">
        <f t="shared" si="132"/>
        <v/>
      </c>
      <c r="M269" s="530" t="str">
        <f t="shared" si="132"/>
        <v/>
      </c>
      <c r="N269" s="530">
        <f t="shared" si="132"/>
        <v>3.7029538083968796</v>
      </c>
      <c r="O269" s="530">
        <f t="shared" si="125"/>
        <v>3.7029538083968796</v>
      </c>
    </row>
    <row r="270" spans="1:15" x14ac:dyDescent="0.25">
      <c r="A270" t="s">
        <v>110</v>
      </c>
      <c r="B270" s="530">
        <f t="shared" ref="B270:N270" si="133">IF(OR(B225="",B120="",N(B120)=0),"",B225/B120)</f>
        <v>2.1285598047192842</v>
      </c>
      <c r="C270" s="530">
        <f t="shared" si="133"/>
        <v>2.6322213181448331</v>
      </c>
      <c r="D270" s="530">
        <f t="shared" si="133"/>
        <v>3.676973148901546</v>
      </c>
      <c r="E270" s="530">
        <f t="shared" si="133"/>
        <v>3.6257119609438568</v>
      </c>
      <c r="F270" s="530">
        <f t="shared" si="133"/>
        <v>164.27272727272728</v>
      </c>
      <c r="G270" s="530">
        <f t="shared" si="133"/>
        <v>4.9226759339704609</v>
      </c>
      <c r="H270" s="530">
        <f t="shared" si="133"/>
        <v>4.5285961871750438</v>
      </c>
      <c r="I270" s="530">
        <f t="shared" si="133"/>
        <v>3.6395147313691507</v>
      </c>
      <c r="J270" s="530">
        <f t="shared" si="133"/>
        <v>2.6767764298093586</v>
      </c>
      <c r="K270" s="530" t="str">
        <f t="shared" si="133"/>
        <v/>
      </c>
      <c r="L270" s="530" t="str">
        <f t="shared" si="133"/>
        <v/>
      </c>
      <c r="M270" s="530" t="str">
        <f t="shared" si="133"/>
        <v/>
      </c>
      <c r="N270" s="530">
        <f t="shared" si="133"/>
        <v>3.8342581928593864</v>
      </c>
      <c r="O270" s="530">
        <f t="shared" si="125"/>
        <v>3.8342581928593864</v>
      </c>
    </row>
    <row r="271" spans="1:15" x14ac:dyDescent="0.25">
      <c r="A271" t="s">
        <v>112</v>
      </c>
      <c r="B271" s="530">
        <f t="shared" ref="B271:N271" si="134">IF(OR(B226="",B121="",N(B121)=0),"",B226/B121)</f>
        <v>89.95</v>
      </c>
      <c r="C271" s="530">
        <f t="shared" si="134"/>
        <v>91.085714285714289</v>
      </c>
      <c r="D271" s="530">
        <f t="shared" si="134"/>
        <v>60.221428571428568</v>
      </c>
      <c r="E271" s="530">
        <f t="shared" si="134"/>
        <v>63.142857142857146</v>
      </c>
      <c r="F271" s="530">
        <f t="shared" si="134"/>
        <v>53.544444444444444</v>
      </c>
      <c r="G271" s="530">
        <f t="shared" si="134"/>
        <v>52.986928104575163</v>
      </c>
      <c r="H271" s="530">
        <f t="shared" si="134"/>
        <v>60.594771241830067</v>
      </c>
      <c r="I271" s="530">
        <f t="shared" si="134"/>
        <v>63.496732026143789</v>
      </c>
      <c r="J271" s="530">
        <f t="shared" si="134"/>
        <v>60.470588235294116</v>
      </c>
      <c r="K271" s="530" t="str">
        <f t="shared" si="134"/>
        <v/>
      </c>
      <c r="L271" s="530" t="str">
        <f t="shared" si="134"/>
        <v/>
      </c>
      <c r="M271" s="530" t="str">
        <f t="shared" si="134"/>
        <v/>
      </c>
      <c r="N271" s="530">
        <f t="shared" si="134"/>
        <v>66.386687797147388</v>
      </c>
      <c r="O271" s="530">
        <f t="shared" si="125"/>
        <v>66.386687797147388</v>
      </c>
    </row>
    <row r="272" spans="1:15" x14ac:dyDescent="0.25">
      <c r="A272" s="526" t="s">
        <v>9</v>
      </c>
      <c r="B272" s="531">
        <f t="shared" ref="B272:N272" si="135">IF(OR(B227="",B122="",N(B122)=0),"",B227/B122)</f>
        <v>5.0577579417169858</v>
      </c>
      <c r="C272" s="531">
        <f t="shared" si="135"/>
        <v>5.5848932243606644</v>
      </c>
      <c r="D272" s="531">
        <f t="shared" si="135"/>
        <v>5.4148738379814079</v>
      </c>
      <c r="E272" s="531">
        <f t="shared" si="135"/>
        <v>6.3064558979808716</v>
      </c>
      <c r="F272" s="531">
        <f t="shared" si="135"/>
        <v>11.910237923576064</v>
      </c>
      <c r="G272" s="531">
        <f t="shared" si="135"/>
        <v>7.8211688661459737</v>
      </c>
      <c r="H272" s="531">
        <f t="shared" si="135"/>
        <v>8.1382512936181506</v>
      </c>
      <c r="I272" s="531">
        <f t="shared" si="135"/>
        <v>8.2393569514736527</v>
      </c>
      <c r="J272" s="531">
        <f t="shared" si="135"/>
        <v>6.461897356143079</v>
      </c>
      <c r="K272" s="531" t="str">
        <f t="shared" si="135"/>
        <v/>
      </c>
      <c r="L272" s="531" t="str">
        <f t="shared" si="135"/>
        <v/>
      </c>
      <c r="M272" s="531" t="str">
        <f t="shared" si="135"/>
        <v/>
      </c>
      <c r="N272" s="531">
        <f t="shared" si="135"/>
        <v>6.8654629565697718</v>
      </c>
      <c r="O272" s="531">
        <f t="shared" si="125"/>
        <v>6.8654629565697718</v>
      </c>
    </row>
    <row r="273" spans="1:14" x14ac:dyDescent="0.25">
      <c r="A273" s="528" t="s">
        <v>599</v>
      </c>
      <c r="B273" s="529">
        <f t="shared" ref="B273:M273" si="136">COUNT(B262:B271)</f>
        <v>10</v>
      </c>
      <c r="C273" s="529">
        <f t="shared" si="136"/>
        <v>10</v>
      </c>
      <c r="D273" s="529">
        <f t="shared" si="136"/>
        <v>10</v>
      </c>
      <c r="E273" s="529">
        <f t="shared" si="136"/>
        <v>10</v>
      </c>
      <c r="F273" s="529">
        <f t="shared" si="136"/>
        <v>10</v>
      </c>
      <c r="G273" s="529">
        <f t="shared" si="136"/>
        <v>10</v>
      </c>
      <c r="H273" s="529">
        <f t="shared" si="136"/>
        <v>10</v>
      </c>
      <c r="I273" s="529">
        <f t="shared" si="136"/>
        <v>9</v>
      </c>
      <c r="J273" s="529">
        <f t="shared" si="136"/>
        <v>5</v>
      </c>
      <c r="K273" s="529">
        <f t="shared" si="136"/>
        <v>0</v>
      </c>
      <c r="L273" s="529">
        <f t="shared" si="136"/>
        <v>0</v>
      </c>
      <c r="M273" s="529">
        <f t="shared" si="136"/>
        <v>0</v>
      </c>
      <c r="N273" s="529">
        <f>COUNT(B272:M272)</f>
        <v>9</v>
      </c>
    </row>
    <row r="290" spans="1:11" x14ac:dyDescent="0.25">
      <c r="A290" s="525" t="s">
        <v>616</v>
      </c>
    </row>
    <row r="291" spans="1:11" ht="38.25" x14ac:dyDescent="0.25">
      <c r="A291" s="523" t="s">
        <v>617</v>
      </c>
      <c r="B291" s="523" t="s">
        <v>472</v>
      </c>
      <c r="C291" s="523" t="s">
        <v>473</v>
      </c>
      <c r="D291" s="523" t="s">
        <v>618</v>
      </c>
      <c r="E291" s="523" t="s">
        <v>619</v>
      </c>
      <c r="F291" s="523" t="s">
        <v>620</v>
      </c>
      <c r="G291" s="523" t="s">
        <v>574</v>
      </c>
      <c r="H291" s="523" t="s">
        <v>621</v>
      </c>
      <c r="I291" s="523" t="s">
        <v>622</v>
      </c>
      <c r="J291" s="523" t="s">
        <v>623</v>
      </c>
      <c r="K291" s="523" t="s">
        <v>624</v>
      </c>
    </row>
    <row r="292" spans="1:11" x14ac:dyDescent="0.25">
      <c r="A292" t="s">
        <v>625</v>
      </c>
      <c r="B292" t="s">
        <v>626</v>
      </c>
      <c r="C292" t="s">
        <v>488</v>
      </c>
      <c r="D292" t="s">
        <v>627</v>
      </c>
      <c r="E292" s="160">
        <f>INDEX($B$22:$N$32,$B$6,$B$5)</f>
        <v>20775</v>
      </c>
      <c r="F292" s="160">
        <f>IF($B$11="","",INDEX($B$22:$N$32,$B$6,$B$11))</f>
        <v>58854</v>
      </c>
      <c r="G292" s="160">
        <f>INDEX($B$22:$N$32,$B$6,13)</f>
        <v>401232</v>
      </c>
      <c r="H292" s="160">
        <f>INDEX($O$22:$O$32,$B$6,1)</f>
        <v>47617.25</v>
      </c>
      <c r="I292" s="534">
        <f t="shared" ref="I292:I306" si="137">IF(OR(E292="",F292="",N(F292)=0),"",E292/F292-1)</f>
        <v>-0.64700784993373439</v>
      </c>
      <c r="J292" s="534">
        <f t="shared" ref="J292:J306" si="138">IF(OR($B$5=13,E292="",H292="",N(H292)=0),"",E292/H292-1)</f>
        <v>-0.56370852999700738</v>
      </c>
      <c r="K292">
        <f>INDEX($B$33:$N$33,1,$B$5)</f>
        <v>5</v>
      </c>
    </row>
    <row r="293" spans="1:11" x14ac:dyDescent="0.25">
      <c r="A293" t="s">
        <v>628</v>
      </c>
      <c r="B293" t="s">
        <v>629</v>
      </c>
      <c r="C293" t="s">
        <v>630</v>
      </c>
      <c r="D293" t="s">
        <v>627</v>
      </c>
      <c r="E293" s="160">
        <f>INDEX($B$37:$N$47,$B$6,$B$5)</f>
        <v>256238</v>
      </c>
      <c r="F293" s="160">
        <f>IF($B$11="","",INDEX($B$37:$N$47,$B$6,$B$11))</f>
        <v>683473</v>
      </c>
      <c r="G293" s="160">
        <f>INDEX($B$37:$N$47,$B$6,13)</f>
        <v>4817873</v>
      </c>
      <c r="H293" s="160">
        <f>INDEX($O$37:$O$47,$B$6,1)</f>
        <v>572746.8055555555</v>
      </c>
      <c r="I293" s="534">
        <f t="shared" si="137"/>
        <v>-0.62509418806595141</v>
      </c>
      <c r="J293" s="534">
        <f t="shared" si="138"/>
        <v>-0.55261557547849938</v>
      </c>
      <c r="K293">
        <f>INDEX($B$48:$N$48,1,$B$5)</f>
        <v>5</v>
      </c>
    </row>
    <row r="294" spans="1:11" x14ac:dyDescent="0.25">
      <c r="A294" t="s">
        <v>631</v>
      </c>
      <c r="B294" t="s">
        <v>632</v>
      </c>
      <c r="C294" t="s">
        <v>488</v>
      </c>
      <c r="D294" t="s">
        <v>627</v>
      </c>
      <c r="E294" s="160">
        <f>INDEX($B$52:$N$62,$B$6,$B$5)</f>
        <v>7494</v>
      </c>
      <c r="F294" s="160">
        <f>IF($B$11="","",INDEX($B$52:$N$62,$B$6,$B$11))</f>
        <v>30432</v>
      </c>
      <c r="G294" s="160">
        <f>INDEX($B$52:$N$62,$B$6,13)</f>
        <v>161770.6</v>
      </c>
      <c r="H294" s="160">
        <f>INDEX($O$52:$O$62,$B$6,1)</f>
        <v>19151.575000000001</v>
      </c>
      <c r="I294" s="534">
        <f t="shared" si="137"/>
        <v>-0.75374605678233442</v>
      </c>
      <c r="J294" s="534">
        <f t="shared" si="138"/>
        <v>-0.60870058989926412</v>
      </c>
      <c r="K294">
        <f>INDEX($B$63:$N$63,1,$B$5)</f>
        <v>5</v>
      </c>
    </row>
    <row r="295" spans="1:11" x14ac:dyDescent="0.25">
      <c r="A295" t="s">
        <v>633</v>
      </c>
      <c r="B295" t="s">
        <v>634</v>
      </c>
      <c r="C295" t="s">
        <v>635</v>
      </c>
      <c r="D295" t="s">
        <v>627</v>
      </c>
      <c r="E295" s="160">
        <f>INDEX($B$67:$N$77,$B$6,$B$5)</f>
        <v>3046376</v>
      </c>
      <c r="F295" s="160">
        <f>IF($B$11="","",INDEX($B$67:$N$77,$B$6,$B$11))</f>
        <v>3336373</v>
      </c>
      <c r="G295" s="160">
        <f>INDEX($B$67:$N$77,$B$6,13)</f>
        <v>26736768</v>
      </c>
      <c r="H295" s="160">
        <f>INDEX($O$67:$O$77,$B$6,1)</f>
        <v>3050632.9523809524</v>
      </c>
      <c r="I295" s="534">
        <f t="shared" si="137"/>
        <v>-8.6919837799910304E-2</v>
      </c>
      <c r="J295" s="534">
        <f t="shared" si="138"/>
        <v>-1.3954325044676086E-3</v>
      </c>
      <c r="K295">
        <f>INDEX($B$78:$N$78,1,$B$5)</f>
        <v>8</v>
      </c>
    </row>
    <row r="296" spans="1:11" x14ac:dyDescent="0.25">
      <c r="A296" t="s">
        <v>636</v>
      </c>
      <c r="B296" t="s">
        <v>43</v>
      </c>
      <c r="C296" t="s">
        <v>636</v>
      </c>
      <c r="D296" t="s">
        <v>637</v>
      </c>
      <c r="E296" s="160">
        <f>INDEX($B$82:$N$92,$B$6,$B$5)</f>
        <v>6374</v>
      </c>
      <c r="F296" s="160">
        <f>IF($B$11="","",INDEX($B$82:$N$92,$B$6,$B$11))</f>
        <v>6718</v>
      </c>
      <c r="G296" s="160">
        <f>INDEX($B$82:$N$92,$B$6,13)</f>
        <v>6787.8888888888887</v>
      </c>
      <c r="H296" s="160">
        <f>INDEX($O$82:$O$92,$B$6,1)</f>
        <v>7000.894841269841</v>
      </c>
      <c r="I296" s="534">
        <f t="shared" si="137"/>
        <v>-5.1205715986900824E-2</v>
      </c>
      <c r="J296" s="534">
        <f t="shared" si="138"/>
        <v>-8.9544958963579169E-2</v>
      </c>
      <c r="K296">
        <f>INDEX($B$93:$N$93,1,$B$5)</f>
        <v>8</v>
      </c>
    </row>
    <row r="297" spans="1:11" x14ac:dyDescent="0.25">
      <c r="A297" t="s">
        <v>638</v>
      </c>
      <c r="B297" t="s">
        <v>639</v>
      </c>
      <c r="C297" t="s">
        <v>640</v>
      </c>
      <c r="D297" t="s">
        <v>627</v>
      </c>
      <c r="E297" s="160">
        <f>INDEX($B$97:$N$107,$B$6,$B$5)</f>
        <v>191220</v>
      </c>
      <c r="F297" s="160">
        <f>IF($B$11="","",INDEX($B$97:$N$107,$B$6,$B$11))</f>
        <v>208258</v>
      </c>
      <c r="G297" s="160">
        <f>INDEX($B$97:$N$107,$B$6,13)</f>
        <v>1849735</v>
      </c>
      <c r="H297" s="160">
        <f>INDEX($O$97:$O$107,$B$6,1)</f>
        <v>211979.86309523808</v>
      </c>
      <c r="I297" s="534">
        <f t="shared" si="137"/>
        <v>-8.181198321312988E-2</v>
      </c>
      <c r="J297" s="534">
        <f t="shared" si="138"/>
        <v>-9.7933184747416857E-2</v>
      </c>
      <c r="K297">
        <f>INDEX($B$108:$N$108,1,$B$5)</f>
        <v>8</v>
      </c>
    </row>
    <row r="298" spans="1:11" x14ac:dyDescent="0.25">
      <c r="A298" t="s">
        <v>641</v>
      </c>
      <c r="B298" t="s">
        <v>642</v>
      </c>
      <c r="C298" t="s">
        <v>643</v>
      </c>
      <c r="D298" t="s">
        <v>627</v>
      </c>
      <c r="E298" s="160">
        <f>INDEX($B$112:$N$122,$B$6,$B$5)</f>
        <v>3215</v>
      </c>
      <c r="F298" s="160">
        <f>IF($B$11="","",INDEX($B$112:$N$122,$B$6,$B$11))</f>
        <v>6718</v>
      </c>
      <c r="G298" s="160">
        <f>INDEX($B$112:$N$122,$B$6,13)</f>
        <v>57932</v>
      </c>
      <c r="H298" s="160">
        <f>INDEX($O$112:$O$122,$B$6,1)</f>
        <v>6978.4920634920636</v>
      </c>
      <c r="I298" s="534">
        <f t="shared" si="137"/>
        <v>-0.52143495087823755</v>
      </c>
      <c r="J298" s="534">
        <f t="shared" si="138"/>
        <v>-0.53929875240250658</v>
      </c>
      <c r="K298">
        <f>INDEX($B$123:$N$123,1,$B$5)</f>
        <v>5</v>
      </c>
    </row>
    <row r="299" spans="1:11" x14ac:dyDescent="0.25">
      <c r="A299" t="s">
        <v>644</v>
      </c>
      <c r="B299" t="s">
        <v>44</v>
      </c>
      <c r="C299" t="s">
        <v>645</v>
      </c>
      <c r="D299" t="s">
        <v>627</v>
      </c>
      <c r="E299" s="160">
        <f>INDEX($B$127:$N$137,$B$12,$B$5)</f>
        <v>96</v>
      </c>
      <c r="F299" s="160">
        <f>IF($B$11="","",INDEX($B$127:$N$137,$B$12,$B$11))</f>
        <v>130</v>
      </c>
      <c r="G299" s="160">
        <f>INDEX($B$127:$N$137,$B$12,13)</f>
        <v>1235</v>
      </c>
      <c r="H299" s="160">
        <f>INDEX($O$127:$O$137,$B$12,1)</f>
        <v>142.47222222222223</v>
      </c>
      <c r="I299" s="534">
        <f t="shared" si="137"/>
        <v>-0.2615384615384615</v>
      </c>
      <c r="J299" s="534">
        <f t="shared" si="138"/>
        <v>-0.32618444141158121</v>
      </c>
      <c r="K299">
        <f>INDEX($B$138:$N$138,1,$B$5)</f>
        <v>6</v>
      </c>
    </row>
    <row r="300" spans="1:11" x14ac:dyDescent="0.25">
      <c r="A300" t="s">
        <v>646</v>
      </c>
      <c r="B300" t="s">
        <v>647</v>
      </c>
      <c r="C300" t="s">
        <v>630</v>
      </c>
      <c r="D300" t="s">
        <v>627</v>
      </c>
      <c r="E300" s="160">
        <f>INDEX($B$142:$N$152,$B$12,$B$5)</f>
        <v>75728</v>
      </c>
      <c r="F300" s="160">
        <f>IF($B$11="","",INDEX($B$142:$N$152,$B$12,$B$11))</f>
        <v>176732</v>
      </c>
      <c r="G300" s="160">
        <f>INDEX($B$142:$N$152,$B$12,13)</f>
        <v>1604542</v>
      </c>
      <c r="H300" s="160">
        <f>INDEX($O$142:$O$152,$B$12,1)</f>
        <v>187609.44444444444</v>
      </c>
      <c r="I300" s="534">
        <f t="shared" si="137"/>
        <v>-0.5715094040694384</v>
      </c>
      <c r="J300" s="534">
        <f t="shared" si="138"/>
        <v>-0.59635294361513425</v>
      </c>
      <c r="K300">
        <f>INDEX($B$153:$N$153,1,$B$5)</f>
        <v>5</v>
      </c>
    </row>
    <row r="301" spans="1:11" x14ac:dyDescent="0.25">
      <c r="A301" t="s">
        <v>648</v>
      </c>
      <c r="B301" t="s">
        <v>649</v>
      </c>
      <c r="C301" t="s">
        <v>488</v>
      </c>
      <c r="D301" t="s">
        <v>627</v>
      </c>
      <c r="E301" s="160">
        <f>INDEX($B$157:$N$167,$B$6,$B$5)</f>
        <v>149.1</v>
      </c>
      <c r="F301" s="160">
        <f>IF($B$11="","",INDEX($B$157:$N$167,$B$6,$B$11))</f>
        <v>186</v>
      </c>
      <c r="G301" s="160">
        <f>INDEX($B$157:$N$167,$B$6,13)</f>
        <v>3242.7999999999997</v>
      </c>
      <c r="H301" s="160">
        <f>INDEX($O$157:$O$167,$B$6,1)</f>
        <v>370.6583333333333</v>
      </c>
      <c r="I301" s="534">
        <f t="shared" si="137"/>
        <v>-0.19838709677419353</v>
      </c>
      <c r="J301" s="534">
        <f t="shared" si="138"/>
        <v>-0.59774275500798124</v>
      </c>
      <c r="K301">
        <f>INDEX($B$168:$N$168,1,$B$5)</f>
        <v>1</v>
      </c>
    </row>
    <row r="302" spans="1:11" x14ac:dyDescent="0.25">
      <c r="A302" t="s">
        <v>650</v>
      </c>
      <c r="B302" t="s">
        <v>651</v>
      </c>
      <c r="C302" t="s">
        <v>635</v>
      </c>
      <c r="D302" t="s">
        <v>627</v>
      </c>
      <c r="E302" s="160">
        <f>INDEX($B$172:$N$182,$B$6,$B$5)</f>
        <v>60</v>
      </c>
      <c r="F302" s="160">
        <f>IF($B$11="","",INDEX($B$172:$N$182,$B$6,$B$11))</f>
        <v>339.08000000000004</v>
      </c>
      <c r="G302" s="160">
        <f>INDEX($B$172:$N$182,$B$6,13)</f>
        <v>1971.24</v>
      </c>
      <c r="H302" s="160">
        <f>INDEX($O$172:$O$182,$B$6,1)</f>
        <v>219.02666666666667</v>
      </c>
      <c r="I302" s="534">
        <f t="shared" si="137"/>
        <v>-0.82305060752624748</v>
      </c>
      <c r="J302" s="534">
        <f t="shared" si="138"/>
        <v>-0.72606075363730449</v>
      </c>
      <c r="K302">
        <f>INDEX($B$183:$N$183,1,$B$5)</f>
        <v>3</v>
      </c>
    </row>
    <row r="303" spans="1:11" x14ac:dyDescent="0.25">
      <c r="A303" t="s">
        <v>652</v>
      </c>
      <c r="B303" t="s">
        <v>653</v>
      </c>
      <c r="C303" t="s">
        <v>654</v>
      </c>
      <c r="D303" t="s">
        <v>627</v>
      </c>
      <c r="E303" s="160">
        <f>INDEX($B$187:$N$197,$B$6,$B$5)</f>
        <v>29.060000000000002</v>
      </c>
      <c r="F303" s="160">
        <f>IF($B$11="","",INDEX($B$187:$N$197,$B$6,$B$11))</f>
        <v>38</v>
      </c>
      <c r="G303" s="160">
        <f>INDEX($B$187:$N$197,$B$6,13)</f>
        <v>417.19</v>
      </c>
      <c r="H303" s="160">
        <f>INDEX($O$187:$O$197,$B$6,1)</f>
        <v>47.604444444444447</v>
      </c>
      <c r="I303" s="534">
        <f t="shared" si="137"/>
        <v>-0.23526315789473673</v>
      </c>
      <c r="J303" s="534">
        <f t="shared" si="138"/>
        <v>-0.38955279619083183</v>
      </c>
      <c r="K303">
        <f>INDEX($B$198:$N$198,1,$B$5)</f>
        <v>2</v>
      </c>
    </row>
    <row r="304" spans="1:11" x14ac:dyDescent="0.25">
      <c r="A304" t="s">
        <v>655</v>
      </c>
      <c r="B304" t="s">
        <v>656</v>
      </c>
      <c r="C304" t="s">
        <v>657</v>
      </c>
      <c r="D304" t="s">
        <v>658</v>
      </c>
      <c r="E304" s="306">
        <f>INDEX($B$232:$N$242,$B$6,$B$5)</f>
        <v>15.931262420248927</v>
      </c>
      <c r="F304" s="306">
        <f>IF($B$11="","",INDEX($B$232:$N$242,$B$6,$B$11))</f>
        <v>16.020383370626817</v>
      </c>
      <c r="G304" s="306">
        <f>INDEX($B$232:$N$242,$B$6,13)</f>
        <v>14.454377518941902</v>
      </c>
      <c r="H304" s="306">
        <f>INDEX($O$232:$O$242,$B$6,1)</f>
        <v>14.454377518941902</v>
      </c>
      <c r="I304" s="534">
        <f t="shared" si="137"/>
        <v>-5.5629723906165385E-3</v>
      </c>
      <c r="J304" s="534">
        <f t="shared" si="138"/>
        <v>0.10217561422978094</v>
      </c>
      <c r="K304">
        <f>INDEX($B$243:$N$243,1,$B$5)</f>
        <v>8</v>
      </c>
    </row>
    <row r="305" spans="1:13" x14ac:dyDescent="0.25">
      <c r="A305" t="s">
        <v>659</v>
      </c>
      <c r="B305" t="s">
        <v>660</v>
      </c>
      <c r="C305" t="s">
        <v>661</v>
      </c>
      <c r="D305" t="s">
        <v>658</v>
      </c>
      <c r="E305" s="306">
        <f>INDEX($B$247:$N$257,$B$6,$B$5)</f>
        <v>12.333959085439229</v>
      </c>
      <c r="F305" s="306">
        <f>IF($B$11="","",INDEX($B$247:$N$257,$B$6,$B$11))</f>
        <v>11.613025452815442</v>
      </c>
      <c r="G305" s="306">
        <f>INDEX($B$247:$N$257,$B$6,13)</f>
        <v>12.00769878773378</v>
      </c>
      <c r="H305" s="306">
        <f>INDEX($O$247:$O$257,$B$6,1)</f>
        <v>12.00769878773378</v>
      </c>
      <c r="I305" s="534">
        <f t="shared" si="137"/>
        <v>6.2079742746882882E-2</v>
      </c>
      <c r="J305" s="534">
        <f t="shared" si="138"/>
        <v>2.7170926209336033E-2</v>
      </c>
      <c r="K305">
        <f>INDEX($B$258:$N$258,1,$B$5)</f>
        <v>5</v>
      </c>
    </row>
    <row r="306" spans="1:13" x14ac:dyDescent="0.25">
      <c r="A306" t="s">
        <v>662</v>
      </c>
      <c r="B306" t="s">
        <v>663</v>
      </c>
      <c r="C306" t="s">
        <v>664</v>
      </c>
      <c r="D306" t="s">
        <v>658</v>
      </c>
      <c r="E306" s="306">
        <f>INDEX($B$262:$N$272,$B$6,$B$5)</f>
        <v>6.461897356143079</v>
      </c>
      <c r="F306" s="306">
        <f>IF($B$11="","",INDEX($B$262:$N$272,$B$6,$B$11))</f>
        <v>8.2393569514736527</v>
      </c>
      <c r="G306" s="306">
        <f>INDEX($B$262:$N$272,$B$6,13)</f>
        <v>6.8654629565697718</v>
      </c>
      <c r="H306" s="306">
        <f>INDEX($O$262:$O$272,$B$6,1)</f>
        <v>6.8654629565697718</v>
      </c>
      <c r="I306" s="534">
        <f t="shared" si="137"/>
        <v>-0.21572795131938849</v>
      </c>
      <c r="J306" s="534">
        <f t="shared" si="138"/>
        <v>-5.8781993724182691E-2</v>
      </c>
      <c r="K306">
        <f>INDEX($B$273:$N$273,1,$B$5)</f>
        <v>5</v>
      </c>
    </row>
    <row r="307" spans="1:13" x14ac:dyDescent="0.25">
      <c r="A307" t="s">
        <v>665</v>
      </c>
      <c r="B307" t="s">
        <v>666</v>
      </c>
      <c r="C307" t="s">
        <v>667</v>
      </c>
      <c r="E307" s="535">
        <f>IF($B$5=13,IF($B$8=0,"",(SUM($B$33:INDEX($B$33:$M$33,1,$B$8))+SUM($B$78:INDEX($B$78:$M$78,1,$B$8)))/(20*$B$8)),(INDEX($B$33:$M$33,1,$B$5)+INDEX($B$78:$M$78,1,$B$5))/20)</f>
        <v>0.65</v>
      </c>
      <c r="F307">
        <f>IF($B$5=13,"",INDEX($B$33:$M$33,1,$B$5))</f>
        <v>5</v>
      </c>
      <c r="G307">
        <f>IF($B$5=13,"",INDEX($B$78:$M$78,1,$B$5))</f>
        <v>8</v>
      </c>
      <c r="H307" t="s">
        <v>668</v>
      </c>
    </row>
    <row r="308" spans="1:13" x14ac:dyDescent="0.25">
      <c r="A308" t="s">
        <v>669</v>
      </c>
      <c r="B308" t="s">
        <v>670</v>
      </c>
      <c r="E308">
        <f>IF($B$8=0,"",10-INDEX($B$33:$M$33,1,$B$8))</f>
        <v>5</v>
      </c>
      <c r="F308">
        <f>IF($B$8=0,"",10-INDEX($B$78:$M$78,1,$B$8))</f>
        <v>2</v>
      </c>
    </row>
    <row r="315" spans="1:13" x14ac:dyDescent="0.25">
      <c r="A315" s="525" t="s">
        <v>671</v>
      </c>
    </row>
    <row r="316" spans="1:13" x14ac:dyDescent="0.25">
      <c r="A316" s="523" t="s">
        <v>672</v>
      </c>
      <c r="B316" s="523" t="s">
        <v>476</v>
      </c>
      <c r="C316" s="523" t="s">
        <v>477</v>
      </c>
      <c r="D316" s="523" t="s">
        <v>478</v>
      </c>
      <c r="E316" s="523" t="s">
        <v>479</v>
      </c>
      <c r="F316" s="523" t="s">
        <v>77</v>
      </c>
      <c r="G316" s="523" t="s">
        <v>480</v>
      </c>
      <c r="H316" s="523" t="s">
        <v>481</v>
      </c>
      <c r="I316" s="523" t="s">
        <v>482</v>
      </c>
      <c r="J316" s="523" t="s">
        <v>483</v>
      </c>
      <c r="K316" s="523" t="s">
        <v>484</v>
      </c>
      <c r="L316" s="523" t="s">
        <v>485</v>
      </c>
      <c r="M316" s="523" t="s">
        <v>486</v>
      </c>
    </row>
    <row r="317" spans="1:13" x14ac:dyDescent="0.25">
      <c r="A317" t="s">
        <v>673</v>
      </c>
      <c r="B317" s="160">
        <f>IF(INDEX($B$22:$N$32,$B$6,1)="",0,INDEX($B$22:$N$32,$B$6,1))</f>
        <v>38530</v>
      </c>
      <c r="C317" s="160">
        <f>IF(INDEX($B$22:$N$32,$B$6,2)="",0,INDEX($B$22:$N$32,$B$6,2))</f>
        <v>42367</v>
      </c>
      <c r="D317" s="160">
        <f>IF(INDEX($B$22:$N$32,$B$6,3)="",0,INDEX($B$22:$N$32,$B$6,3))</f>
        <v>40774</v>
      </c>
      <c r="E317" s="160">
        <f>IF(INDEX($B$22:$N$32,$B$6,4)="",0,INDEX($B$22:$N$32,$B$6,4))</f>
        <v>47475</v>
      </c>
      <c r="F317" s="160">
        <f>IF(INDEX($B$22:$N$32,$B$6,5)="",0,INDEX($B$22:$N$32,$B$6,5))</f>
        <v>33039</v>
      </c>
      <c r="G317" s="160">
        <f>IF(INDEX($B$22:$N$32,$B$6,6)="",0,INDEX($B$22:$N$32,$B$6,6))</f>
        <v>58080</v>
      </c>
      <c r="H317" s="160">
        <f>IF(INDEX($B$22:$N$32,$B$6,7)="",0,INDEX($B$22:$N$32,$B$6,7))</f>
        <v>61338</v>
      </c>
      <c r="I317" s="160">
        <f>IF(INDEX($B$22:$N$32,$B$6,8)="",0,INDEX($B$22:$N$32,$B$6,8))</f>
        <v>58854</v>
      </c>
      <c r="J317" s="160">
        <f>IF(INDEX($B$22:$N$32,$B$6,9)="",0,INDEX($B$22:$N$32,$B$6,9))</f>
        <v>20775</v>
      </c>
      <c r="K317" s="160">
        <f>IF(INDEX($B$22:$N$32,$B$6,10)="",0,INDEX($B$22:$N$32,$B$6,10))</f>
        <v>0</v>
      </c>
      <c r="L317" s="160">
        <f>IF(INDEX($B$22:$N$32,$B$6,11)="",0,INDEX($B$22:$N$32,$B$6,11))</f>
        <v>0</v>
      </c>
      <c r="M317" s="160">
        <f>IF(INDEX($B$22:$N$32,$B$6,12)="",0,INDEX($B$22:$N$32,$B$6,12))</f>
        <v>0</v>
      </c>
    </row>
    <row r="318" spans="1:13" x14ac:dyDescent="0.25">
      <c r="A318" t="s">
        <v>674</v>
      </c>
      <c r="B318" s="160">
        <f>IF(INDEX($B$37:$N$47,$B$6,1)="",0,INDEX($B$37:$N$47,$B$6,1))</f>
        <v>477223</v>
      </c>
      <c r="C318" s="160">
        <f>IF(INDEX($B$37:$N$47,$B$6,2)="",0,INDEX($B$37:$N$47,$B$6,2))</f>
        <v>535258</v>
      </c>
      <c r="D318" s="160">
        <f>IF(INDEX($B$37:$N$47,$B$6,3)="",0,INDEX($B$37:$N$47,$B$6,3))</f>
        <v>442144</v>
      </c>
      <c r="E318" s="160">
        <f>IF(INDEX($B$37:$N$47,$B$6,4)="",0,INDEX($B$37:$N$47,$B$6,4))</f>
        <v>548050</v>
      </c>
      <c r="F318" s="160">
        <f>IF(INDEX($B$37:$N$47,$B$6,5)="",0,INDEX($B$37:$N$47,$B$6,5))</f>
        <v>482582</v>
      </c>
      <c r="G318" s="160">
        <f>IF(INDEX($B$37:$N$47,$B$6,6)="",0,INDEX($B$37:$N$47,$B$6,6))</f>
        <v>684747</v>
      </c>
      <c r="H318" s="160">
        <f>IF(INDEX($B$37:$N$47,$B$6,7)="",0,INDEX($B$37:$N$47,$B$6,7))</f>
        <v>708158</v>
      </c>
      <c r="I318" s="160">
        <f>IF(INDEX($B$37:$N$47,$B$6,8)="",0,INDEX($B$37:$N$47,$B$6,8))</f>
        <v>683473</v>
      </c>
      <c r="J318" s="160">
        <f>IF(INDEX($B$37:$N$47,$B$6,9)="",0,INDEX($B$37:$N$47,$B$6,9))</f>
        <v>256238</v>
      </c>
      <c r="K318" s="160">
        <f>IF(INDEX($B$37:$N$47,$B$6,10)="",0,INDEX($B$37:$N$47,$B$6,10))</f>
        <v>0</v>
      </c>
      <c r="L318" s="160">
        <f>IF(INDEX($B$37:$N$47,$B$6,11)="",0,INDEX($B$37:$N$47,$B$6,11))</f>
        <v>0</v>
      </c>
      <c r="M318" s="160">
        <f>IF(INDEX($B$37:$N$47,$B$6,12)="",0,INDEX($B$37:$N$47,$B$6,12))</f>
        <v>0</v>
      </c>
    </row>
    <row r="319" spans="1:13" x14ac:dyDescent="0.25">
      <c r="A319" t="s">
        <v>675</v>
      </c>
      <c r="B319" s="160">
        <f>IF(INDEX($B$67:$N$77,$B$6,1)="",0,INDEX($B$67:$N$77,$B$6,1)/1000)</f>
        <v>3344.4439999999995</v>
      </c>
      <c r="C319" s="160">
        <f>IF(INDEX($B$67:$N$77,$B$6,2)="",0,INDEX($B$67:$N$77,$B$6,2)/1000)</f>
        <v>3095.1570000000006</v>
      </c>
      <c r="D319" s="160">
        <f>IF(INDEX($B$67:$N$77,$B$6,3)="",0,INDEX($B$67:$N$77,$B$6,3)/1000)</f>
        <v>2667.7969999999996</v>
      </c>
      <c r="E319" s="160">
        <f>IF(INDEX($B$67:$N$77,$B$6,4)="",0,INDEX($B$67:$N$77,$B$6,4)/1000)</f>
        <v>2136.7669999999998</v>
      </c>
      <c r="F319" s="160">
        <f>IF(INDEX($B$67:$N$77,$B$6,5)="",0,INDEX($B$67:$N$77,$B$6,5)/1000)</f>
        <v>2081.9639999999999</v>
      </c>
      <c r="G319" s="160">
        <f>IF(INDEX($B$67:$N$77,$B$6,6)="",0,INDEX($B$67:$N$77,$B$6,6)/1000)</f>
        <v>3192.9580000000001</v>
      </c>
      <c r="H319" s="160">
        <f>IF(INDEX($B$67:$N$77,$B$6,7)="",0,INDEX($B$67:$N$77,$B$6,7)/1000)</f>
        <v>3834.9319999999998</v>
      </c>
      <c r="I319" s="160">
        <f>IF(INDEX($B$67:$N$77,$B$6,8)="",0,INDEX($B$67:$N$77,$B$6,8)/1000)</f>
        <v>3336.373</v>
      </c>
      <c r="J319" s="160">
        <f>IF(INDEX($B$67:$N$77,$B$6,9)="",0,INDEX($B$67:$N$77,$B$6,9)/1000)</f>
        <v>3046.3760000000002</v>
      </c>
      <c r="K319" s="160">
        <f>IF(INDEX($B$67:$N$77,$B$6,10)="",0,INDEX($B$67:$N$77,$B$6,10)/1000)</f>
        <v>0</v>
      </c>
      <c r="L319" s="160">
        <f>IF(INDEX($B$67:$N$77,$B$6,11)="",0,INDEX($B$67:$N$77,$B$6,11)/1000)</f>
        <v>0</v>
      </c>
      <c r="M319" s="160">
        <f>IF(INDEX($B$67:$N$77,$B$6,12)="",0,INDEX($B$67:$N$77,$B$6,12)/1000)</f>
        <v>0</v>
      </c>
    </row>
    <row r="320" spans="1:13" x14ac:dyDescent="0.25">
      <c r="A320" t="s">
        <v>676</v>
      </c>
      <c r="B320" s="530">
        <f>IF(INDEX($B$232:$N$242,$B$6,1)="",0,INDEX($B$232:$N$242,$B$6,1))</f>
        <v>14.161891614935762</v>
      </c>
      <c r="C320" s="530">
        <f>IF(INDEX($B$232:$N$242,$B$6,2)="",0,INDEX($B$232:$N$242,$B$6,2))</f>
        <v>14.571753417950362</v>
      </c>
      <c r="D320" s="530">
        <f>IF(INDEX($B$232:$N$242,$B$6,3)="",0,INDEX($B$232:$N$242,$B$6,3))</f>
        <v>11.42868097502463</v>
      </c>
      <c r="E320" s="530">
        <f>IF(INDEX($B$232:$N$242,$B$6,4)="",0,INDEX($B$232:$N$242,$B$6,4))</f>
        <v>9.4614195890896209</v>
      </c>
      <c r="F320" s="530">
        <f>IF(INDEX($B$232:$N$242,$B$6,5)="",0,INDEX($B$232:$N$242,$B$6,5))</f>
        <v>24.210572830662603</v>
      </c>
      <c r="G320" s="530">
        <f>IF(INDEX($B$232:$N$242,$B$6,6)="",0,INDEX($B$232:$N$242,$B$6,6))</f>
        <v>14.332336834545291</v>
      </c>
      <c r="H320" s="530">
        <f>IF(INDEX($B$232:$N$242,$B$6,7)="",0,INDEX($B$232:$N$242,$B$6,7))</f>
        <v>16.413358613635101</v>
      </c>
      <c r="I320" s="530">
        <f>IF(INDEX($B$232:$N$242,$B$6,8)="",0,INDEX($B$232:$N$242,$B$6,8))</f>
        <v>16.020383370626817</v>
      </c>
      <c r="J320" s="530">
        <f>IF(INDEX($B$232:$N$242,$B$6,9)="",0,INDEX($B$232:$N$242,$B$6,9))</f>
        <v>15.931262420248927</v>
      </c>
      <c r="K320" s="530">
        <f>IF(INDEX($B$232:$N$242,$B$6,10)="",0,INDEX($B$232:$N$242,$B$6,10))</f>
        <v>0</v>
      </c>
      <c r="L320" s="530">
        <f>IF(INDEX($B$232:$N$242,$B$6,11)="",0,INDEX($B$232:$N$242,$B$6,11))</f>
        <v>0</v>
      </c>
      <c r="M320" s="530">
        <f>IF(INDEX($B$232:$N$242,$B$6,12)="",0,INDEX($B$232:$N$242,$B$6,12))</f>
        <v>0</v>
      </c>
    </row>
    <row r="321" spans="1:23" x14ac:dyDescent="0.25">
      <c r="A321" t="s">
        <v>44</v>
      </c>
      <c r="B321" s="307">
        <f>IF(INDEX($B$127:$N$137,$B$12,1)="",0,INDEX($B$127:$N$137,$B$12,1))</f>
        <v>87</v>
      </c>
      <c r="C321" s="307">
        <f>IF(INDEX($B$127:$N$137,$B$12,2)="",0,INDEX($B$127:$N$137,$B$12,2))</f>
        <v>111</v>
      </c>
      <c r="D321" s="307">
        <f>IF(INDEX($B$127:$N$137,$B$12,3)="",0,INDEX($B$127:$N$137,$B$12,3))</f>
        <v>154</v>
      </c>
      <c r="E321" s="307">
        <f>IF(INDEX($B$127:$N$137,$B$12,4)="",0,INDEX($B$127:$N$137,$B$12,4))</f>
        <v>150</v>
      </c>
      <c r="F321" s="307">
        <f>IF(INDEX($B$127:$N$137,$B$12,5)="",0,INDEX($B$127:$N$137,$B$12,5))</f>
        <v>118</v>
      </c>
      <c r="G321" s="307">
        <f>IF(INDEX($B$127:$N$137,$B$12,6)="",0,INDEX($B$127:$N$137,$B$12,6))</f>
        <v>166</v>
      </c>
      <c r="H321" s="307">
        <f>IF(INDEX($B$127:$N$137,$B$12,7)="",0,INDEX($B$127:$N$137,$B$12,7))</f>
        <v>223</v>
      </c>
      <c r="I321" s="307">
        <f>IF(INDEX($B$127:$N$137,$B$12,8)="",0,INDEX($B$127:$N$137,$B$12,8))</f>
        <v>130</v>
      </c>
      <c r="J321" s="307">
        <f>IF(INDEX($B$127:$N$137,$B$12,9)="",0,INDEX($B$127:$N$137,$B$12,9))</f>
        <v>96</v>
      </c>
      <c r="K321" s="307">
        <f>IF(INDEX($B$127:$N$137,$B$12,10)="",0,INDEX($B$127:$N$137,$B$12,10))</f>
        <v>0</v>
      </c>
      <c r="L321" s="307">
        <f>IF(INDEX($B$127:$N$137,$B$12,11)="",0,INDEX($B$127:$N$137,$B$12,11))</f>
        <v>0</v>
      </c>
      <c r="M321" s="307">
        <f>IF(INDEX($B$127:$N$137,$B$12,12)="",0,INDEX($B$127:$N$137,$B$12,12))</f>
        <v>0</v>
      </c>
    </row>
    <row r="322" spans="1:23" x14ac:dyDescent="0.25">
      <c r="A322" t="s">
        <v>677</v>
      </c>
      <c r="B322" s="160">
        <f>IF(INDEX($B$142:$N$152,$B$12,1)="",0,INDEX($B$142:$N$152,$B$12,1))</f>
        <v>140047</v>
      </c>
      <c r="C322" s="160">
        <f>IF(INDEX($B$142:$N$152,$B$12,2)="",0,INDEX($B$142:$N$152,$B$12,2))</f>
        <v>176876</v>
      </c>
      <c r="D322" s="160">
        <f>IF(INDEX($B$142:$N$152,$B$12,3)="",0,INDEX($B$142:$N$152,$B$12,3))</f>
        <v>159441</v>
      </c>
      <c r="E322" s="160">
        <f>IF(INDEX($B$142:$N$152,$B$12,4)="",0,INDEX($B$142:$N$152,$B$12,4))</f>
        <v>171493</v>
      </c>
      <c r="F322" s="160">
        <f>IF(INDEX($B$142:$N$152,$B$12,5)="",0,INDEX($B$142:$N$152,$B$12,5))</f>
        <v>210960</v>
      </c>
      <c r="G322" s="160">
        <f>IF(INDEX($B$142:$N$152,$B$12,6)="",0,INDEX($B$142:$N$152,$B$12,6))</f>
        <v>268127</v>
      </c>
      <c r="H322" s="160">
        <f>IF(INDEX($B$142:$N$152,$B$12,7)="",0,INDEX($B$142:$N$152,$B$12,7))</f>
        <v>225138</v>
      </c>
      <c r="I322" s="160">
        <f>IF(INDEX($B$142:$N$152,$B$12,8)="",0,INDEX($B$142:$N$152,$B$12,8))</f>
        <v>176732</v>
      </c>
      <c r="J322" s="160">
        <f>IF(INDEX($B$142:$N$152,$B$12,9)="",0,INDEX($B$142:$N$152,$B$12,9))</f>
        <v>75728</v>
      </c>
      <c r="K322" s="160">
        <f>IF(INDEX($B$142:$N$152,$B$12,10)="",0,INDEX($B$142:$N$152,$B$12,10))</f>
        <v>0</v>
      </c>
      <c r="L322" s="160">
        <f>IF(INDEX($B$142:$N$152,$B$12,11)="",0,INDEX($B$142:$N$152,$B$12,11))</f>
        <v>0</v>
      </c>
      <c r="M322" s="160">
        <f>IF(INDEX($B$142:$N$152,$B$12,12)="",0,INDEX($B$142:$N$152,$B$12,12))</f>
        <v>0</v>
      </c>
    </row>
    <row r="324" spans="1:23" x14ac:dyDescent="0.25">
      <c r="A324" t="s">
        <v>678</v>
      </c>
      <c r="B324" s="160">
        <f t="shared" ref="B324:M324" si="139">IF(B54="",0,B54)</f>
        <v>1829</v>
      </c>
      <c r="C324" s="160">
        <f t="shared" si="139"/>
        <v>2464</v>
      </c>
      <c r="D324" s="160">
        <f t="shared" si="139"/>
        <v>2982</v>
      </c>
      <c r="E324" s="160">
        <f t="shared" si="139"/>
        <v>2965</v>
      </c>
      <c r="F324" s="160">
        <f t="shared" si="139"/>
        <v>2826</v>
      </c>
      <c r="G324" s="160">
        <f t="shared" si="139"/>
        <v>2617</v>
      </c>
      <c r="H324" s="160">
        <f t="shared" si="139"/>
        <v>3348</v>
      </c>
      <c r="I324" s="160">
        <f t="shared" si="139"/>
        <v>3594</v>
      </c>
      <c r="J324" s="160">
        <f t="shared" si="139"/>
        <v>0</v>
      </c>
      <c r="K324" s="160">
        <f t="shared" si="139"/>
        <v>0</v>
      </c>
      <c r="L324" s="160">
        <f t="shared" si="139"/>
        <v>0</v>
      </c>
      <c r="M324" s="160">
        <f t="shared" si="139"/>
        <v>0</v>
      </c>
    </row>
    <row r="325" spans="1:23" x14ac:dyDescent="0.25">
      <c r="A325" t="s">
        <v>679</v>
      </c>
      <c r="B325" s="160">
        <f t="shared" ref="B325:M325" si="140">IF(B56="",0,B56)</f>
        <v>1215.3</v>
      </c>
      <c r="C325" s="160">
        <f t="shared" si="140"/>
        <v>1061.5</v>
      </c>
      <c r="D325" s="160">
        <f t="shared" si="140"/>
        <v>1071.8</v>
      </c>
      <c r="E325" s="160">
        <f t="shared" si="140"/>
        <v>8483</v>
      </c>
      <c r="F325" s="160">
        <f t="shared" si="140"/>
        <v>10107</v>
      </c>
      <c r="G325" s="160">
        <f t="shared" si="140"/>
        <v>11913</v>
      </c>
      <c r="H325" s="160">
        <f t="shared" si="140"/>
        <v>13477</v>
      </c>
      <c r="I325" s="160">
        <f t="shared" si="140"/>
        <v>14795</v>
      </c>
      <c r="J325" s="160">
        <f t="shared" si="140"/>
        <v>0</v>
      </c>
      <c r="K325" s="160">
        <f t="shared" si="140"/>
        <v>0</v>
      </c>
      <c r="L325" s="160">
        <f t="shared" si="140"/>
        <v>0</v>
      </c>
      <c r="M325" s="160">
        <f t="shared" si="140"/>
        <v>0</v>
      </c>
    </row>
    <row r="326" spans="1:23" x14ac:dyDescent="0.25">
      <c r="A326" t="s">
        <v>680</v>
      </c>
      <c r="B326" s="160">
        <f t="shared" ref="B326:M326" si="141">IF(B61="",0,B61)</f>
        <v>5265</v>
      </c>
      <c r="C326" s="160">
        <f t="shared" si="141"/>
        <v>5543</v>
      </c>
      <c r="D326" s="160">
        <f t="shared" si="141"/>
        <v>11156</v>
      </c>
      <c r="E326" s="160">
        <f t="shared" si="141"/>
        <v>8556</v>
      </c>
      <c r="F326" s="160">
        <f t="shared" si="141"/>
        <v>8417</v>
      </c>
      <c r="G326" s="160">
        <f t="shared" si="141"/>
        <v>7590</v>
      </c>
      <c r="H326" s="160">
        <f t="shared" si="141"/>
        <v>10958</v>
      </c>
      <c r="I326" s="160">
        <f t="shared" si="141"/>
        <v>12043</v>
      </c>
      <c r="J326" s="160">
        <f t="shared" si="141"/>
        <v>7494</v>
      </c>
      <c r="K326" s="160">
        <f t="shared" si="141"/>
        <v>0</v>
      </c>
      <c r="L326" s="160">
        <f t="shared" si="141"/>
        <v>0</v>
      </c>
      <c r="M326" s="160">
        <f t="shared" si="141"/>
        <v>0</v>
      </c>
    </row>
    <row r="328" spans="1:23" x14ac:dyDescent="0.25">
      <c r="A328" t="s">
        <v>681</v>
      </c>
      <c r="B328" s="536">
        <f t="shared" ref="B328:M328" si="142">IF(B176="",0,B176)</f>
        <v>21.89</v>
      </c>
      <c r="C328" s="536">
        <f t="shared" si="142"/>
        <v>0</v>
      </c>
      <c r="D328" s="536">
        <f t="shared" si="142"/>
        <v>21.89</v>
      </c>
      <c r="E328" s="536">
        <f t="shared" si="142"/>
        <v>20</v>
      </c>
      <c r="F328" s="536">
        <f t="shared" si="142"/>
        <v>20</v>
      </c>
      <c r="G328" s="536">
        <f t="shared" si="142"/>
        <v>20</v>
      </c>
      <c r="H328" s="536">
        <f t="shared" si="142"/>
        <v>40</v>
      </c>
      <c r="I328" s="536">
        <f t="shared" si="142"/>
        <v>20</v>
      </c>
      <c r="J328" s="536">
        <f t="shared" si="142"/>
        <v>20</v>
      </c>
      <c r="K328" s="536">
        <f t="shared" si="142"/>
        <v>0</v>
      </c>
      <c r="L328" s="536">
        <f t="shared" si="142"/>
        <v>0</v>
      </c>
      <c r="M328" s="536">
        <f t="shared" si="142"/>
        <v>0</v>
      </c>
    </row>
    <row r="329" spans="1:23" x14ac:dyDescent="0.25">
      <c r="A329" t="s">
        <v>682</v>
      </c>
      <c r="B329" s="536">
        <f t="shared" ref="B329:M329" si="143">IF(B174="",0,B174)</f>
        <v>80</v>
      </c>
      <c r="C329" s="536">
        <f t="shared" si="143"/>
        <v>80</v>
      </c>
      <c r="D329" s="536">
        <f t="shared" si="143"/>
        <v>100</v>
      </c>
      <c r="E329" s="536">
        <f t="shared" si="143"/>
        <v>0</v>
      </c>
      <c r="F329" s="536">
        <f t="shared" si="143"/>
        <v>0</v>
      </c>
      <c r="G329" s="536">
        <f t="shared" si="143"/>
        <v>40</v>
      </c>
      <c r="H329" s="536">
        <f t="shared" si="143"/>
        <v>203.38</v>
      </c>
      <c r="I329" s="536">
        <f t="shared" si="143"/>
        <v>204.08</v>
      </c>
      <c r="J329" s="536">
        <f t="shared" si="143"/>
        <v>0</v>
      </c>
      <c r="K329" s="536">
        <f t="shared" si="143"/>
        <v>0</v>
      </c>
      <c r="L329" s="536">
        <f t="shared" si="143"/>
        <v>0</v>
      </c>
      <c r="M329" s="536">
        <f t="shared" si="143"/>
        <v>0</v>
      </c>
    </row>
    <row r="330" spans="1:23" x14ac:dyDescent="0.25">
      <c r="A330" t="s">
        <v>683</v>
      </c>
      <c r="B330" s="536">
        <f t="shared" ref="B330:M330" si="144">IF(B181="",0,B181)</f>
        <v>70</v>
      </c>
      <c r="C330" s="536">
        <f t="shared" si="144"/>
        <v>95</v>
      </c>
      <c r="D330" s="536">
        <f t="shared" si="144"/>
        <v>160</v>
      </c>
      <c r="E330" s="536">
        <f t="shared" si="144"/>
        <v>140</v>
      </c>
      <c r="F330" s="536">
        <f t="shared" si="144"/>
        <v>120</v>
      </c>
      <c r="G330" s="536">
        <f t="shared" si="144"/>
        <v>140</v>
      </c>
      <c r="H330" s="536">
        <f t="shared" si="144"/>
        <v>200</v>
      </c>
      <c r="I330" s="536">
        <f t="shared" si="144"/>
        <v>115</v>
      </c>
      <c r="J330" s="536">
        <f t="shared" si="144"/>
        <v>40</v>
      </c>
      <c r="K330" s="536">
        <f t="shared" si="144"/>
        <v>0</v>
      </c>
      <c r="L330" s="536">
        <f t="shared" si="144"/>
        <v>0</v>
      </c>
      <c r="M330" s="536">
        <f t="shared" si="144"/>
        <v>0</v>
      </c>
    </row>
    <row r="335" spans="1:23" x14ac:dyDescent="0.25">
      <c r="A335" s="525" t="s">
        <v>684</v>
      </c>
    </row>
    <row r="336" spans="1:23" ht="25.5" x14ac:dyDescent="0.25">
      <c r="A336" s="523" t="s">
        <v>673</v>
      </c>
      <c r="B336" s="523" t="s">
        <v>389</v>
      </c>
      <c r="C336" s="523" t="s">
        <v>685</v>
      </c>
      <c r="D336" s="523" t="s">
        <v>686</v>
      </c>
      <c r="E336" s="523" t="s">
        <v>687</v>
      </c>
      <c r="G336" s="523" t="s">
        <v>675</v>
      </c>
      <c r="H336" s="523" t="s">
        <v>389</v>
      </c>
      <c r="I336" s="523" t="s">
        <v>685</v>
      </c>
      <c r="J336" s="523" t="s">
        <v>686</v>
      </c>
      <c r="K336" s="523" t="s">
        <v>687</v>
      </c>
      <c r="M336" s="523" t="s">
        <v>688</v>
      </c>
      <c r="N336" s="523" t="s">
        <v>389</v>
      </c>
      <c r="O336" s="523" t="s">
        <v>685</v>
      </c>
      <c r="P336" s="523" t="s">
        <v>686</v>
      </c>
      <c r="Q336" s="523" t="s">
        <v>687</v>
      </c>
      <c r="S336" s="523" t="s">
        <v>677</v>
      </c>
      <c r="T336" s="523" t="s">
        <v>389</v>
      </c>
      <c r="U336" s="523" t="s">
        <v>685</v>
      </c>
      <c r="V336" s="523" t="s">
        <v>686</v>
      </c>
      <c r="W336" s="523" t="s">
        <v>687</v>
      </c>
    </row>
    <row r="337" spans="1:23" x14ac:dyDescent="0.25">
      <c r="A337" t="s">
        <v>85</v>
      </c>
      <c r="B337" s="160" t="str">
        <f>IF(INDEX($B$22:$N$32,1,$B$5)="","",INDEX($B$22:$N$32,1,$B$5))</f>
        <v/>
      </c>
      <c r="C337">
        <f>IF(B337="",-1,B337)+1*0.000000001</f>
        <v>-0.99999999900000003</v>
      </c>
      <c r="D337" t="str">
        <f>INDEX($A$337:$A$346,MATCH(SMALL($C$337:$C$346,1),$C$337:$C$346,0))</f>
        <v>DJHSM</v>
      </c>
      <c r="E337" s="160">
        <f>N(INDEX($B$337:$B$346,MATCH(SMALL($C$337:$C$346,1),$C$337:$C$346,0)))</f>
        <v>0</v>
      </c>
      <c r="G337" t="s">
        <v>85</v>
      </c>
      <c r="H337" s="160">
        <f>IF(INDEX($B$67:$N$77,1,$B$5)="","",INDEX($B$67:$N$77,1,$B$5)/1000)</f>
        <v>42.29999999999972</v>
      </c>
      <c r="I337">
        <f>IF(H337="",-1,H337)+1*0.000000001</f>
        <v>42.300000000999717</v>
      </c>
      <c r="J337" t="str">
        <f>INDEX($G$337:$G$346,MATCH(SMALL($I$337:$I$346,1),$I$337:$I$346,0))</f>
        <v>AKSM</v>
      </c>
      <c r="K337" s="160">
        <f>N(INDEX($H$337:$H$346,MATCH(SMALL($I$337:$I$346,1),$I$337:$I$346,0)))</f>
        <v>0</v>
      </c>
      <c r="M337" t="s">
        <v>85</v>
      </c>
      <c r="N337" s="306" t="str">
        <f>IF(INDEX($B$247:$N$257,1,$B$5)="","",INDEX($B$247:$N$257,1,$B$5))</f>
        <v/>
      </c>
      <c r="O337">
        <f>IF(N337="",-1,N337)+1*0.000000001</f>
        <v>-0.99999999900000003</v>
      </c>
      <c r="P337" t="str">
        <f>INDEX($M$337:$M$346,MATCH(SMALL($O$337:$O$346,1),$O$337:$O$346,0))</f>
        <v>DJHSM</v>
      </c>
      <c r="Q337" s="306">
        <f>N(INDEX($N$337:$N$346,MATCH(SMALL($O$337:$O$346,1),$O$337:$O$346,0)))</f>
        <v>0</v>
      </c>
      <c r="S337" t="s">
        <v>85</v>
      </c>
      <c r="T337" s="160" t="str">
        <f>IF(INDEX($B$142:$N$152,1,$B$5)="","",INDEX($B$142:$N$152,1,$B$5))</f>
        <v/>
      </c>
      <c r="U337">
        <f>IF(T337="",-1,T337)+1*0.000000001</f>
        <v>-0.99999999900000003</v>
      </c>
      <c r="V337" t="str">
        <f>INDEX($S$337:$S$345,MATCH(SMALL($U$337:$U$345,1),$U$337:$U$345,0))</f>
        <v>DJHSM</v>
      </c>
      <c r="W337" s="160">
        <f>N(INDEX($T$337:$T$345,MATCH(SMALL($U$337:$U$345,1),$U$337:$U$345,0)))</f>
        <v>0</v>
      </c>
    </row>
    <row r="338" spans="1:23" x14ac:dyDescent="0.25">
      <c r="A338" t="s">
        <v>91</v>
      </c>
      <c r="B338" s="160">
        <f>IF(INDEX($B$22:$N$32,2,$B$5)="","",INDEX($B$22:$N$32,2,$B$5))</f>
        <v>3820</v>
      </c>
      <c r="C338">
        <f>IF(B338="",-1,B338)+2*0.000000001</f>
        <v>3820.000000002</v>
      </c>
      <c r="D338" t="str">
        <f>INDEX($A$337:$A$346,MATCH(SMALL($C$337:$C$346,2),$C$337:$C$346,0))</f>
        <v>AKSM</v>
      </c>
      <c r="E338" s="160">
        <f>N(INDEX($B$337:$B$346,MATCH(SMALL($C$337:$C$346,2),$C$337:$C$346,0)))</f>
        <v>0</v>
      </c>
      <c r="G338" t="s">
        <v>91</v>
      </c>
      <c r="H338" s="160">
        <f>IF(INDEX($B$67:$N$77,2,$B$5)="","",INDEX($B$67:$N$77,2,$B$5)/1000)</f>
        <v>13.436</v>
      </c>
      <c r="I338">
        <f>IF(H338="",-1,H338)+2*0.000000001</f>
        <v>13.436000002</v>
      </c>
      <c r="J338" t="str">
        <f>INDEX($G$337:$G$346,MATCH(SMALL($I$337:$I$346,2),$I$337:$I$346,0))</f>
        <v>AKSC</v>
      </c>
      <c r="K338" s="160">
        <f>N(INDEX($H$337:$H$346,MATCH(SMALL($I$337:$I$346,2),$I$337:$I$346,0)))</f>
        <v>0</v>
      </c>
      <c r="M338" t="s">
        <v>91</v>
      </c>
      <c r="N338" s="306">
        <f>IF(INDEX($B$247:$N$257,2,$B$5)="","",INDEX($B$247:$N$257,2,$B$5))</f>
        <v>11.415445026178011</v>
      </c>
      <c r="O338">
        <f>IF(N338="",-1,N338)+2*0.000000001</f>
        <v>11.415445028178011</v>
      </c>
      <c r="P338" t="str">
        <f>INDEX($M$337:$M$346,MATCH(SMALL($O$337:$O$346,2),$O$337:$O$346,0))</f>
        <v>AKSM</v>
      </c>
      <c r="Q338" s="306">
        <f>N(INDEX($N$337:$N$346,MATCH(SMALL($O$337:$O$346,2),$O$337:$O$346,0)))</f>
        <v>0</v>
      </c>
      <c r="S338" t="s">
        <v>91</v>
      </c>
      <c r="T338" s="160">
        <f>IF(INDEX($B$142:$N$152,2,$B$5)="","",INDEX($B$142:$N$152,2,$B$5))</f>
        <v>37240</v>
      </c>
      <c r="U338">
        <f>IF(T338="",-1,T338)+2*0.000000001</f>
        <v>37240.000000002001</v>
      </c>
      <c r="V338" t="str">
        <f>INDEX($S$337:$S$345,MATCH(SMALL($U$337:$U$345,2),$U$337:$U$345,0))</f>
        <v>AKSM</v>
      </c>
      <c r="W338" s="160">
        <f>N(INDEX($T$337:$T$345,MATCH(SMALL($U$337:$U$345,2),$U$337:$U$345,0)))</f>
        <v>0</v>
      </c>
    </row>
    <row r="339" spans="1:23" x14ac:dyDescent="0.25">
      <c r="A339" t="s">
        <v>93</v>
      </c>
      <c r="B339" s="160" t="str">
        <f>IF(INDEX($B$22:$N$32,3,$B$5)="","",INDEX($B$22:$N$32,3,$B$5))</f>
        <v/>
      </c>
      <c r="C339">
        <f>IF(B339="",-1,B339)+3*0.000000001</f>
        <v>-0.99999999699999997</v>
      </c>
      <c r="D339" t="str">
        <f>INDEX($A$337:$A$346,MATCH(SMALL($C$337:$C$346,3),$C$337:$C$346,0))</f>
        <v>AKSS</v>
      </c>
      <c r="E339" s="160">
        <f>N(INDEX($B$337:$B$346,MATCH(SMALL($C$337:$C$346,3),$C$337:$C$346,0)))</f>
        <v>0</v>
      </c>
      <c r="G339" t="s">
        <v>93</v>
      </c>
      <c r="H339" s="160" t="str">
        <f>IF(INDEX($B$67:$N$77,3,$B$5)="","",INDEX($B$67:$N$77,3,$B$5)/1000)</f>
        <v/>
      </c>
      <c r="I339">
        <f>IF(H339="",-1,H339)+3*0.000000001</f>
        <v>-0.99999999699999997</v>
      </c>
      <c r="J339" t="str">
        <f>INDEX($G$337:$G$346,MATCH(SMALL($I$337:$I$346,3),$I$337:$I$346,0))</f>
        <v>DJG</v>
      </c>
      <c r="K339" s="160">
        <f>N(INDEX($H$337:$H$346,MATCH(SMALL($I$337:$I$346,3),$I$337:$I$346,0)))</f>
        <v>13.436</v>
      </c>
      <c r="M339" t="s">
        <v>93</v>
      </c>
      <c r="N339" s="306" t="str">
        <f>IF(INDEX($B$247:$N$257,3,$B$5)="","",INDEX($B$247:$N$257,3,$B$5))</f>
        <v/>
      </c>
      <c r="O339">
        <f>IF(N339="",-1,N339)+3*0.000000001</f>
        <v>-0.99999999699999997</v>
      </c>
      <c r="P339" t="str">
        <f>INDEX($M$337:$M$346,MATCH(SMALL($O$337:$O$346,3),$O$337:$O$346,0))</f>
        <v>AKSS</v>
      </c>
      <c r="Q339" s="306">
        <f>N(INDEX($N$337:$N$346,MATCH(SMALL($O$337:$O$346,3),$O$337:$O$346,0)))</f>
        <v>0</v>
      </c>
      <c r="S339" t="s">
        <v>93</v>
      </c>
      <c r="T339" s="160" t="str">
        <f>IF(INDEX($B$142:$N$152,3,$B$5)="","",INDEX($B$142:$N$152,3,$B$5))</f>
        <v/>
      </c>
      <c r="U339">
        <f>IF(T339="",-1,T339)+3*0.000000001</f>
        <v>-0.99999999699999997</v>
      </c>
      <c r="V339" t="str">
        <f>INDEX($S$337:$S$345,MATCH(SMALL($U$337:$U$345,3),$U$337:$U$345,0))</f>
        <v>AKSC</v>
      </c>
      <c r="W339" s="160">
        <f>N(INDEX($T$337:$T$345,MATCH(SMALL($U$337:$U$345,3),$U$337:$U$345,0)))</f>
        <v>0</v>
      </c>
    </row>
    <row r="340" spans="1:23" x14ac:dyDescent="0.25">
      <c r="A340" t="s">
        <v>98</v>
      </c>
      <c r="B340" s="160" t="str">
        <f>IF(INDEX($B$22:$N$32,4,$B$5)="","",INDEX($B$22:$N$32,4,$B$5))</f>
        <v/>
      </c>
      <c r="C340">
        <f>IF(B340="",-1,B340)+4*0.000000001</f>
        <v>-0.999999996</v>
      </c>
      <c r="D340" t="str">
        <f>INDEX($A$337:$A$346,MATCH(SMALL($C$337:$C$346,4),$C$337:$C$346,0))</f>
        <v>AKSC</v>
      </c>
      <c r="E340" s="160">
        <f>N(INDEX($B$337:$B$346,MATCH(SMALL($C$337:$C$346,4),$C$337:$C$346,0)))</f>
        <v>0</v>
      </c>
      <c r="G340" t="s">
        <v>98</v>
      </c>
      <c r="H340" s="160">
        <f>IF(INDEX($B$67:$N$77,4,$B$5)="","",INDEX($B$67:$N$77,4,$B$5)/1000)</f>
        <v>27.9</v>
      </c>
      <c r="I340">
        <f>IF(H340="",-1,H340)+4*0.000000001</f>
        <v>27.900000003999999</v>
      </c>
      <c r="J340" t="str">
        <f>INDEX($G$337:$G$346,MATCH(SMALL($I$337:$I$346,4),$I$337:$I$346,0))</f>
        <v>AKSS</v>
      </c>
      <c r="K340" s="160">
        <f>N(INDEX($H$337:$H$346,MATCH(SMALL($I$337:$I$346,4),$I$337:$I$346,0)))</f>
        <v>27.9</v>
      </c>
      <c r="M340" t="s">
        <v>98</v>
      </c>
      <c r="N340" s="306" t="str">
        <f>IF(INDEX($B$247:$N$257,4,$B$5)="","",INDEX($B$247:$N$257,4,$B$5))</f>
        <v/>
      </c>
      <c r="O340">
        <f>IF(N340="",-1,N340)+4*0.000000001</f>
        <v>-0.999999996</v>
      </c>
      <c r="P340" t="str">
        <f>INDEX($M$337:$M$346,MATCH(SMALL($O$337:$O$346,4),$O$337:$O$346,0))</f>
        <v>AKSC</v>
      </c>
      <c r="Q340" s="306">
        <f>N(INDEX($N$337:$N$346,MATCH(SMALL($O$337:$O$346,4),$O$337:$O$346,0)))</f>
        <v>0</v>
      </c>
      <c r="S340" t="s">
        <v>98</v>
      </c>
      <c r="T340" s="160">
        <f>IF(INDEX($B$142:$N$152,4,$B$5)="","",INDEX($B$142:$N$152,4,$B$5))</f>
        <v>6020</v>
      </c>
      <c r="U340">
        <f>IF(T340="",-1,T340)+4*0.000000001</f>
        <v>6020.000000004</v>
      </c>
      <c r="V340" t="str">
        <f>INDEX($S$337:$S$345,MATCH(SMALL($U$337:$U$345,4),$U$337:$U$345,0))</f>
        <v>AKHH</v>
      </c>
      <c r="W340" s="160">
        <f>N(INDEX($T$337:$T$345,MATCH(SMALL($U$337:$U$345,4),$U$337:$U$345,0)))</f>
        <v>0</v>
      </c>
    </row>
    <row r="341" spans="1:23" x14ac:dyDescent="0.25">
      <c r="A341" t="s">
        <v>100</v>
      </c>
      <c r="B341" s="160" t="str">
        <f>IF(INDEX($B$22:$N$32,5,$B$5)="","",INDEX($B$22:$N$32,5,$B$5))</f>
        <v/>
      </c>
      <c r="C341">
        <f>IF(B341="",-1,B341)+5*0.000000001</f>
        <v>-0.99999999500000003</v>
      </c>
      <c r="D341" t="str">
        <f>INDEX($A$337:$A$346,MATCH(SMALL($C$337:$C$346,5),$C$337:$C$346,0))</f>
        <v>PJHSW</v>
      </c>
      <c r="E341" s="160">
        <f>N(INDEX($B$337:$B$346,MATCH(SMALL($C$337:$C$346,5),$C$337:$C$346,0)))</f>
        <v>0</v>
      </c>
      <c r="G341" t="s">
        <v>100</v>
      </c>
      <c r="H341" s="160" t="str">
        <f>IF(INDEX($B$67:$N$77,5,$B$5)="","",INDEX($B$67:$N$77,5,$B$5)/1000)</f>
        <v/>
      </c>
      <c r="I341">
        <f>IF(H341="",-1,H341)+5*0.000000001</f>
        <v>-0.99999999500000003</v>
      </c>
      <c r="J341" t="str">
        <f>INDEX($G$337:$G$346,MATCH(SMALL($I$337:$I$346,5),$I$337:$I$346,0))</f>
        <v>DJHSM</v>
      </c>
      <c r="K341" s="160">
        <f>N(INDEX($H$337:$H$346,MATCH(SMALL($I$337:$I$346,5),$I$337:$I$346,0)))</f>
        <v>42.29999999999972</v>
      </c>
      <c r="M341" t="s">
        <v>100</v>
      </c>
      <c r="N341" s="306" t="str">
        <f>IF(INDEX($B$247:$N$257,5,$B$5)="","",INDEX($B$247:$N$257,5,$B$5))</f>
        <v/>
      </c>
      <c r="O341">
        <f>IF(N341="",-1,N341)+5*0.000000001</f>
        <v>-0.99999999500000003</v>
      </c>
      <c r="P341" t="str">
        <f>INDEX($M$337:$M$346,MATCH(SMALL($O$337:$O$346,5),$O$337:$O$346,0))</f>
        <v>PJHSW</v>
      </c>
      <c r="Q341" s="306">
        <f>N(INDEX($N$337:$N$346,MATCH(SMALL($O$337:$O$346,5),$O$337:$O$346,0)))</f>
        <v>0</v>
      </c>
      <c r="S341" t="s">
        <v>100</v>
      </c>
      <c r="T341" s="160" t="str">
        <f>IF(INDEX($B$142:$N$152,5,$B$5)="","",INDEX($B$142:$N$152,5,$B$5))</f>
        <v/>
      </c>
      <c r="U341">
        <f>IF(T341="",-1,T341)+5*0.000000001</f>
        <v>-0.99999999500000003</v>
      </c>
      <c r="V341" t="str">
        <f>INDEX($S$337:$S$345,MATCH(SMALL($U$337:$U$345,5),$U$337:$U$345,0))</f>
        <v>PJHSW</v>
      </c>
      <c r="W341" s="160">
        <f>N(INDEX($T$337:$T$345,MATCH(SMALL($U$337:$U$345,5),$U$337:$U$345,0)))</f>
        <v>2730</v>
      </c>
    </row>
    <row r="342" spans="1:23" x14ac:dyDescent="0.25">
      <c r="A342" t="s">
        <v>224</v>
      </c>
      <c r="B342" s="160">
        <f>IF(INDEX($B$22:$N$32,6,$B$5)="","",INDEX($B$22:$N$32,6,$B$5))</f>
        <v>1187</v>
      </c>
      <c r="C342">
        <f>IF(B342="",-1,B342)+6*0.000000001</f>
        <v>1187.0000000059999</v>
      </c>
      <c r="D342" t="str">
        <f>INDEX($A$337:$A$346,MATCH(SMALL($C$337:$C$346,6),$C$337:$C$346,0))</f>
        <v>DJHSH (PRI)</v>
      </c>
      <c r="E342" s="160">
        <f>N(INDEX($B$337:$B$346,MATCH(SMALL($C$337:$C$346,6),$C$337:$C$346,0)))</f>
        <v>1187</v>
      </c>
      <c r="G342" t="s">
        <v>224</v>
      </c>
      <c r="H342" s="160">
        <f>IF(INDEX($B$67:$N$77,6,$B$5)="","",INDEX($B$67:$N$77,6,$B$5)/1000)</f>
        <v>78.11</v>
      </c>
      <c r="I342">
        <f>IF(H342="",-1,H342)+6*0.000000001</f>
        <v>78.110000005999993</v>
      </c>
      <c r="J342" t="str">
        <f>INDEX($G$337:$G$346,MATCH(SMALL($I$337:$I$346,6),$I$337:$I$346,0))</f>
        <v>DJHSH (PRI)</v>
      </c>
      <c r="K342" s="160">
        <f>N(INDEX($H$337:$H$346,MATCH(SMALL($I$337:$I$346,6),$I$337:$I$346,0)))</f>
        <v>78.11</v>
      </c>
      <c r="M342" t="s">
        <v>224</v>
      </c>
      <c r="N342" s="306">
        <f>IF(INDEX($B$247:$N$257,6,$B$5)="","",INDEX($B$247:$N$257,6,$B$5))</f>
        <v>11.405223251895535</v>
      </c>
      <c r="O342">
        <f>IF(N342="",-1,N342)+6*0.000000001</f>
        <v>11.405223257895535</v>
      </c>
      <c r="P342" t="str">
        <f>INDEX($M$337:$M$346,MATCH(SMALL($O$337:$O$346,6),$O$337:$O$346,0))</f>
        <v>DJHSH (HS)</v>
      </c>
      <c r="Q342" s="306">
        <f>N(INDEX($N$337:$N$346,MATCH(SMALL($O$337:$O$346,6),$O$337:$O$346,0)))</f>
        <v>11.333819667347534</v>
      </c>
      <c r="S342" t="s">
        <v>689</v>
      </c>
      <c r="T342" s="160">
        <f>IF(INDEX($B$142:$N$152,6,$B$5)="","",INDEX($B$142:$N$152,6,$B$5))</f>
        <v>9588</v>
      </c>
      <c r="U342">
        <f>IF(T342="",-1,T342)+6*0.000000001</f>
        <v>9588.0000000060008</v>
      </c>
      <c r="V342" t="str">
        <f>INDEX($S$337:$S$345,MATCH(SMALL($U$337:$U$345,6),$U$337:$U$345,0))</f>
        <v>AKSS</v>
      </c>
      <c r="W342" s="160">
        <f>N(INDEX($T$337:$T$345,MATCH(SMALL($U$337:$U$345,6),$U$337:$U$345,0)))</f>
        <v>6020</v>
      </c>
    </row>
    <row r="343" spans="1:23" x14ac:dyDescent="0.25">
      <c r="A343" t="s">
        <v>106</v>
      </c>
      <c r="B343" s="160">
        <f>IF(INDEX($B$22:$N$32,7,$B$5)="","",INDEX($B$22:$N$32,7,$B$5))</f>
        <v>3427</v>
      </c>
      <c r="C343">
        <f>IF(B343="",-1,B343)+7*0.000000001</f>
        <v>3427.0000000069999</v>
      </c>
      <c r="D343" t="str">
        <f>INDEX($A$337:$A$346,MATCH(SMALL($C$337:$C$346,7),$C$337:$C$346,0))</f>
        <v>LSHSA</v>
      </c>
      <c r="E343" s="160">
        <f>N(INDEX($B$337:$B$346,MATCH(SMALL($C$337:$C$346,7),$C$337:$C$346,0)))</f>
        <v>3089</v>
      </c>
      <c r="G343" t="s">
        <v>106</v>
      </c>
      <c r="H343" s="160">
        <f>IF(INDEX($B$67:$N$77,7,$B$5)="","",INDEX($B$67:$N$77,7,$B$5)/1000)</f>
        <v>141.30000000000001</v>
      </c>
      <c r="I343">
        <f>IF(H343="",-1,H343)+7*0.000000001</f>
        <v>141.30000000700002</v>
      </c>
      <c r="J343" t="str">
        <f>INDEX($G$337:$G$346,MATCH(SMALL($I$337:$I$346,7),$I$337:$I$346,0))</f>
        <v>DJHSH (HS)</v>
      </c>
      <c r="K343" s="160">
        <f>N(INDEX($H$337:$H$346,MATCH(SMALL($I$337:$I$346,7),$I$337:$I$346,0)))</f>
        <v>141.30000000000001</v>
      </c>
      <c r="M343" t="s">
        <v>106</v>
      </c>
      <c r="N343" s="306">
        <f>IF(INDEX($B$247:$N$257,7,$B$5)="","",INDEX($B$247:$N$257,7,$B$5))</f>
        <v>11.333819667347534</v>
      </c>
      <c r="O343">
        <f>IF(N343="",-1,N343)+7*0.000000001</f>
        <v>11.333819674347534</v>
      </c>
      <c r="P343" t="str">
        <f>INDEX($M$337:$M$346,MATCH(SMALL($O$337:$O$346,7),$O$337:$O$346,0))</f>
        <v>DJHSH (PRI)</v>
      </c>
      <c r="Q343" s="306">
        <f>N(INDEX($N$337:$N$346,MATCH(SMALL($O$337:$O$346,7),$O$337:$O$346,0)))</f>
        <v>11.405223251895535</v>
      </c>
      <c r="S343" t="s">
        <v>108</v>
      </c>
      <c r="T343" s="160">
        <f>IF(INDEX($B$142:$N$152,8,$B$5)="","",INDEX($B$142:$N$152,8,$B$5))</f>
        <v>2730</v>
      </c>
      <c r="U343">
        <f>IF(T343="",-1,T343)+7*0.000000001</f>
        <v>2730.0000000069999</v>
      </c>
      <c r="V343" t="str">
        <f>INDEX($S$337:$S$345,MATCH(SMALL($U$337:$U$345,7),$U$337:$U$345,0))</f>
        <v>DJHSH (PRI+HS)</v>
      </c>
      <c r="W343" s="160">
        <f>N(INDEX($T$337:$T$345,MATCH(SMALL($U$337:$U$345,7),$U$337:$U$345,0)))</f>
        <v>9588</v>
      </c>
    </row>
    <row r="344" spans="1:23" x14ac:dyDescent="0.25">
      <c r="A344" t="s">
        <v>108</v>
      </c>
      <c r="B344" s="160" t="str">
        <f>IF(INDEX($B$22:$N$32,8,$B$5)="","",INDEX($B$22:$N$32,8,$B$5))</f>
        <v/>
      </c>
      <c r="C344">
        <f>IF(B344="",-1,B344)+8*0.000000001</f>
        <v>-0.999999992</v>
      </c>
      <c r="D344" t="str">
        <f>INDEX($A$337:$A$346,MATCH(SMALL($C$337:$C$346,8),$C$337:$C$346,0))</f>
        <v>DJHSH (HS)</v>
      </c>
      <c r="E344" s="160">
        <f>N(INDEX($B$337:$B$346,MATCH(SMALL($C$337:$C$346,8),$C$337:$C$346,0)))</f>
        <v>3427</v>
      </c>
      <c r="G344" t="s">
        <v>108</v>
      </c>
      <c r="H344" s="160">
        <f>IF(INDEX($B$67:$N$77,8,$B$5)="","",INDEX($B$67:$N$77,8,$B$5)/1000)</f>
        <v>699</v>
      </c>
      <c r="I344">
        <f>IF(H344="",-1,H344)+8*0.000000001</f>
        <v>699.00000000800003</v>
      </c>
      <c r="J344" t="str">
        <f>INDEX($G$337:$G$346,MATCH(SMALL($I$337:$I$346,8),$I$337:$I$346,0))</f>
        <v>LSHSA</v>
      </c>
      <c r="K344" s="160">
        <f>N(INDEX($H$337:$H$346,MATCH(SMALL($I$337:$I$346,8),$I$337:$I$346,0)))</f>
        <v>456.33</v>
      </c>
      <c r="M344" t="s">
        <v>108</v>
      </c>
      <c r="N344" s="306" t="str">
        <f>IF(INDEX($B$247:$N$257,8,$B$5)="","",INDEX($B$247:$N$257,8,$B$5))</f>
        <v/>
      </c>
      <c r="O344">
        <f>IF(N344="",-1,N344)+8*0.000000001</f>
        <v>-0.999999992</v>
      </c>
      <c r="P344" t="str">
        <f>INDEX($M$337:$M$346,MATCH(SMALL($O$337:$O$346,8),$O$337:$O$346,0))</f>
        <v>DJG</v>
      </c>
      <c r="Q344" s="306">
        <f>N(INDEX($N$337:$N$346,MATCH(SMALL($O$337:$O$346,8),$O$337:$O$346,0)))</f>
        <v>11.415445026178011</v>
      </c>
      <c r="S344" t="s">
        <v>110</v>
      </c>
      <c r="T344" s="160">
        <f>IF(INDEX($B$142:$N$152,9,$B$5)="","",INDEX($B$142:$N$152,9,$B$5))</f>
        <v>20150</v>
      </c>
      <c r="U344">
        <f>IF(T344="",-1,T344)+8*0.000000001</f>
        <v>20150.000000008</v>
      </c>
      <c r="V344" t="str">
        <f>INDEX($S$337:$S$345,MATCH(SMALL($U$337:$U$345,8),$U$337:$U$345,0))</f>
        <v>LSHSA</v>
      </c>
      <c r="W344" s="160">
        <f>N(INDEX($T$337:$T$345,MATCH(SMALL($U$337:$U$345,8),$U$337:$U$345,0)))</f>
        <v>20150</v>
      </c>
    </row>
    <row r="345" spans="1:23" x14ac:dyDescent="0.25">
      <c r="A345" t="s">
        <v>110</v>
      </c>
      <c r="B345" s="160">
        <f>IF(INDEX($B$22:$N$32,9,$B$5)="","",INDEX($B$22:$N$32,9,$B$5))</f>
        <v>3089</v>
      </c>
      <c r="C345">
        <f>IF(B345="",-1,B345)+9*0.000000001</f>
        <v>3089.0000000089999</v>
      </c>
      <c r="D345" t="str">
        <f>INDEX($A$337:$A$346,MATCH(SMALL($C$337:$C$346,9),$C$337:$C$346,0))</f>
        <v>DJG</v>
      </c>
      <c r="E345" s="160">
        <f>N(INDEX($B$337:$B$346,MATCH(SMALL($C$337:$C$346,9),$C$337:$C$346,0)))</f>
        <v>3820</v>
      </c>
      <c r="G345" t="s">
        <v>110</v>
      </c>
      <c r="H345" s="160">
        <f>IF(INDEX($B$67:$N$77,9,$B$5)="","",INDEX($B$67:$N$77,9,$B$5)/1000)</f>
        <v>456.33</v>
      </c>
      <c r="I345">
        <f>IF(H345="",-1,H345)+9*0.000000001</f>
        <v>456.330000009</v>
      </c>
      <c r="J345" t="str">
        <f>INDEX($G$337:$G$346,MATCH(SMALL($I$337:$I$346,9),$I$337:$I$346,0))</f>
        <v>PJHSW</v>
      </c>
      <c r="K345" s="160">
        <f>N(INDEX($H$337:$H$346,MATCH(SMALL($I$337:$I$346,9),$I$337:$I$346,0)))</f>
        <v>699</v>
      </c>
      <c r="M345" t="s">
        <v>110</v>
      </c>
      <c r="N345" s="306">
        <f>IF(INDEX($B$247:$N$257,9,$B$5)="","",INDEX($B$247:$N$257,9,$B$5))</f>
        <v>12.289414049854322</v>
      </c>
      <c r="O345">
        <f>IF(N345="",-1,N345)+9*0.000000001</f>
        <v>12.289414058854323</v>
      </c>
      <c r="P345" t="str">
        <f>INDEX($M$337:$M$346,MATCH(SMALL($O$337:$O$346,9),$O$337:$O$346,0))</f>
        <v>LSHSA</v>
      </c>
      <c r="Q345" s="306">
        <f>N(INDEX($N$337:$N$346,MATCH(SMALL($O$337:$O$346,9),$O$337:$O$346,0)))</f>
        <v>12.289414049854322</v>
      </c>
      <c r="S345" t="s">
        <v>112</v>
      </c>
      <c r="T345" s="160" t="str">
        <f>IF(INDEX($B$142:$N$152,10,$B$5)="","",INDEX($B$142:$N$152,10,$B$5))</f>
        <v/>
      </c>
      <c r="U345">
        <f>IF(T345="",-1,T345)+9*0.000000001</f>
        <v>-0.99999999100000003</v>
      </c>
      <c r="V345" t="str">
        <f>INDEX($S$337:$S$345,MATCH(SMALL($U$337:$U$345,9),$U$337:$U$345,0))</f>
        <v>DJG</v>
      </c>
      <c r="W345" s="160">
        <f>N(INDEX($T$337:$T$345,MATCH(SMALL($U$337:$U$345,9),$U$337:$U$345,0)))</f>
        <v>37240</v>
      </c>
    </row>
    <row r="346" spans="1:23" x14ac:dyDescent="0.25">
      <c r="A346" t="s">
        <v>112</v>
      </c>
      <c r="B346" s="160">
        <f>IF(INDEX($B$22:$N$32,10,$B$5)="","",INDEX($B$22:$N$32,10,$B$5))</f>
        <v>9252</v>
      </c>
      <c r="C346">
        <f>IF(B346="",-1,B346)+10*0.000000001</f>
        <v>9252.0000000100008</v>
      </c>
      <c r="D346" t="str">
        <f>INDEX($A$337:$A$346,MATCH(SMALL($C$337:$C$346,10),$C$337:$C$346,0))</f>
        <v>AKHH</v>
      </c>
      <c r="E346" s="160">
        <f>N(INDEX($B$337:$B$346,MATCH(SMALL($C$337:$C$346,10),$C$337:$C$346,0)))</f>
        <v>9252</v>
      </c>
      <c r="G346" t="s">
        <v>112</v>
      </c>
      <c r="H346" s="160">
        <f>IF(INDEX($B$67:$N$77,10,$B$5)="","",INDEX($B$67:$N$77,10,$B$5)/1000)</f>
        <v>1588</v>
      </c>
      <c r="I346">
        <f>IF(H346="",-1,H346)+10*0.000000001</f>
        <v>1588.0000000099999</v>
      </c>
      <c r="J346" t="str">
        <f>INDEX($G$337:$G$346,MATCH(SMALL($I$337:$I$346,10),$I$337:$I$346,0))</f>
        <v>AKHH</v>
      </c>
      <c r="K346" s="160">
        <f>N(INDEX($H$337:$H$346,MATCH(SMALL($I$337:$I$346,10),$I$337:$I$346,0)))</f>
        <v>1588</v>
      </c>
      <c r="M346" t="s">
        <v>112</v>
      </c>
      <c r="N346" s="306">
        <f>IF(INDEX($B$247:$N$257,10,$B$5)="","",INDEX($B$247:$N$257,10,$B$5))</f>
        <v>13.217682663207954</v>
      </c>
      <c r="O346">
        <f>IF(N346="",-1,N346)+10*0.000000001</f>
        <v>13.217682673207955</v>
      </c>
      <c r="P346" t="str">
        <f>INDEX($M$337:$M$346,MATCH(SMALL($O$337:$O$346,10),$O$337:$O$346,0))</f>
        <v>AKHH</v>
      </c>
      <c r="Q346" s="306">
        <f>N(INDEX($N$337:$N$346,MATCH(SMALL($O$337:$O$346,10),$O$337:$O$346,0)))</f>
        <v>13.217682663207954</v>
      </c>
    </row>
    <row r="352" spans="1:23" x14ac:dyDescent="0.25">
      <c r="A352" s="525" t="s">
        <v>690</v>
      </c>
    </row>
    <row r="353" spans="1:13" x14ac:dyDescent="0.25">
      <c r="A353" s="523" t="s">
        <v>691</v>
      </c>
      <c r="B353" s="523" t="s">
        <v>692</v>
      </c>
      <c r="C353" s="523" t="s">
        <v>509</v>
      </c>
      <c r="D353" s="523" t="s">
        <v>693</v>
      </c>
    </row>
    <row r="354" spans="1:13" x14ac:dyDescent="0.25">
      <c r="A354" t="s">
        <v>133</v>
      </c>
      <c r="B354" t="s">
        <v>694</v>
      </c>
      <c r="C354">
        <f t="shared" ref="C354:C360" si="145">IF($B$5=13,SUMIFS($F$442:$F$558,$C$442:$C$558,$A354),SUMIFS($F$442:$F$558,$C$442:$C$558,$A354,$B$442:$B$558,$B$5))</f>
        <v>3</v>
      </c>
      <c r="D354" s="160">
        <f t="shared" ref="D354:D360" si="146">IF($B$5=13,SUMIFS($G$442:$G$558,$C$442:$C$558,$A354),SUMIFS($G$442:$G$558,$C$442:$C$558,$A354,$B$442:$B$558,$B$5))</f>
        <v>38270</v>
      </c>
    </row>
    <row r="355" spans="1:13" x14ac:dyDescent="0.25">
      <c r="A355" t="s">
        <v>134</v>
      </c>
      <c r="B355" t="s">
        <v>695</v>
      </c>
      <c r="C355">
        <f t="shared" si="145"/>
        <v>5</v>
      </c>
      <c r="D355" s="160">
        <f t="shared" si="146"/>
        <v>0</v>
      </c>
    </row>
    <row r="356" spans="1:13" x14ac:dyDescent="0.25">
      <c r="A356" t="s">
        <v>135</v>
      </c>
      <c r="B356" t="s">
        <v>696</v>
      </c>
      <c r="C356">
        <f t="shared" si="145"/>
        <v>17</v>
      </c>
      <c r="D356" s="160">
        <f t="shared" si="146"/>
        <v>4500</v>
      </c>
    </row>
    <row r="357" spans="1:13" x14ac:dyDescent="0.25">
      <c r="A357" t="s">
        <v>136</v>
      </c>
      <c r="B357" t="s">
        <v>697</v>
      </c>
      <c r="C357">
        <f t="shared" si="145"/>
        <v>24</v>
      </c>
      <c r="D357" s="160">
        <f t="shared" si="146"/>
        <v>10050</v>
      </c>
    </row>
    <row r="358" spans="1:13" x14ac:dyDescent="0.25">
      <c r="A358" t="s">
        <v>137</v>
      </c>
      <c r="B358" t="s">
        <v>698</v>
      </c>
      <c r="C358">
        <f t="shared" si="145"/>
        <v>10</v>
      </c>
      <c r="D358" s="160">
        <f t="shared" si="146"/>
        <v>2124</v>
      </c>
    </row>
    <row r="359" spans="1:13" x14ac:dyDescent="0.25">
      <c r="A359" t="s">
        <v>138</v>
      </c>
      <c r="B359" t="s">
        <v>138</v>
      </c>
      <c r="C359">
        <f t="shared" si="145"/>
        <v>28</v>
      </c>
      <c r="D359" s="160">
        <f t="shared" si="146"/>
        <v>6020</v>
      </c>
    </row>
    <row r="360" spans="1:13" x14ac:dyDescent="0.25">
      <c r="A360" t="s">
        <v>139</v>
      </c>
      <c r="B360" t="s">
        <v>699</v>
      </c>
      <c r="C360">
        <f t="shared" si="145"/>
        <v>9</v>
      </c>
      <c r="D360" s="160">
        <f t="shared" si="146"/>
        <v>14764</v>
      </c>
    </row>
    <row r="365" spans="1:13" x14ac:dyDescent="0.25">
      <c r="A365" s="525" t="s">
        <v>700</v>
      </c>
    </row>
    <row r="366" spans="1:13" x14ac:dyDescent="0.25">
      <c r="A366" s="523" t="s">
        <v>265</v>
      </c>
      <c r="B366" s="523" t="s">
        <v>9</v>
      </c>
      <c r="C366" s="523" t="s">
        <v>619</v>
      </c>
      <c r="D366" s="523" t="s">
        <v>85</v>
      </c>
      <c r="E366" s="523" t="s">
        <v>91</v>
      </c>
      <c r="F366" s="523" t="s">
        <v>93</v>
      </c>
      <c r="G366" s="523" t="s">
        <v>98</v>
      </c>
      <c r="H366" s="523" t="s">
        <v>100</v>
      </c>
      <c r="I366" s="523" t="s">
        <v>224</v>
      </c>
      <c r="J366" s="523" t="s">
        <v>106</v>
      </c>
      <c r="K366" s="523" t="s">
        <v>108</v>
      </c>
      <c r="L366" s="523" t="s">
        <v>110</v>
      </c>
      <c r="M366" s="523" t="s">
        <v>112</v>
      </c>
    </row>
    <row r="367" spans="1:13" x14ac:dyDescent="0.25">
      <c r="A367" t="s">
        <v>382</v>
      </c>
      <c r="B367">
        <f t="shared" ref="B367:B373" si="147">SUM(D367:M367)</f>
        <v>12</v>
      </c>
      <c r="C367">
        <f t="shared" ref="C367:C373" si="148">IF($B$6=11,B367,INDEX(D367:M367,1,$B$6))</f>
        <v>12</v>
      </c>
      <c r="D367">
        <f t="shared" ref="D367:D372" si="149">COUNTIFS($B$572:$B$689,$H$4,$C$572:$C$689,$A367)</f>
        <v>1</v>
      </c>
      <c r="E367">
        <f t="shared" ref="E367:E372" si="150">COUNTIFS($B$572:$B$689,$H$5,$C$572:$C$689,$A367)</f>
        <v>0</v>
      </c>
      <c r="F367">
        <f t="shared" ref="F367:F372" si="151">COUNTIFS($B$572:$B$689,$H$6,$C$572:$C$689,$A367)</f>
        <v>4</v>
      </c>
      <c r="G367">
        <f t="shared" ref="G367:G372" si="152">COUNTIFS($B$572:$B$689,$H$7,$C$572:$C$689,$A367)</f>
        <v>0</v>
      </c>
      <c r="H367">
        <f t="shared" ref="H367:H372" si="153">COUNTIFS($B$572:$B$689,$H$8,$C$572:$C$689,$A367)</f>
        <v>5</v>
      </c>
      <c r="I367">
        <f t="shared" ref="I367:I372" si="154">COUNTIFS($B$572:$B$689,$H$9,$C$572:$C$689,$A367)</f>
        <v>0</v>
      </c>
      <c r="J367">
        <f t="shared" ref="J367:J372" si="155">COUNTIFS($B$572:$B$689,$H$10,$C$572:$C$689,$A367)</f>
        <v>1</v>
      </c>
      <c r="K367">
        <f t="shared" ref="K367:K372" si="156">COUNTIFS($B$572:$B$689,$H$11,$C$572:$C$689,$A367)</f>
        <v>0</v>
      </c>
      <c r="L367">
        <f t="shared" ref="L367:L372" si="157">COUNTIFS($B$572:$B$689,$H$12,$C$572:$C$689,$A367)</f>
        <v>0</v>
      </c>
      <c r="M367">
        <f t="shared" ref="M367:M372" si="158">COUNTIFS($B$572:$B$689,$H$13,$C$572:$C$689,$A367)</f>
        <v>1</v>
      </c>
    </row>
    <row r="368" spans="1:13" x14ac:dyDescent="0.25">
      <c r="A368" t="s">
        <v>386</v>
      </c>
      <c r="B368">
        <f t="shared" si="147"/>
        <v>1</v>
      </c>
      <c r="C368">
        <f t="shared" si="148"/>
        <v>1</v>
      </c>
      <c r="D368">
        <f t="shared" si="149"/>
        <v>1</v>
      </c>
      <c r="E368">
        <f t="shared" si="150"/>
        <v>0</v>
      </c>
      <c r="F368">
        <f t="shared" si="151"/>
        <v>0</v>
      </c>
      <c r="G368">
        <f t="shared" si="152"/>
        <v>0</v>
      </c>
      <c r="H368">
        <f t="shared" si="153"/>
        <v>0</v>
      </c>
      <c r="I368">
        <f t="shared" si="154"/>
        <v>0</v>
      </c>
      <c r="J368">
        <f t="shared" si="155"/>
        <v>0</v>
      </c>
      <c r="K368">
        <f t="shared" si="156"/>
        <v>0</v>
      </c>
      <c r="L368">
        <f t="shared" si="157"/>
        <v>0</v>
      </c>
      <c r="M368">
        <f t="shared" si="158"/>
        <v>0</v>
      </c>
    </row>
    <row r="369" spans="1:13" x14ac:dyDescent="0.25">
      <c r="A369" t="s">
        <v>390</v>
      </c>
      <c r="B369">
        <f t="shared" si="147"/>
        <v>3</v>
      </c>
      <c r="C369">
        <f t="shared" si="148"/>
        <v>3</v>
      </c>
      <c r="D369">
        <f t="shared" si="149"/>
        <v>0</v>
      </c>
      <c r="E369">
        <f t="shared" si="150"/>
        <v>0</v>
      </c>
      <c r="F369">
        <f t="shared" si="151"/>
        <v>3</v>
      </c>
      <c r="G369">
        <f t="shared" si="152"/>
        <v>0</v>
      </c>
      <c r="H369">
        <f t="shared" si="153"/>
        <v>0</v>
      </c>
      <c r="I369">
        <f t="shared" si="154"/>
        <v>0</v>
      </c>
      <c r="J369">
        <f t="shared" si="155"/>
        <v>0</v>
      </c>
      <c r="K369">
        <f t="shared" si="156"/>
        <v>0</v>
      </c>
      <c r="L369">
        <f t="shared" si="157"/>
        <v>0</v>
      </c>
      <c r="M369">
        <f t="shared" si="158"/>
        <v>0</v>
      </c>
    </row>
    <row r="370" spans="1:13" x14ac:dyDescent="0.25">
      <c r="A370" t="s">
        <v>384</v>
      </c>
      <c r="B370">
        <f t="shared" si="147"/>
        <v>12</v>
      </c>
      <c r="C370">
        <f t="shared" si="148"/>
        <v>12</v>
      </c>
      <c r="D370">
        <f t="shared" si="149"/>
        <v>1</v>
      </c>
      <c r="E370">
        <f t="shared" si="150"/>
        <v>0</v>
      </c>
      <c r="F370">
        <f t="shared" si="151"/>
        <v>2</v>
      </c>
      <c r="G370">
        <f t="shared" si="152"/>
        <v>0</v>
      </c>
      <c r="H370">
        <f t="shared" si="153"/>
        <v>0</v>
      </c>
      <c r="I370">
        <f t="shared" si="154"/>
        <v>2</v>
      </c>
      <c r="J370">
        <f t="shared" si="155"/>
        <v>2</v>
      </c>
      <c r="K370">
        <f t="shared" si="156"/>
        <v>2</v>
      </c>
      <c r="L370">
        <f t="shared" si="157"/>
        <v>2</v>
      </c>
      <c r="M370">
        <f t="shared" si="158"/>
        <v>1</v>
      </c>
    </row>
    <row r="371" spans="1:13" x14ac:dyDescent="0.25">
      <c r="A371" t="s">
        <v>363</v>
      </c>
      <c r="B371">
        <f t="shared" si="147"/>
        <v>42</v>
      </c>
      <c r="C371">
        <f t="shared" si="148"/>
        <v>42</v>
      </c>
      <c r="D371">
        <f t="shared" si="149"/>
        <v>4</v>
      </c>
      <c r="E371">
        <f t="shared" si="150"/>
        <v>5</v>
      </c>
      <c r="F371">
        <f t="shared" si="151"/>
        <v>3</v>
      </c>
      <c r="G371">
        <f t="shared" si="152"/>
        <v>7</v>
      </c>
      <c r="H371">
        <f t="shared" si="153"/>
        <v>4</v>
      </c>
      <c r="I371">
        <f t="shared" si="154"/>
        <v>4</v>
      </c>
      <c r="J371">
        <f t="shared" si="155"/>
        <v>3</v>
      </c>
      <c r="K371">
        <f t="shared" si="156"/>
        <v>4</v>
      </c>
      <c r="L371">
        <f t="shared" si="157"/>
        <v>3</v>
      </c>
      <c r="M371">
        <f t="shared" si="158"/>
        <v>5</v>
      </c>
    </row>
    <row r="372" spans="1:13" x14ac:dyDescent="0.25">
      <c r="A372" t="s">
        <v>394</v>
      </c>
      <c r="B372">
        <f t="shared" si="147"/>
        <v>1</v>
      </c>
      <c r="C372">
        <f t="shared" si="148"/>
        <v>1</v>
      </c>
      <c r="D372">
        <f t="shared" si="149"/>
        <v>0</v>
      </c>
      <c r="E372">
        <f t="shared" si="150"/>
        <v>0</v>
      </c>
      <c r="F372">
        <f t="shared" si="151"/>
        <v>0</v>
      </c>
      <c r="G372">
        <f t="shared" si="152"/>
        <v>1</v>
      </c>
      <c r="H372">
        <f t="shared" si="153"/>
        <v>0</v>
      </c>
      <c r="I372">
        <f t="shared" si="154"/>
        <v>0</v>
      </c>
      <c r="J372">
        <f t="shared" si="155"/>
        <v>0</v>
      </c>
      <c r="K372">
        <f t="shared" si="156"/>
        <v>0</v>
      </c>
      <c r="L372">
        <f t="shared" si="157"/>
        <v>0</v>
      </c>
      <c r="M372">
        <f t="shared" si="158"/>
        <v>0</v>
      </c>
    </row>
    <row r="373" spans="1:13" x14ac:dyDescent="0.25">
      <c r="A373" t="s">
        <v>701</v>
      </c>
      <c r="B373">
        <f t="shared" si="147"/>
        <v>71</v>
      </c>
      <c r="C373">
        <f t="shared" si="148"/>
        <v>71</v>
      </c>
      <c r="D373">
        <f>COUNTIFS($B$572:$B$689,$H$4,$C$572:$C$689,"?*")</f>
        <v>7</v>
      </c>
      <c r="E373">
        <f>COUNTIFS($B$572:$B$689,$H$5,$C$572:$C$689,"?*")</f>
        <v>5</v>
      </c>
      <c r="F373">
        <f>COUNTIFS($B$572:$B$689,$H$6,$C$572:$C$689,"?*")</f>
        <v>12</v>
      </c>
      <c r="G373">
        <f>COUNTIFS($B$572:$B$689,$H$7,$C$572:$C$689,"?*")</f>
        <v>8</v>
      </c>
      <c r="H373">
        <f>COUNTIFS($B$572:$B$689,$H$8,$C$572:$C$689,"?*")</f>
        <v>9</v>
      </c>
      <c r="I373">
        <f>COUNTIFS($B$572:$B$689,$H$9,$C$572:$C$689,"?*")</f>
        <v>6</v>
      </c>
      <c r="J373">
        <f>COUNTIFS($B$572:$B$689,$H$10,$C$572:$C$689,"?*")</f>
        <v>6</v>
      </c>
      <c r="K373">
        <f>COUNTIFS($B$572:$B$689,$H$11,$C$572:$C$689,"?*")</f>
        <v>6</v>
      </c>
      <c r="L373">
        <f>COUNTIFS($B$572:$B$689,$H$12,$C$572:$C$689,"?*")</f>
        <v>5</v>
      </c>
      <c r="M373">
        <f>COUNTIFS($B$572:$B$689,$H$13,$C$572:$C$689,"?*")</f>
        <v>7</v>
      </c>
    </row>
    <row r="376" spans="1:13" x14ac:dyDescent="0.25">
      <c r="A376" s="525" t="s">
        <v>702</v>
      </c>
    </row>
    <row r="377" spans="1:13" x14ac:dyDescent="0.25">
      <c r="A377" s="523" t="s">
        <v>703</v>
      </c>
      <c r="B377" s="523" t="s">
        <v>9</v>
      </c>
      <c r="C377" s="523" t="s">
        <v>619</v>
      </c>
      <c r="D377" s="523" t="s">
        <v>85</v>
      </c>
      <c r="E377" s="523" t="s">
        <v>91</v>
      </c>
      <c r="F377" s="523" t="s">
        <v>93</v>
      </c>
      <c r="G377" s="523" t="s">
        <v>98</v>
      </c>
      <c r="H377" s="523" t="s">
        <v>100</v>
      </c>
      <c r="I377" s="523" t="s">
        <v>224</v>
      </c>
      <c r="J377" s="523" t="s">
        <v>106</v>
      </c>
      <c r="K377" s="523" t="s">
        <v>108</v>
      </c>
      <c r="L377" s="523" t="s">
        <v>110</v>
      </c>
      <c r="M377" s="523" t="s">
        <v>112</v>
      </c>
    </row>
    <row r="378" spans="1:13" x14ac:dyDescent="0.25">
      <c r="A378" t="s">
        <v>704</v>
      </c>
      <c r="B378">
        <f>SUM(D378:M378)</f>
        <v>94</v>
      </c>
      <c r="C378">
        <f>IF($B$6=11,B378,INDEX(D378:M378,1,$B$6))</f>
        <v>94</v>
      </c>
      <c r="D378">
        <f>SUMIFS($D$702:$D$818,$B$702:$B$818,$I$4)</f>
        <v>0</v>
      </c>
      <c r="E378">
        <f>SUMIFS($D$702:$D$818,$B$702:$B$818,$I$5)</f>
        <v>0</v>
      </c>
      <c r="F378">
        <f>SUMIFS($D$702:$D$818,$B$702:$B$818,$I$6)</f>
        <v>20</v>
      </c>
      <c r="G378">
        <f>SUMIFS($D$702:$D$818,$B$702:$B$818,$I$7)</f>
        <v>15</v>
      </c>
      <c r="H378">
        <f>SUMIFS($D$702:$D$818,$B$702:$B$818,$I$8)</f>
        <v>0</v>
      </c>
      <c r="I378">
        <f>SUMIFS($D$702:$D$818,$B$702:$B$818,$I$9)</f>
        <v>6</v>
      </c>
      <c r="J378">
        <f>SUMIFS($D$702:$D$818,$B$702:$B$818,$I$10)</f>
        <v>5</v>
      </c>
      <c r="K378">
        <f>SUMIFS($D$702:$D$818,$B$702:$B$818,$I$11)</f>
        <v>22</v>
      </c>
      <c r="L378">
        <f>SUMIFS($D$702:$D$818,$B$702:$B$818,$I$12)</f>
        <v>5</v>
      </c>
      <c r="M378">
        <f>SUMIFS($D$702:$D$818,$B$702:$B$818,$I$13)</f>
        <v>21</v>
      </c>
    </row>
    <row r="379" spans="1:13" x14ac:dyDescent="0.25">
      <c r="A379" t="s">
        <v>705</v>
      </c>
      <c r="B379">
        <f>SUM(D379:M379)</f>
        <v>4</v>
      </c>
      <c r="C379">
        <f>IF($B$6=11,B379,INDEX(D379:M379,1,$B$6))</f>
        <v>4</v>
      </c>
      <c r="D379">
        <f>SUMIFS($D$702:$D$818,$B$702:$B$818,$I$4,$C$702:$C$818,"D")</f>
        <v>0</v>
      </c>
      <c r="E379">
        <f>SUMIFS($D$702:$D$818,$B$702:$B$818,$I$5,$C$702:$C$818,"D")</f>
        <v>0</v>
      </c>
      <c r="F379">
        <f>SUMIFS($D$702:$D$818,$B$702:$B$818,$I$6,$C$702:$C$818,"D")</f>
        <v>0</v>
      </c>
      <c r="G379">
        <f>SUMIFS($D$702:$D$818,$B$702:$B$818,$I$7,$C$702:$C$818,"D")</f>
        <v>2</v>
      </c>
      <c r="H379">
        <f>SUMIFS($D$702:$D$818,$B$702:$B$818,$I$8,$C$702:$C$818,"D")</f>
        <v>0</v>
      </c>
      <c r="I379">
        <f>SUMIFS($D$702:$D$818,$B$702:$B$818,$I$9,$C$702:$C$818,"D")</f>
        <v>1</v>
      </c>
      <c r="J379">
        <f>SUMIFS($D$702:$D$818,$B$702:$B$818,$I$10,$C$702:$C$818,"D")</f>
        <v>0</v>
      </c>
      <c r="K379">
        <f>SUMIFS($D$702:$D$818,$B$702:$B$818,$I$11,$C$702:$C$818,"D")</f>
        <v>1</v>
      </c>
      <c r="L379">
        <f>SUMIFS($D$702:$D$818,$B$702:$B$818,$I$12,$C$702:$C$818,"D")</f>
        <v>0</v>
      </c>
      <c r="M379">
        <f>SUMIFS($D$702:$D$818,$B$702:$B$818,$I$13,$C$702:$C$818,"D")</f>
        <v>0</v>
      </c>
    </row>
    <row r="380" spans="1:13" x14ac:dyDescent="0.25">
      <c r="A380" t="s">
        <v>706</v>
      </c>
      <c r="B380">
        <f>SUM(D380:M380)</f>
        <v>532</v>
      </c>
      <c r="C380">
        <f>IF($B$6=11,B380,INDEX(D380:M380,1,$B$6))</f>
        <v>532</v>
      </c>
      <c r="D380">
        <f>SUMIFS($E$702:$E$818,$B$702:$B$818,$I$4)</f>
        <v>40</v>
      </c>
      <c r="E380">
        <f>SUMIFS($E$702:$E$818,$B$702:$B$818,$I$5)</f>
        <v>40</v>
      </c>
      <c r="F380">
        <f>SUMIFS($E$702:$E$818,$B$702:$B$818,$I$6)</f>
        <v>108</v>
      </c>
      <c r="G380">
        <f>SUMIFS($E$702:$E$818,$B$702:$B$818,$I$7)</f>
        <v>48</v>
      </c>
      <c r="H380">
        <f>SUMIFS($E$702:$E$818,$B$702:$B$818,$I$8)</f>
        <v>0</v>
      </c>
      <c r="I380">
        <f>SUMIFS($E$702:$E$818,$B$702:$B$818,$I$9)</f>
        <v>45</v>
      </c>
      <c r="J380">
        <f>SUMIFS($E$702:$E$818,$B$702:$B$818,$I$10)</f>
        <v>49</v>
      </c>
      <c r="K380">
        <f>SUMIFS($E$702:$E$818,$B$702:$B$818,$I$11)</f>
        <v>68</v>
      </c>
      <c r="L380">
        <f>SUMIFS($E$702:$E$818,$B$702:$B$818,$I$12)</f>
        <v>32</v>
      </c>
      <c r="M380">
        <f>SUMIFS($E$702:$E$818,$B$702:$B$818,$I$13)</f>
        <v>102</v>
      </c>
    </row>
    <row r="385" spans="1:11" x14ac:dyDescent="0.25">
      <c r="A385" s="525" t="s">
        <v>707</v>
      </c>
    </row>
    <row r="386" spans="1:11" ht="25.5" x14ac:dyDescent="0.25">
      <c r="A386" s="523" t="s">
        <v>36</v>
      </c>
      <c r="B386" s="523" t="s">
        <v>37</v>
      </c>
      <c r="C386" s="523" t="s">
        <v>38</v>
      </c>
      <c r="D386" s="523" t="s">
        <v>661</v>
      </c>
      <c r="E386" s="523" t="s">
        <v>664</v>
      </c>
      <c r="F386" s="523" t="s">
        <v>41</v>
      </c>
      <c r="G386" s="523" t="s">
        <v>657</v>
      </c>
      <c r="H386" s="523" t="s">
        <v>43</v>
      </c>
      <c r="I386" s="523" t="s">
        <v>44</v>
      </c>
      <c r="J386" s="523" t="s">
        <v>45</v>
      </c>
      <c r="K386" s="523" t="s">
        <v>46</v>
      </c>
    </row>
    <row r="387" spans="1:11" x14ac:dyDescent="0.25">
      <c r="A387" t="s">
        <v>85</v>
      </c>
      <c r="B387" t="str">
        <f>IF(INDEX($B$22:$N$32,1,$B$5)="","",INDEX($B$22:$N$32,1,$B$5))</f>
        <v/>
      </c>
      <c r="C387" t="str">
        <f>IF(INDEX($B$37:$N$47,1,$B$5)="","",INDEX($B$37:$N$47,1,$B$5))</f>
        <v/>
      </c>
      <c r="D387" t="str">
        <f>IF(INDEX($B$247:$N$257,1,$B$5)="","",INDEX($B$247:$N$257,1,$B$5))</f>
        <v/>
      </c>
      <c r="E387" t="str">
        <f>IF(INDEX($B$262:$N$272,1,$B$5)="","",INDEX($B$262:$N$272,1,$B$5))</f>
        <v/>
      </c>
      <c r="F387">
        <f>IF(INDEX($B$67:$N$77,1,$B$5)="","",INDEX($B$67:$N$77,1,$B$5)/1000)</f>
        <v>42.29999999999972</v>
      </c>
      <c r="G387">
        <f>IF(INDEX($B$232:$N$242,1,$B$5)="","",INDEX($B$232:$N$242,1,$B$5))</f>
        <v>1.1681855840927844</v>
      </c>
      <c r="H387">
        <f>IF(INDEX($B$82:$N$92,1,$B$5)="","",INDEX($B$82:$N$92,1,$B$5))</f>
        <v>1207</v>
      </c>
      <c r="I387" t="str">
        <f>IF(INDEX($B$127:$N$137,1,$B$5)="","",INDEX($B$127:$N$137,1,$B$5))</f>
        <v/>
      </c>
      <c r="J387" t="str">
        <f>IF(INDEX($B$142:$N$152,1,$B$5)="","",INDEX($B$142:$N$152,1,$B$5))</f>
        <v/>
      </c>
      <c r="K387">
        <f>D370</f>
        <v>1</v>
      </c>
    </row>
    <row r="388" spans="1:11" x14ac:dyDescent="0.25">
      <c r="A388" t="s">
        <v>91</v>
      </c>
      <c r="B388">
        <f>IF(INDEX($B$22:$N$32,2,$B$5)="","",INDEX($B$22:$N$32,2,$B$5))</f>
        <v>3820</v>
      </c>
      <c r="C388">
        <f>IF(INDEX($B$37:$N$47,2,$B$5)="","",INDEX($B$37:$N$47,2,$B$5))</f>
        <v>43607</v>
      </c>
      <c r="D388">
        <f>IF(INDEX($B$247:$N$257,2,$B$5)="","",INDEX($B$247:$N$257,2,$B$5))</f>
        <v>11.415445026178011</v>
      </c>
      <c r="E388">
        <f>IF(INDEX($B$262:$N$272,2,$B$5)="","",INDEX($B$262:$N$272,2,$B$5))</f>
        <v>3.7450980392156863</v>
      </c>
      <c r="F388">
        <f>IF(INDEX($B$67:$N$77,2,$B$5)="","",INDEX($B$67:$N$77,2,$B$5)/1000)</f>
        <v>13.436</v>
      </c>
      <c r="G388">
        <f>IF(INDEX($B$232:$N$242,2,$B$5)="","",INDEX($B$232:$N$242,2,$B$5))</f>
        <v>0.43908496732026142</v>
      </c>
      <c r="H388">
        <f>IF(INDEX($B$82:$N$92,2,$B$5)="","",INDEX($B$82:$N$92,2,$B$5))</f>
        <v>1020</v>
      </c>
      <c r="I388">
        <f>IF(INDEX($B$127:$N$137,2,$B$5)="","",INDEX($B$127:$N$137,2,$B$5))</f>
        <v>3</v>
      </c>
      <c r="J388">
        <f>IF(INDEX($B$142:$N$152,2,$B$5)="","",INDEX($B$142:$N$152,2,$B$5))</f>
        <v>37240</v>
      </c>
      <c r="K388">
        <f>E370</f>
        <v>0</v>
      </c>
    </row>
    <row r="389" spans="1:11" x14ac:dyDescent="0.25">
      <c r="A389" t="s">
        <v>93</v>
      </c>
      <c r="B389" t="str">
        <f>IF(INDEX($B$22:$N$32,3,$B$5)="","",INDEX($B$22:$N$32,3,$B$5))</f>
        <v/>
      </c>
      <c r="C389" t="str">
        <f>IF(INDEX($B$37:$N$47,3,$B$5)="","",INDEX($B$37:$N$47,3,$B$5))</f>
        <v/>
      </c>
      <c r="D389" t="str">
        <f>IF(INDEX($B$247:$N$257,3,$B$5)="","",INDEX($B$247:$N$257,3,$B$5))</f>
        <v/>
      </c>
      <c r="E389" t="str">
        <f>IF(INDEX($B$262:$N$272,3,$B$5)="","",INDEX($B$262:$N$272,3,$B$5))</f>
        <v/>
      </c>
      <c r="F389" t="str">
        <f>IF(INDEX($B$67:$N$77,3,$B$5)="","",INDEX($B$67:$N$77,3,$B$5)/1000)</f>
        <v/>
      </c>
      <c r="G389" t="str">
        <f>IF(INDEX($B$232:$N$242,3,$B$5)="","",INDEX($B$232:$N$242,3,$B$5))</f>
        <v/>
      </c>
      <c r="H389" t="str">
        <f>IF(INDEX($B$82:$N$92,3,$B$5)="","",INDEX($B$82:$N$92,3,$B$5))</f>
        <v/>
      </c>
      <c r="I389" t="str">
        <f>IF(INDEX($B$127:$N$137,3,$B$5)="","",INDEX($B$127:$N$137,3,$B$5))</f>
        <v/>
      </c>
      <c r="J389" t="str">
        <f>IF(INDEX($B$142:$N$152,3,$B$5)="","",INDEX($B$142:$N$152,3,$B$5))</f>
        <v/>
      </c>
      <c r="K389">
        <f>F370</f>
        <v>2</v>
      </c>
    </row>
    <row r="390" spans="1:11" x14ac:dyDescent="0.25">
      <c r="A390" t="s">
        <v>98</v>
      </c>
      <c r="B390" t="str">
        <f>IF(INDEX($B$22:$N$32,4,$B$5)="","",INDEX($B$22:$N$32,4,$B$5))</f>
        <v/>
      </c>
      <c r="C390" t="str">
        <f>IF(INDEX($B$37:$N$47,4,$B$5)="","",INDEX($B$37:$N$47,4,$B$5))</f>
        <v/>
      </c>
      <c r="D390" t="str">
        <f>IF(INDEX($B$247:$N$257,4,$B$5)="","",INDEX($B$247:$N$257,4,$B$5))</f>
        <v/>
      </c>
      <c r="E390" t="str">
        <f>IF(INDEX($B$262:$N$272,4,$B$5)="","",INDEX($B$262:$N$272,4,$B$5))</f>
        <v/>
      </c>
      <c r="F390">
        <f>IF(INDEX($B$67:$N$77,4,$B$5)="","",INDEX($B$67:$N$77,4,$B$5)/1000)</f>
        <v>27.9</v>
      </c>
      <c r="G390">
        <f>IF(INDEX($B$232:$N$242,4,$B$5)="","",INDEX($B$232:$N$242,4,$B$5))</f>
        <v>1.7547169811320755</v>
      </c>
      <c r="H390">
        <f>IF(INDEX($B$82:$N$92,4,$B$5)="","",INDEX($B$82:$N$92,4,$B$5))</f>
        <v>530</v>
      </c>
      <c r="I390">
        <f>IF(INDEX($B$127:$N$137,4,$B$5)="","",INDEX($B$127:$N$137,4,$B$5))</f>
        <v>3</v>
      </c>
      <c r="J390">
        <f>IF(INDEX($B$142:$N$152,4,$B$5)="","",INDEX($B$142:$N$152,4,$B$5))</f>
        <v>6020</v>
      </c>
      <c r="K390">
        <f>G370</f>
        <v>0</v>
      </c>
    </row>
    <row r="391" spans="1:11" x14ac:dyDescent="0.25">
      <c r="A391" t="s">
        <v>100</v>
      </c>
      <c r="B391" t="str">
        <f>IF(INDEX($B$22:$N$32,5,$B$5)="","",INDEX($B$22:$N$32,5,$B$5))</f>
        <v/>
      </c>
      <c r="C391" t="str">
        <f>IF(INDEX($B$37:$N$47,5,$B$5)="","",INDEX($B$37:$N$47,5,$B$5))</f>
        <v/>
      </c>
      <c r="D391" t="str">
        <f>IF(INDEX($B$247:$N$257,5,$B$5)="","",INDEX($B$247:$N$257,5,$B$5))</f>
        <v/>
      </c>
      <c r="E391" t="str">
        <f>IF(INDEX($B$262:$N$272,5,$B$5)="","",INDEX($B$262:$N$272,5,$B$5))</f>
        <v/>
      </c>
      <c r="F391" t="str">
        <f>IF(INDEX($B$67:$N$77,5,$B$5)="","",INDEX($B$67:$N$77,5,$B$5)/1000)</f>
        <v/>
      </c>
      <c r="G391" t="str">
        <f>IF(INDEX($B$232:$N$242,5,$B$5)="","",INDEX($B$232:$N$242,5,$B$5))</f>
        <v/>
      </c>
      <c r="H391" t="str">
        <f>IF(INDEX($B$82:$N$92,5,$B$5)="","",INDEX($B$82:$N$92,5,$B$5))</f>
        <v/>
      </c>
      <c r="I391" t="str">
        <f>IF(INDEX($B$127:$N$137,5,$B$5)="","",INDEX($B$127:$N$137,5,$B$5))</f>
        <v/>
      </c>
      <c r="J391" t="str">
        <f>IF(INDEX($B$142:$N$152,5,$B$5)="","",INDEX($B$142:$N$152,5,$B$5))</f>
        <v/>
      </c>
      <c r="K391">
        <f>H370</f>
        <v>0</v>
      </c>
    </row>
    <row r="392" spans="1:11" x14ac:dyDescent="0.25">
      <c r="A392" t="s">
        <v>224</v>
      </c>
      <c r="B392">
        <f>IF(INDEX($B$22:$N$32,6,$B$5)="","",INDEX($B$22:$N$32,6,$B$5))</f>
        <v>1187</v>
      </c>
      <c r="C392">
        <f>IF(INDEX($B$37:$N$47,6,$B$5)="","",INDEX($B$37:$N$47,6,$B$5))</f>
        <v>13538</v>
      </c>
      <c r="D392">
        <f>IF(INDEX($B$247:$N$257,6,$B$5)="","",INDEX($B$247:$N$257,6,$B$5))</f>
        <v>11.405223251895535</v>
      </c>
      <c r="E392">
        <f>IF(INDEX($B$262:$N$272,6,$B$5)="","",INDEX($B$262:$N$272,6,$B$5))</f>
        <v>4.1215277777777777</v>
      </c>
      <c r="F392">
        <f>IF(INDEX($B$67:$N$77,6,$B$5)="","",INDEX($B$67:$N$77,6,$B$5)/1000)</f>
        <v>78.11</v>
      </c>
      <c r="G392">
        <f>IF(INDEX($B$232:$N$242,6,$B$5)="","",INDEX($B$232:$N$242,6,$B$5))</f>
        <v>9.0405092592592595</v>
      </c>
      <c r="H392">
        <f>IF(INDEX($B$82:$N$92,6,$B$5)="","",INDEX($B$82:$N$92,6,$B$5))</f>
        <v>288</v>
      </c>
      <c r="I392">
        <f>IF(INDEX($B$127:$N$137,6,$B$5)="","",INDEX($B$127:$N$137,6,$B$5))</f>
        <v>4</v>
      </c>
      <c r="J392">
        <f>IF(INDEX($B$142:$N$152,6,$B$5)="","",INDEX($B$142:$N$152,6,$B$5))</f>
        <v>9588</v>
      </c>
      <c r="K392">
        <f>I370</f>
        <v>2</v>
      </c>
    </row>
    <row r="393" spans="1:11" x14ac:dyDescent="0.25">
      <c r="A393" t="s">
        <v>106</v>
      </c>
      <c r="B393">
        <f>IF(INDEX($B$22:$N$32,7,$B$5)="","",INDEX($B$22:$N$32,7,$B$5))</f>
        <v>3427</v>
      </c>
      <c r="C393">
        <f>IF(INDEX($B$37:$N$47,7,$B$5)="","",INDEX($B$37:$N$47,7,$B$5))</f>
        <v>38841</v>
      </c>
      <c r="D393">
        <f>IF(INDEX($B$247:$N$257,7,$B$5)="","",INDEX($B$247:$N$257,7,$B$5))</f>
        <v>11.333819667347534</v>
      </c>
      <c r="E393">
        <f>IF(INDEX($B$262:$N$272,7,$B$5)="","",INDEX($B$262:$N$272,7,$B$5))</f>
        <v>5.7116666666666669</v>
      </c>
      <c r="F393">
        <f>IF(INDEX($B$67:$N$77,7,$B$5)="","",INDEX($B$67:$N$77,7,$B$5)/1000)</f>
        <v>141.30000000000001</v>
      </c>
      <c r="G393">
        <f>IF(INDEX($B$232:$N$242,7,$B$5)="","",INDEX($B$232:$N$242,7,$B$5))</f>
        <v>7.85</v>
      </c>
      <c r="H393">
        <f>IF(INDEX($B$82:$N$92,7,$B$5)="","",INDEX($B$82:$N$92,7,$B$5))</f>
        <v>600</v>
      </c>
      <c r="I393" t="s">
        <v>708</v>
      </c>
      <c r="J393" t="s">
        <v>708</v>
      </c>
      <c r="K393">
        <f>J370</f>
        <v>2</v>
      </c>
    </row>
    <row r="394" spans="1:11" x14ac:dyDescent="0.25">
      <c r="A394" t="s">
        <v>108</v>
      </c>
      <c r="B394" t="str">
        <f>IF(INDEX($B$22:$N$32,8,$B$5)="","",INDEX($B$22:$N$32,8,$B$5))</f>
        <v/>
      </c>
      <c r="C394" t="str">
        <f>IF(INDEX($B$37:$N$47,8,$B$5)="","",INDEX($B$37:$N$47,8,$B$5))</f>
        <v/>
      </c>
      <c r="D394" t="str">
        <f>IF(INDEX($B$247:$N$257,8,$B$5)="","",INDEX($B$247:$N$257,8,$B$5))</f>
        <v/>
      </c>
      <c r="E394" t="str">
        <f>IF(INDEX($B$262:$N$272,8,$B$5)="","",INDEX($B$262:$N$272,8,$B$5))</f>
        <v/>
      </c>
      <c r="F394">
        <f>IF(INDEX($B$67:$N$77,8,$B$5)="","",INDEX($B$67:$N$77,8,$B$5)/1000)</f>
        <v>699</v>
      </c>
      <c r="G394">
        <f>IF(INDEX($B$232:$N$242,8,$B$5)="","",INDEX($B$232:$N$242,8,$B$5))</f>
        <v>16.385372714486639</v>
      </c>
      <c r="H394">
        <f>IF(INDEX($B$82:$N$92,8,$B$5)="","",INDEX($B$82:$N$92,8,$B$5))</f>
        <v>1422</v>
      </c>
      <c r="I394">
        <f>IF(INDEX($B$127:$N$137,8,$B$5)="","",INDEX($B$127:$N$137,8,$B$5))</f>
        <v>1</v>
      </c>
      <c r="J394">
        <f>IF(INDEX($B$142:$N$152,8,$B$5)="","",INDEX($B$142:$N$152,8,$B$5))</f>
        <v>2730</v>
      </c>
      <c r="K394">
        <f>K370</f>
        <v>2</v>
      </c>
    </row>
    <row r="395" spans="1:11" x14ac:dyDescent="0.25">
      <c r="A395" t="s">
        <v>110</v>
      </c>
      <c r="B395">
        <f>IF(INDEX($B$22:$N$32,9,$B$5)="","",INDEX($B$22:$N$32,9,$B$5))</f>
        <v>3089</v>
      </c>
      <c r="C395">
        <f>IF(INDEX($B$37:$N$47,9,$B$5)="","",INDEX($B$37:$N$47,9,$B$5))</f>
        <v>37962</v>
      </c>
      <c r="D395">
        <f>IF(INDEX($B$247:$N$257,9,$B$5)="","",INDEX($B$247:$N$257,9,$B$5))</f>
        <v>12.289414049854322</v>
      </c>
      <c r="E395">
        <f>IF(INDEX($B$262:$N$272,9,$B$5)="","",INDEX($B$262:$N$272,9,$B$5))</f>
        <v>2.6767764298093586</v>
      </c>
      <c r="F395">
        <f>IF(INDEX($B$67:$N$77,9,$B$5)="","",INDEX($B$67:$N$77,9,$B$5)/1000)</f>
        <v>456.33</v>
      </c>
      <c r="G395">
        <f>IF(INDEX($B$232:$N$242,9,$B$5)="","",INDEX($B$232:$N$242,9,$B$5))</f>
        <v>13.18110918544194</v>
      </c>
      <c r="H395">
        <f>IF(INDEX($B$82:$N$92,9,$B$5)="","",INDEX($B$82:$N$92,9,$B$5))</f>
        <v>1154</v>
      </c>
      <c r="I395">
        <f>IF(INDEX($B$127:$N$137,9,$B$5)="","",INDEX($B$127:$N$137,9,$B$5))</f>
        <v>9</v>
      </c>
      <c r="J395">
        <f>IF(INDEX($B$142:$N$152,9,$B$5)="","",INDEX($B$142:$N$152,9,$B$5))</f>
        <v>20150</v>
      </c>
      <c r="K395">
        <f>L370</f>
        <v>2</v>
      </c>
    </row>
    <row r="396" spans="1:11" x14ac:dyDescent="0.25">
      <c r="A396" t="s">
        <v>112</v>
      </c>
      <c r="B396">
        <f>IF(INDEX($B$22:$N$32,10,$B$5)="","",INDEX($B$22:$N$32,10,$B$5))</f>
        <v>9252</v>
      </c>
      <c r="C396">
        <f>IF(INDEX($B$37:$N$47,10,$B$5)="","",INDEX($B$37:$N$47,10,$B$5))</f>
        <v>122290</v>
      </c>
      <c r="D396">
        <f>IF(INDEX($B$247:$N$257,10,$B$5)="","",INDEX($B$247:$N$257,10,$B$5))</f>
        <v>13.217682663207954</v>
      </c>
      <c r="E396">
        <f>IF(INDEX($B$262:$N$272,10,$B$5)="","",INDEX($B$262:$N$272,10,$B$5))</f>
        <v>60.470588235294116</v>
      </c>
      <c r="F396">
        <f>IF(INDEX($B$67:$N$77,10,$B$5)="","",INDEX($B$67:$N$77,10,$B$5)/1000)</f>
        <v>1588</v>
      </c>
      <c r="G396">
        <f>IF(INDEX($B$232:$N$242,10,$B$5)="","",INDEX($B$232:$N$242,10,$B$5))</f>
        <v>345.96949891067538</v>
      </c>
      <c r="H396">
        <f>IF(INDEX($B$82:$N$92,10,$B$5)="","",INDEX($B$82:$N$92,10,$B$5))</f>
        <v>153</v>
      </c>
      <c r="I396">
        <f>IF(INDEX($B$127:$N$137,10,$B$5)="","",INDEX($B$127:$N$137,10,$B$5))</f>
        <v>76</v>
      </c>
      <c r="J396" t="str">
        <f>IF(INDEX($B$142:$N$152,10,$B$5)="","",INDEX($B$142:$N$152,10,$B$5))</f>
        <v/>
      </c>
      <c r="K396">
        <f>M370</f>
        <v>1</v>
      </c>
    </row>
    <row r="397" spans="1:11" x14ac:dyDescent="0.25">
      <c r="A397" t="s">
        <v>9</v>
      </c>
      <c r="B397">
        <f>IF(INDEX($B$22:$N$32,11,$B$5)="","",INDEX($B$22:$N$32,11,$B$5))</f>
        <v>20775</v>
      </c>
      <c r="C397">
        <f>IF(INDEX($B$37:$N$47,11,$B$5)="","",INDEX($B$37:$N$47,11,$B$5))</f>
        <v>256238</v>
      </c>
      <c r="D397">
        <f>IF(INDEX($B$247:$N$257,11,$B$5)="","",INDEX($B$247:$N$257,11,$B$5))</f>
        <v>12.333959085439229</v>
      </c>
      <c r="E397">
        <f>IF(INDEX($B$262:$N$272,11,$B$5)="","",INDEX($B$262:$N$272,11,$B$5))</f>
        <v>6.461897356143079</v>
      </c>
      <c r="F397">
        <f>IF(INDEX($B$67:$N$77,11,$B$5)="","",INDEX($B$67:$N$77,11,$B$5)/1000)</f>
        <v>3046.3760000000002</v>
      </c>
      <c r="G397">
        <f>IF(INDEX($B$232:$N$242,11,$B$5)="","",INDEX($B$232:$N$242,11,$B$5))</f>
        <v>15.931262420248927</v>
      </c>
      <c r="H397">
        <f>IF(INDEX($B$82:$N$92,11,$B$5)="","",INDEX($B$82:$N$92,11,$B$5))</f>
        <v>6374</v>
      </c>
      <c r="I397">
        <f>IF(INDEX($B$127:$N$137,11,$B$5)="","",INDEX($B$127:$N$137,11,$B$5))</f>
        <v>96</v>
      </c>
      <c r="J397">
        <f>IF(INDEX($B$142:$N$152,11,$B$5)="","",INDEX($B$142:$N$152,11,$B$5))</f>
        <v>75728</v>
      </c>
      <c r="K397">
        <f>B370</f>
        <v>12</v>
      </c>
    </row>
    <row r="402" spans="1:1" x14ac:dyDescent="0.25">
      <c r="A402" s="525" t="s">
        <v>709</v>
      </c>
    </row>
    <row r="440" spans="1:7" x14ac:dyDescent="0.25">
      <c r="A440" s="525" t="s">
        <v>710</v>
      </c>
    </row>
    <row r="441" spans="1:7" ht="25.5" x14ac:dyDescent="0.25">
      <c r="A441" s="523" t="s">
        <v>711</v>
      </c>
      <c r="B441" s="523" t="s">
        <v>712</v>
      </c>
      <c r="C441" s="523" t="s">
        <v>692</v>
      </c>
      <c r="D441" s="523" t="s">
        <v>713</v>
      </c>
      <c r="E441" s="523" t="s">
        <v>714</v>
      </c>
      <c r="F441" s="523" t="s">
        <v>715</v>
      </c>
      <c r="G441" s="523" t="s">
        <v>716</v>
      </c>
    </row>
    <row r="442" spans="1:7" x14ac:dyDescent="0.25">
      <c r="A442">
        <v>4</v>
      </c>
      <c r="B442">
        <f>IF(REPAIRS!A4&lt;&gt;"",IFERROR(MATCH(UPPER(LEFT(TRIM(REPAIRS!A4),3)),{"JAN","FEB","MAR","APR","MAY","JUN","JUL","AUG","SEP","OCT","NOV","DEC"},0),""),"")</f>
        <v>1</v>
      </c>
      <c r="C442" t="str">
        <f>IF(REPAIRS!B4="","",UPPER(TRIM(REPAIRS!B4)))</f>
        <v>CIVIL</v>
      </c>
      <c r="D442">
        <f>N(REPAIRS!C4)+N(REPAIRS!E4)+N(REPAIRS!G4)+N(REPAIRS!I4)+N(REPAIRS!K4)+N(REPAIRS!M4)+N(REPAIRS!O4)+N(REPAIRS!Q4)+N(REPAIRS!S4)</f>
        <v>6</v>
      </c>
      <c r="E442">
        <f>N(REPAIRS!D4)+N(REPAIRS!F4)+N(REPAIRS!H4)+N(REPAIRS!J4)+N(REPAIRS!L4)+N(REPAIRS!N4)+N(REPAIRS!P4)+N(REPAIRS!R4)+N(REPAIRS!T4)</f>
        <v>19470</v>
      </c>
      <c r="F442">
        <f>IF($B$6=11,D442,N(INDEX(REPAIRS!$C4:$T4,1,$B$13)))</f>
        <v>6</v>
      </c>
      <c r="G442">
        <f>IF($B$6=11,E442,N(INDEX(REPAIRS!$C4:$T4,1,$B$13+1)))</f>
        <v>19470</v>
      </c>
    </row>
    <row r="443" spans="1:7" x14ac:dyDescent="0.25">
      <c r="A443">
        <v>5</v>
      </c>
      <c r="B443">
        <f>IF(REPAIRS!A5&lt;&gt;"",IFERROR(MATCH(UPPER(LEFT(TRIM(REPAIRS!A5),3)),{"JAN","FEB","MAR","APR","MAY","JUN","JUL","AUG","SEP","OCT","NOV","DEC"},0),""),B442)</f>
        <v>1</v>
      </c>
      <c r="C443" t="str">
        <f>IF(REPAIRS!B5="","",UPPER(TRIM(REPAIRS!B5)))</f>
        <v>MECH</v>
      </c>
      <c r="D443">
        <f>N(REPAIRS!C5)+N(REPAIRS!E5)+N(REPAIRS!G5)+N(REPAIRS!I5)+N(REPAIRS!K5)+N(REPAIRS!M5)+N(REPAIRS!O5)+N(REPAIRS!Q5)+N(REPAIRS!S5)</f>
        <v>5</v>
      </c>
      <c r="E443">
        <f>N(REPAIRS!D5)+N(REPAIRS!F5)+N(REPAIRS!H5)+N(REPAIRS!J5)+N(REPAIRS!L5)+N(REPAIRS!N5)+N(REPAIRS!P5)+N(REPAIRS!R5)+N(REPAIRS!T5)</f>
        <v>3450</v>
      </c>
      <c r="F443">
        <f>IF($B$6=11,D443,N(INDEX(REPAIRS!$C5:$T5,1,$B$13)))</f>
        <v>5</v>
      </c>
      <c r="G443">
        <f>IF($B$6=11,E443,N(INDEX(REPAIRS!$C5:$T5,1,$B$13+1)))</f>
        <v>3450</v>
      </c>
    </row>
    <row r="444" spans="1:7" x14ac:dyDescent="0.25">
      <c r="A444">
        <v>6</v>
      </c>
      <c r="B444">
        <f>IF(REPAIRS!A6&lt;&gt;"",IFERROR(MATCH(UPPER(LEFT(TRIM(REPAIRS!A6),3)),{"JAN","FEB","MAR","APR","MAY","JUN","JUL","AUG","SEP","OCT","NOV","DEC"},0),""),B443)</f>
        <v>1</v>
      </c>
      <c r="C444" t="str">
        <f>IF(REPAIRS!B6="","",UPPER(TRIM(REPAIRS!B6)))</f>
        <v>ELE</v>
      </c>
      <c r="D444">
        <f>N(REPAIRS!C6)+N(REPAIRS!E6)+N(REPAIRS!G6)+N(REPAIRS!I6)+N(REPAIRS!K6)+N(REPAIRS!M6)+N(REPAIRS!O6)+N(REPAIRS!Q6)+N(REPAIRS!S6)</f>
        <v>16</v>
      </c>
      <c r="E444">
        <f>N(REPAIRS!D6)+N(REPAIRS!F6)+N(REPAIRS!H6)+N(REPAIRS!J6)+N(REPAIRS!L6)+N(REPAIRS!N6)+N(REPAIRS!P6)+N(REPAIRS!R6)+N(REPAIRS!T6)</f>
        <v>20900</v>
      </c>
      <c r="F444">
        <f>IF($B$6=11,D444,N(INDEX(REPAIRS!$C6:$T6,1,$B$13)))</f>
        <v>16</v>
      </c>
      <c r="G444">
        <f>IF($B$6=11,E444,N(INDEX(REPAIRS!$C6:$T6,1,$B$13+1)))</f>
        <v>20900</v>
      </c>
    </row>
    <row r="445" spans="1:7" x14ac:dyDescent="0.25">
      <c r="A445">
        <v>7</v>
      </c>
      <c r="B445">
        <f>IF(REPAIRS!A7&lt;&gt;"",IFERROR(MATCH(UPPER(LEFT(TRIM(REPAIRS!A7),3)),{"JAN","FEB","MAR","APR","MAY","JUN","JUL","AUG","SEP","OCT","NOV","DEC"},0),""),B444)</f>
        <v>1</v>
      </c>
      <c r="C445" t="str">
        <f>IF(REPAIRS!B7="","",UPPER(TRIM(REPAIRS!B7)))</f>
        <v>PLU</v>
      </c>
      <c r="D445">
        <f>N(REPAIRS!C7)+N(REPAIRS!E7)+N(REPAIRS!G7)+N(REPAIRS!I7)+N(REPAIRS!K7)+N(REPAIRS!M7)+N(REPAIRS!O7)+N(REPAIRS!Q7)+N(REPAIRS!S7)</f>
        <v>19</v>
      </c>
      <c r="E445">
        <f>N(REPAIRS!D7)+N(REPAIRS!F7)+N(REPAIRS!H7)+N(REPAIRS!J7)+N(REPAIRS!L7)+N(REPAIRS!N7)+N(REPAIRS!P7)+N(REPAIRS!R7)+N(REPAIRS!T7)</f>
        <v>32480</v>
      </c>
      <c r="F445">
        <f>IF($B$6=11,D445,N(INDEX(REPAIRS!$C7:$T7,1,$B$13)))</f>
        <v>19</v>
      </c>
      <c r="G445">
        <f>IF($B$6=11,E445,N(INDEX(REPAIRS!$C7:$T7,1,$B$13+1)))</f>
        <v>32480</v>
      </c>
    </row>
    <row r="446" spans="1:7" x14ac:dyDescent="0.25">
      <c r="A446">
        <v>8</v>
      </c>
      <c r="B446">
        <f>IF(REPAIRS!A8&lt;&gt;"",IFERROR(MATCH(UPPER(LEFT(TRIM(REPAIRS!A8),3)),{"JAN","FEB","MAR","APR","MAY","JUN","JUL","AUG","SEP","OCT","NOV","DEC"},0),""),B445)</f>
        <v>1</v>
      </c>
      <c r="C446" t="str">
        <f>IF(REPAIRS!B8="","",UPPER(TRIM(REPAIRS!B8)))</f>
        <v>CARPENTARY</v>
      </c>
      <c r="D446">
        <f>N(REPAIRS!C8)+N(REPAIRS!E8)+N(REPAIRS!G8)+N(REPAIRS!I8)+N(REPAIRS!K8)+N(REPAIRS!M8)+N(REPAIRS!O8)+N(REPAIRS!Q8)+N(REPAIRS!S8)</f>
        <v>15</v>
      </c>
      <c r="E446">
        <f>N(REPAIRS!D8)+N(REPAIRS!F8)+N(REPAIRS!H8)+N(REPAIRS!J8)+N(REPAIRS!L8)+N(REPAIRS!N8)+N(REPAIRS!P8)+N(REPAIRS!R8)+N(REPAIRS!T8)</f>
        <v>15751</v>
      </c>
      <c r="F446">
        <f>IF($B$6=11,D446,N(INDEX(REPAIRS!$C8:$T8,1,$B$13)))</f>
        <v>15</v>
      </c>
      <c r="G446">
        <f>IF($B$6=11,E446,N(INDEX(REPAIRS!$C8:$T8,1,$B$13+1)))</f>
        <v>15751</v>
      </c>
    </row>
    <row r="447" spans="1:7" x14ac:dyDescent="0.25">
      <c r="A447">
        <v>9</v>
      </c>
      <c r="B447">
        <f>IF(REPAIRS!A9&lt;&gt;"",IFERROR(MATCH(UPPER(LEFT(TRIM(REPAIRS!A9),3)),{"JAN","FEB","MAR","APR","MAY","JUN","JUL","AUG","SEP","OCT","NOV","DEC"},0),""),B446)</f>
        <v>1</v>
      </c>
      <c r="C447" t="str">
        <f>IF(REPAIRS!B9="","",UPPER(TRIM(REPAIRS!B9)))</f>
        <v>R &amp; M</v>
      </c>
      <c r="D447">
        <f>N(REPAIRS!C9)+N(REPAIRS!E9)+N(REPAIRS!G9)+N(REPAIRS!I9)+N(REPAIRS!K9)+N(REPAIRS!M9)+N(REPAIRS!O9)+N(REPAIRS!Q9)+N(REPAIRS!S9)</f>
        <v>15</v>
      </c>
      <c r="E447">
        <f>N(REPAIRS!D9)+N(REPAIRS!F9)+N(REPAIRS!H9)+N(REPAIRS!J9)+N(REPAIRS!L9)+N(REPAIRS!N9)+N(REPAIRS!P9)+N(REPAIRS!R9)+N(REPAIRS!T9)</f>
        <v>21414</v>
      </c>
      <c r="F447">
        <f>IF($B$6=11,D447,N(INDEX(REPAIRS!$C9:$T9,1,$B$13)))</f>
        <v>15</v>
      </c>
      <c r="G447">
        <f>IF($B$6=11,E447,N(INDEX(REPAIRS!$C9:$T9,1,$B$13+1)))</f>
        <v>21414</v>
      </c>
    </row>
    <row r="448" spans="1:7" x14ac:dyDescent="0.25">
      <c r="A448">
        <v>10</v>
      </c>
      <c r="B448">
        <f>IF(REPAIRS!A10&lt;&gt;"",IFERROR(MATCH(UPPER(LEFT(TRIM(REPAIRS!A10),3)),{"JAN","FEB","MAR","APR","MAY","JUN","JUL","AUG","SEP","OCT","NOV","DEC"},0),""),B447)</f>
        <v>1</v>
      </c>
      <c r="C448" t="str">
        <f>IF(REPAIRS!B10="","",UPPER(TRIM(REPAIRS!B10)))</f>
        <v>OTHERS &amp; IT</v>
      </c>
      <c r="D448">
        <f>N(REPAIRS!C10)+N(REPAIRS!E10)+N(REPAIRS!G10)+N(REPAIRS!I10)+N(REPAIRS!K10)+N(REPAIRS!M10)+N(REPAIRS!O10)+N(REPAIRS!Q10)+N(REPAIRS!S10)</f>
        <v>11</v>
      </c>
      <c r="E448">
        <f>N(REPAIRS!D10)+N(REPAIRS!F10)+N(REPAIRS!H10)+N(REPAIRS!J10)+N(REPAIRS!L10)+N(REPAIRS!N10)+N(REPAIRS!P10)+N(REPAIRS!R10)+N(REPAIRS!T10)</f>
        <v>26582</v>
      </c>
      <c r="F448">
        <f>IF($B$6=11,D448,N(INDEX(REPAIRS!$C10:$T10,1,$B$13)))</f>
        <v>11</v>
      </c>
      <c r="G448">
        <f>IF($B$6=11,E448,N(INDEX(REPAIRS!$C10:$T10,1,$B$13+1)))</f>
        <v>26582</v>
      </c>
    </row>
    <row r="449" spans="1:7" x14ac:dyDescent="0.25">
      <c r="A449">
        <v>11</v>
      </c>
      <c r="B449">
        <f>IF(REPAIRS!A11&lt;&gt;"",IFERROR(MATCH(UPPER(LEFT(TRIM(REPAIRS!A11),3)),{"JAN","FEB","MAR","APR","MAY","JUN","JUL","AUG","SEP","OCT","NOV","DEC"},0),""),B448)</f>
        <v>2</v>
      </c>
      <c r="C449" t="str">
        <f>IF(REPAIRS!B11="","",UPPER(TRIM(REPAIRS!B11)))</f>
        <v>CIVIL</v>
      </c>
      <c r="D449">
        <f>N(REPAIRS!C11)+N(REPAIRS!E11)+N(REPAIRS!G11)+N(REPAIRS!I11)+N(REPAIRS!K11)+N(REPAIRS!M11)+N(REPAIRS!O11)+N(REPAIRS!Q11)+N(REPAIRS!S11)</f>
        <v>1</v>
      </c>
      <c r="E449">
        <f>N(REPAIRS!D11)+N(REPAIRS!F11)+N(REPAIRS!H11)+N(REPAIRS!J11)+N(REPAIRS!L11)+N(REPAIRS!N11)+N(REPAIRS!P11)+N(REPAIRS!R11)+N(REPAIRS!T11)</f>
        <v>950</v>
      </c>
      <c r="F449">
        <f>IF($B$6=11,D449,N(INDEX(REPAIRS!$C11:$T11,1,$B$13)))</f>
        <v>1</v>
      </c>
      <c r="G449">
        <f>IF($B$6=11,E449,N(INDEX(REPAIRS!$C11:$T11,1,$B$13+1)))</f>
        <v>950</v>
      </c>
    </row>
    <row r="450" spans="1:7" x14ac:dyDescent="0.25">
      <c r="A450">
        <v>12</v>
      </c>
      <c r="B450">
        <f>IF(REPAIRS!A12&lt;&gt;"",IFERROR(MATCH(UPPER(LEFT(TRIM(REPAIRS!A12),3)),{"JAN","FEB","MAR","APR","MAY","JUN","JUL","AUG","SEP","OCT","NOV","DEC"},0),""),B449)</f>
        <v>2</v>
      </c>
      <c r="C450" t="str">
        <f>IF(REPAIRS!B12="","",UPPER(TRIM(REPAIRS!B12)))</f>
        <v>MECH</v>
      </c>
      <c r="D450">
        <f>N(REPAIRS!C12)+N(REPAIRS!E12)+N(REPAIRS!G12)+N(REPAIRS!I12)+N(REPAIRS!K12)+N(REPAIRS!M12)+N(REPAIRS!O12)+N(REPAIRS!Q12)+N(REPAIRS!S12)</f>
        <v>4</v>
      </c>
      <c r="E450">
        <f>N(REPAIRS!D12)+N(REPAIRS!F12)+N(REPAIRS!H12)+N(REPAIRS!J12)+N(REPAIRS!L12)+N(REPAIRS!N12)+N(REPAIRS!P12)+N(REPAIRS!R12)+N(REPAIRS!T12)</f>
        <v>7000</v>
      </c>
      <c r="F450">
        <f>IF($B$6=11,D450,N(INDEX(REPAIRS!$C12:$T12,1,$B$13)))</f>
        <v>4</v>
      </c>
      <c r="G450">
        <f>IF($B$6=11,E450,N(INDEX(REPAIRS!$C12:$T12,1,$B$13+1)))</f>
        <v>7000</v>
      </c>
    </row>
    <row r="451" spans="1:7" x14ac:dyDescent="0.25">
      <c r="A451">
        <v>13</v>
      </c>
      <c r="B451">
        <f>IF(REPAIRS!A13&lt;&gt;"",IFERROR(MATCH(UPPER(LEFT(TRIM(REPAIRS!A13),3)),{"JAN","FEB","MAR","APR","MAY","JUN","JUL","AUG","SEP","OCT","NOV","DEC"},0),""),B450)</f>
        <v>2</v>
      </c>
      <c r="C451" t="str">
        <f>IF(REPAIRS!B13="","",UPPER(TRIM(REPAIRS!B13)))</f>
        <v>ELE</v>
      </c>
      <c r="D451">
        <f>N(REPAIRS!C13)+N(REPAIRS!E13)+N(REPAIRS!G13)+N(REPAIRS!I13)+N(REPAIRS!K13)+N(REPAIRS!M13)+N(REPAIRS!O13)+N(REPAIRS!Q13)+N(REPAIRS!S13)</f>
        <v>34</v>
      </c>
      <c r="E451">
        <f>N(REPAIRS!D13)+N(REPAIRS!F13)+N(REPAIRS!H13)+N(REPAIRS!J13)+N(REPAIRS!L13)+N(REPAIRS!N13)+N(REPAIRS!P13)+N(REPAIRS!R13)+N(REPAIRS!T13)</f>
        <v>35555</v>
      </c>
      <c r="F451">
        <f>IF($B$6=11,D451,N(INDEX(REPAIRS!$C13:$T13,1,$B$13)))</f>
        <v>34</v>
      </c>
      <c r="G451">
        <f>IF($B$6=11,E451,N(INDEX(REPAIRS!$C13:$T13,1,$B$13+1)))</f>
        <v>35555</v>
      </c>
    </row>
    <row r="452" spans="1:7" x14ac:dyDescent="0.25">
      <c r="A452">
        <v>14</v>
      </c>
      <c r="B452">
        <f>IF(REPAIRS!A14&lt;&gt;"",IFERROR(MATCH(UPPER(LEFT(TRIM(REPAIRS!A14),3)),{"JAN","FEB","MAR","APR","MAY","JUN","JUL","AUG","SEP","OCT","NOV","DEC"},0),""),B451)</f>
        <v>2</v>
      </c>
      <c r="C452" t="str">
        <f>IF(REPAIRS!B14="","",UPPER(TRIM(REPAIRS!B14)))</f>
        <v>PLU</v>
      </c>
      <c r="D452">
        <f>N(REPAIRS!C14)+N(REPAIRS!E14)+N(REPAIRS!G14)+N(REPAIRS!I14)+N(REPAIRS!K14)+N(REPAIRS!M14)+N(REPAIRS!O14)+N(REPAIRS!Q14)+N(REPAIRS!S14)</f>
        <v>16</v>
      </c>
      <c r="E452">
        <f>N(REPAIRS!D14)+N(REPAIRS!F14)+N(REPAIRS!H14)+N(REPAIRS!J14)+N(REPAIRS!L14)+N(REPAIRS!N14)+N(REPAIRS!P14)+N(REPAIRS!R14)+N(REPAIRS!T14)</f>
        <v>40602</v>
      </c>
      <c r="F452">
        <f>IF($B$6=11,D452,N(INDEX(REPAIRS!$C14:$T14,1,$B$13)))</f>
        <v>16</v>
      </c>
      <c r="G452">
        <f>IF($B$6=11,E452,N(INDEX(REPAIRS!$C14:$T14,1,$B$13+1)))</f>
        <v>40602</v>
      </c>
    </row>
    <row r="453" spans="1:7" x14ac:dyDescent="0.25">
      <c r="A453">
        <v>15</v>
      </c>
      <c r="B453">
        <f>IF(REPAIRS!A15&lt;&gt;"",IFERROR(MATCH(UPPER(LEFT(TRIM(REPAIRS!A15),3)),{"JAN","FEB","MAR","APR","MAY","JUN","JUL","AUG","SEP","OCT","NOV","DEC"},0),""),B452)</f>
        <v>2</v>
      </c>
      <c r="C453" t="str">
        <f>IF(REPAIRS!B15="","",UPPER(TRIM(REPAIRS!B15)))</f>
        <v>CARPENTARY</v>
      </c>
      <c r="D453">
        <f>N(REPAIRS!C15)+N(REPAIRS!E15)+N(REPAIRS!G15)+N(REPAIRS!I15)+N(REPAIRS!K15)+N(REPAIRS!M15)+N(REPAIRS!O15)+N(REPAIRS!Q15)+N(REPAIRS!S15)</f>
        <v>22</v>
      </c>
      <c r="E453">
        <f>N(REPAIRS!D15)+N(REPAIRS!F15)+N(REPAIRS!H15)+N(REPAIRS!J15)+N(REPAIRS!L15)+N(REPAIRS!N15)+N(REPAIRS!P15)+N(REPAIRS!R15)+N(REPAIRS!T15)</f>
        <v>40406</v>
      </c>
      <c r="F453">
        <f>IF($B$6=11,D453,N(INDEX(REPAIRS!$C15:$T15,1,$B$13)))</f>
        <v>22</v>
      </c>
      <c r="G453">
        <f>IF($B$6=11,E453,N(INDEX(REPAIRS!$C15:$T15,1,$B$13+1)))</f>
        <v>40406</v>
      </c>
    </row>
    <row r="454" spans="1:7" x14ac:dyDescent="0.25">
      <c r="A454">
        <v>16</v>
      </c>
      <c r="B454">
        <f>IF(REPAIRS!A16&lt;&gt;"",IFERROR(MATCH(UPPER(LEFT(TRIM(REPAIRS!A16),3)),{"JAN","FEB","MAR","APR","MAY","JUN","JUL","AUG","SEP","OCT","NOV","DEC"},0),""),B453)</f>
        <v>2</v>
      </c>
      <c r="C454" t="str">
        <f>IF(REPAIRS!B16="","",UPPER(TRIM(REPAIRS!B16)))</f>
        <v>R &amp; M</v>
      </c>
      <c r="D454">
        <f>N(REPAIRS!C16)+N(REPAIRS!E16)+N(REPAIRS!G16)+N(REPAIRS!I16)+N(REPAIRS!K16)+N(REPAIRS!M16)+N(REPAIRS!O16)+N(REPAIRS!Q16)+N(REPAIRS!S16)</f>
        <v>12</v>
      </c>
      <c r="E454">
        <f>N(REPAIRS!D16)+N(REPAIRS!F16)+N(REPAIRS!H16)+N(REPAIRS!J16)+N(REPAIRS!L16)+N(REPAIRS!N16)+N(REPAIRS!P16)+N(REPAIRS!R16)+N(REPAIRS!T16)</f>
        <v>18794</v>
      </c>
      <c r="F454">
        <f>IF($B$6=11,D454,N(INDEX(REPAIRS!$C16:$T16,1,$B$13)))</f>
        <v>12</v>
      </c>
      <c r="G454">
        <f>IF($B$6=11,E454,N(INDEX(REPAIRS!$C16:$T16,1,$B$13+1)))</f>
        <v>18794</v>
      </c>
    </row>
    <row r="455" spans="1:7" x14ac:dyDescent="0.25">
      <c r="A455">
        <v>17</v>
      </c>
      <c r="B455">
        <f>IF(REPAIRS!A17&lt;&gt;"",IFERROR(MATCH(UPPER(LEFT(TRIM(REPAIRS!A17),3)),{"JAN","FEB","MAR","APR","MAY","JUN","JUL","AUG","SEP","OCT","NOV","DEC"},0),""),B454)</f>
        <v>2</v>
      </c>
      <c r="C455" t="str">
        <f>IF(REPAIRS!B17="","",UPPER(TRIM(REPAIRS!B17)))</f>
        <v>OTHERS &amp; IT</v>
      </c>
      <c r="D455">
        <f>N(REPAIRS!C17)+N(REPAIRS!E17)+N(REPAIRS!G17)+N(REPAIRS!I17)+N(REPAIRS!K17)+N(REPAIRS!M17)+N(REPAIRS!O17)+N(REPAIRS!Q17)+N(REPAIRS!S17)</f>
        <v>22</v>
      </c>
      <c r="E455">
        <f>N(REPAIRS!D17)+N(REPAIRS!F17)+N(REPAIRS!H17)+N(REPAIRS!J17)+N(REPAIRS!L17)+N(REPAIRS!N17)+N(REPAIRS!P17)+N(REPAIRS!R17)+N(REPAIRS!T17)</f>
        <v>33569</v>
      </c>
      <c r="F455">
        <f>IF($B$6=11,D455,N(INDEX(REPAIRS!$C17:$T17,1,$B$13)))</f>
        <v>22</v>
      </c>
      <c r="G455">
        <f>IF($B$6=11,E455,N(INDEX(REPAIRS!$C17:$T17,1,$B$13+1)))</f>
        <v>33569</v>
      </c>
    </row>
    <row r="456" spans="1:7" x14ac:dyDescent="0.25">
      <c r="A456">
        <v>18</v>
      </c>
      <c r="B456">
        <f>IF(REPAIRS!A18&lt;&gt;"",IFERROR(MATCH(UPPER(LEFT(TRIM(REPAIRS!A18),3)),{"JAN","FEB","MAR","APR","MAY","JUN","JUL","AUG","SEP","OCT","NOV","DEC"},0),""),B455)</f>
        <v>3</v>
      </c>
      <c r="C456" t="str">
        <f>IF(REPAIRS!B18="","",UPPER(TRIM(REPAIRS!B18)))</f>
        <v>CIVIL</v>
      </c>
      <c r="D456">
        <f>N(REPAIRS!C18)+N(REPAIRS!E18)+N(REPAIRS!G18)+N(REPAIRS!I18)+N(REPAIRS!K18)+N(REPAIRS!M18)+N(REPAIRS!O18)+N(REPAIRS!Q18)+N(REPAIRS!S18)</f>
        <v>5</v>
      </c>
      <c r="E456">
        <f>N(REPAIRS!D18)+N(REPAIRS!F18)+N(REPAIRS!H18)+N(REPAIRS!J18)+N(REPAIRS!L18)+N(REPAIRS!N18)+N(REPAIRS!P18)+N(REPAIRS!R18)+N(REPAIRS!T18)</f>
        <v>21280</v>
      </c>
      <c r="F456">
        <f>IF($B$6=11,D456,N(INDEX(REPAIRS!$C18:$T18,1,$B$13)))</f>
        <v>5</v>
      </c>
      <c r="G456">
        <f>IF($B$6=11,E456,N(INDEX(REPAIRS!$C18:$T18,1,$B$13+1)))</f>
        <v>21280</v>
      </c>
    </row>
    <row r="457" spans="1:7" x14ac:dyDescent="0.25">
      <c r="A457">
        <v>19</v>
      </c>
      <c r="B457">
        <f>IF(REPAIRS!A19&lt;&gt;"",IFERROR(MATCH(UPPER(LEFT(TRIM(REPAIRS!A19),3)),{"JAN","FEB","MAR","APR","MAY","JUN","JUL","AUG","SEP","OCT","NOV","DEC"},0),""),B456)</f>
        <v>3</v>
      </c>
      <c r="C457" t="str">
        <f>IF(REPAIRS!B19="","",UPPER(TRIM(REPAIRS!B19)))</f>
        <v>MECH</v>
      </c>
      <c r="D457">
        <f>N(REPAIRS!C19)+N(REPAIRS!E19)+N(REPAIRS!G19)+N(REPAIRS!I19)+N(REPAIRS!K19)+N(REPAIRS!M19)+N(REPAIRS!O19)+N(REPAIRS!Q19)+N(REPAIRS!S19)</f>
        <v>3</v>
      </c>
      <c r="E457">
        <f>N(REPAIRS!D19)+N(REPAIRS!F19)+N(REPAIRS!H19)+N(REPAIRS!J19)+N(REPAIRS!L19)+N(REPAIRS!N19)+N(REPAIRS!P19)+N(REPAIRS!R19)+N(REPAIRS!T19)</f>
        <v>6880</v>
      </c>
      <c r="F457">
        <f>IF($B$6=11,D457,N(INDEX(REPAIRS!$C19:$T19,1,$B$13)))</f>
        <v>3</v>
      </c>
      <c r="G457">
        <f>IF($B$6=11,E457,N(INDEX(REPAIRS!$C19:$T19,1,$B$13+1)))</f>
        <v>6880</v>
      </c>
    </row>
    <row r="458" spans="1:7" x14ac:dyDescent="0.25">
      <c r="A458">
        <v>20</v>
      </c>
      <c r="B458">
        <f>IF(REPAIRS!A20&lt;&gt;"",IFERROR(MATCH(UPPER(LEFT(TRIM(REPAIRS!A20),3)),{"JAN","FEB","MAR","APR","MAY","JUN","JUL","AUG","SEP","OCT","NOV","DEC"},0),""),B457)</f>
        <v>3</v>
      </c>
      <c r="C458" t="str">
        <f>IF(REPAIRS!B20="","",UPPER(TRIM(REPAIRS!B20)))</f>
        <v>ELE</v>
      </c>
      <c r="D458">
        <f>N(REPAIRS!C20)+N(REPAIRS!E20)+N(REPAIRS!G20)+N(REPAIRS!I20)+N(REPAIRS!K20)+N(REPAIRS!M20)+N(REPAIRS!O20)+N(REPAIRS!Q20)+N(REPAIRS!S20)</f>
        <v>84</v>
      </c>
      <c r="E458">
        <f>N(REPAIRS!D20)+N(REPAIRS!F20)+N(REPAIRS!H20)+N(REPAIRS!J20)+N(REPAIRS!L20)+N(REPAIRS!N20)+N(REPAIRS!P20)+N(REPAIRS!R20)+N(REPAIRS!T20)</f>
        <v>47320</v>
      </c>
      <c r="F458">
        <f>IF($B$6=11,D458,N(INDEX(REPAIRS!$C20:$T20,1,$B$13)))</f>
        <v>84</v>
      </c>
      <c r="G458">
        <f>IF($B$6=11,E458,N(INDEX(REPAIRS!$C20:$T20,1,$B$13+1)))</f>
        <v>47320</v>
      </c>
    </row>
    <row r="459" spans="1:7" x14ac:dyDescent="0.25">
      <c r="A459">
        <v>21</v>
      </c>
      <c r="B459">
        <f>IF(REPAIRS!A21&lt;&gt;"",IFERROR(MATCH(UPPER(LEFT(TRIM(REPAIRS!A21),3)),{"JAN","FEB","MAR","APR","MAY","JUN","JUL","AUG","SEP","OCT","NOV","DEC"},0),""),B458)</f>
        <v>3</v>
      </c>
      <c r="C459" t="str">
        <f>IF(REPAIRS!B21="","",UPPER(TRIM(REPAIRS!B21)))</f>
        <v>PLU</v>
      </c>
      <c r="D459">
        <f>N(REPAIRS!C21)+N(REPAIRS!E21)+N(REPAIRS!G21)+N(REPAIRS!I21)+N(REPAIRS!K21)+N(REPAIRS!M21)+N(REPAIRS!O21)+N(REPAIRS!Q21)+N(REPAIRS!S21)</f>
        <v>17</v>
      </c>
      <c r="E459">
        <f>N(REPAIRS!D21)+N(REPAIRS!F21)+N(REPAIRS!H21)+N(REPAIRS!J21)+N(REPAIRS!L21)+N(REPAIRS!N21)+N(REPAIRS!P21)+N(REPAIRS!R21)+N(REPAIRS!T21)</f>
        <v>12970</v>
      </c>
      <c r="F459">
        <f>IF($B$6=11,D459,N(INDEX(REPAIRS!$C21:$T21,1,$B$13)))</f>
        <v>17</v>
      </c>
      <c r="G459">
        <f>IF($B$6=11,E459,N(INDEX(REPAIRS!$C21:$T21,1,$B$13+1)))</f>
        <v>12970</v>
      </c>
    </row>
    <row r="460" spans="1:7" x14ac:dyDescent="0.25">
      <c r="A460">
        <v>22</v>
      </c>
      <c r="B460">
        <f>IF(REPAIRS!A22&lt;&gt;"",IFERROR(MATCH(UPPER(LEFT(TRIM(REPAIRS!A22),3)),{"JAN","FEB","MAR","APR","MAY","JUN","JUL","AUG","SEP","OCT","NOV","DEC"},0),""),B459)</f>
        <v>3</v>
      </c>
      <c r="C460" t="str">
        <f>IF(REPAIRS!B22="","",UPPER(TRIM(REPAIRS!B22)))</f>
        <v>CARPENTARY</v>
      </c>
      <c r="D460">
        <f>N(REPAIRS!C22)+N(REPAIRS!E22)+N(REPAIRS!G22)+N(REPAIRS!I22)+N(REPAIRS!K22)+N(REPAIRS!M22)+N(REPAIRS!O22)+N(REPAIRS!Q22)+N(REPAIRS!S22)</f>
        <v>13</v>
      </c>
      <c r="E460">
        <f>N(REPAIRS!D22)+N(REPAIRS!F22)+N(REPAIRS!H22)+N(REPAIRS!J22)+N(REPAIRS!L22)+N(REPAIRS!N22)+N(REPAIRS!P22)+N(REPAIRS!R22)+N(REPAIRS!T22)</f>
        <v>23525</v>
      </c>
      <c r="F460">
        <f>IF($B$6=11,D460,N(INDEX(REPAIRS!$C22:$T22,1,$B$13)))</f>
        <v>13</v>
      </c>
      <c r="G460">
        <f>IF($B$6=11,E460,N(INDEX(REPAIRS!$C22:$T22,1,$B$13+1)))</f>
        <v>23525</v>
      </c>
    </row>
    <row r="461" spans="1:7" x14ac:dyDescent="0.25">
      <c r="A461">
        <v>23</v>
      </c>
      <c r="B461">
        <f>IF(REPAIRS!A23&lt;&gt;"",IFERROR(MATCH(UPPER(LEFT(TRIM(REPAIRS!A23),3)),{"JAN","FEB","MAR","APR","MAY","JUN","JUL","AUG","SEP","OCT","NOV","DEC"},0),""),B460)</f>
        <v>3</v>
      </c>
      <c r="C461" t="str">
        <f>IF(REPAIRS!B23="","",UPPER(TRIM(REPAIRS!B23)))</f>
        <v>R &amp; M</v>
      </c>
      <c r="D461">
        <f>N(REPAIRS!C23)+N(REPAIRS!E23)+N(REPAIRS!G23)+N(REPAIRS!I23)+N(REPAIRS!K23)+N(REPAIRS!M23)+N(REPAIRS!O23)+N(REPAIRS!Q23)+N(REPAIRS!S23)</f>
        <v>21</v>
      </c>
      <c r="E461">
        <f>N(REPAIRS!D23)+N(REPAIRS!F23)+N(REPAIRS!H23)+N(REPAIRS!J23)+N(REPAIRS!L23)+N(REPAIRS!N23)+N(REPAIRS!P23)+N(REPAIRS!R23)+N(REPAIRS!T23)</f>
        <v>12281</v>
      </c>
      <c r="F461">
        <f>IF($B$6=11,D461,N(INDEX(REPAIRS!$C23:$T23,1,$B$13)))</f>
        <v>21</v>
      </c>
      <c r="G461">
        <f>IF($B$6=11,E461,N(INDEX(REPAIRS!$C23:$T23,1,$B$13+1)))</f>
        <v>12281</v>
      </c>
    </row>
    <row r="462" spans="1:7" x14ac:dyDescent="0.25">
      <c r="A462">
        <v>24</v>
      </c>
      <c r="B462">
        <f>IF(REPAIRS!A24&lt;&gt;"",IFERROR(MATCH(UPPER(LEFT(TRIM(REPAIRS!A24),3)),{"JAN","FEB","MAR","APR","MAY","JUN","JUL","AUG","SEP","OCT","NOV","DEC"},0),""),B461)</f>
        <v>3</v>
      </c>
      <c r="C462" t="str">
        <f>IF(REPAIRS!B24="","",UPPER(TRIM(REPAIRS!B24)))</f>
        <v>OTHERS &amp; IT</v>
      </c>
      <c r="D462">
        <f>N(REPAIRS!C24)+N(REPAIRS!E24)+N(REPAIRS!G24)+N(REPAIRS!I24)+N(REPAIRS!K24)+N(REPAIRS!M24)+N(REPAIRS!O24)+N(REPAIRS!Q24)+N(REPAIRS!S24)</f>
        <v>11</v>
      </c>
      <c r="E462">
        <f>N(REPAIRS!D24)+N(REPAIRS!F24)+N(REPAIRS!H24)+N(REPAIRS!J24)+N(REPAIRS!L24)+N(REPAIRS!N24)+N(REPAIRS!P24)+N(REPAIRS!R24)+N(REPAIRS!T24)</f>
        <v>35185</v>
      </c>
      <c r="F462">
        <f>IF($B$6=11,D462,N(INDEX(REPAIRS!$C24:$T24,1,$B$13)))</f>
        <v>11</v>
      </c>
      <c r="G462">
        <f>IF($B$6=11,E462,N(INDEX(REPAIRS!$C24:$T24,1,$B$13+1)))</f>
        <v>35185</v>
      </c>
    </row>
    <row r="463" spans="1:7" x14ac:dyDescent="0.25">
      <c r="A463">
        <v>25</v>
      </c>
      <c r="B463">
        <f>IF(REPAIRS!A25&lt;&gt;"",IFERROR(MATCH(UPPER(LEFT(TRIM(REPAIRS!A25),3)),{"JAN","FEB","MAR","APR","MAY","JUN","JUL","AUG","SEP","OCT","NOV","DEC"},0),""),B462)</f>
        <v>4</v>
      </c>
      <c r="C463" t="str">
        <f>IF(REPAIRS!B25="","",UPPER(TRIM(REPAIRS!B25)))</f>
        <v>CIVIL</v>
      </c>
      <c r="D463">
        <f>N(REPAIRS!C25)+N(REPAIRS!E25)+N(REPAIRS!G25)+N(REPAIRS!I25)+N(REPAIRS!K25)+N(REPAIRS!M25)+N(REPAIRS!O25)+N(REPAIRS!Q25)+N(REPAIRS!S25)</f>
        <v>7</v>
      </c>
      <c r="E463">
        <f>N(REPAIRS!D25)+N(REPAIRS!F25)+N(REPAIRS!H25)+N(REPAIRS!J25)+N(REPAIRS!L25)+N(REPAIRS!N25)+N(REPAIRS!P25)+N(REPAIRS!R25)+N(REPAIRS!T25)</f>
        <v>12469</v>
      </c>
      <c r="F463">
        <f>IF($B$6=11,D463,N(INDEX(REPAIRS!$C25:$T25,1,$B$13)))</f>
        <v>7</v>
      </c>
      <c r="G463">
        <f>IF($B$6=11,E463,N(INDEX(REPAIRS!$C25:$T25,1,$B$13+1)))</f>
        <v>12469</v>
      </c>
    </row>
    <row r="464" spans="1:7" x14ac:dyDescent="0.25">
      <c r="A464">
        <v>26</v>
      </c>
      <c r="B464">
        <f>IF(REPAIRS!A26&lt;&gt;"",IFERROR(MATCH(UPPER(LEFT(TRIM(REPAIRS!A26),3)),{"JAN","FEB","MAR","APR","MAY","JUN","JUL","AUG","SEP","OCT","NOV","DEC"},0),""),B463)</f>
        <v>4</v>
      </c>
      <c r="C464" t="str">
        <f>IF(REPAIRS!B26="","",UPPER(TRIM(REPAIRS!B26)))</f>
        <v>MECH</v>
      </c>
      <c r="D464">
        <f>N(REPAIRS!C26)+N(REPAIRS!E26)+N(REPAIRS!G26)+N(REPAIRS!I26)+N(REPAIRS!K26)+N(REPAIRS!M26)+N(REPAIRS!O26)+N(REPAIRS!Q26)+N(REPAIRS!S26)</f>
        <v>15</v>
      </c>
      <c r="E464">
        <f>N(REPAIRS!D26)+N(REPAIRS!F26)+N(REPAIRS!H26)+N(REPAIRS!J26)+N(REPAIRS!L26)+N(REPAIRS!N26)+N(REPAIRS!P26)+N(REPAIRS!R26)+N(REPAIRS!T26)</f>
        <v>2800</v>
      </c>
      <c r="F464">
        <f>IF($B$6=11,D464,N(INDEX(REPAIRS!$C26:$T26,1,$B$13)))</f>
        <v>15</v>
      </c>
      <c r="G464">
        <f>IF($B$6=11,E464,N(INDEX(REPAIRS!$C26:$T26,1,$B$13+1)))</f>
        <v>2800</v>
      </c>
    </row>
    <row r="465" spans="1:7" x14ac:dyDescent="0.25">
      <c r="A465">
        <v>27</v>
      </c>
      <c r="B465">
        <f>IF(REPAIRS!A27&lt;&gt;"",IFERROR(MATCH(UPPER(LEFT(TRIM(REPAIRS!A27),3)),{"JAN","FEB","MAR","APR","MAY","JUN","JUL","AUG","SEP","OCT","NOV","DEC"},0),""),B464)</f>
        <v>4</v>
      </c>
      <c r="C465" t="str">
        <f>IF(REPAIRS!B27="","",UPPER(TRIM(REPAIRS!B27)))</f>
        <v>ELE</v>
      </c>
      <c r="D465">
        <f>N(REPAIRS!C27)+N(REPAIRS!E27)+N(REPAIRS!G27)+N(REPAIRS!I27)+N(REPAIRS!K27)+N(REPAIRS!M27)+N(REPAIRS!O27)+N(REPAIRS!Q27)+N(REPAIRS!S27)</f>
        <v>19</v>
      </c>
      <c r="E465">
        <f>N(REPAIRS!D27)+N(REPAIRS!F27)+N(REPAIRS!H27)+N(REPAIRS!J27)+N(REPAIRS!L27)+N(REPAIRS!N27)+N(REPAIRS!P27)+N(REPAIRS!R27)+N(REPAIRS!T27)</f>
        <v>21376</v>
      </c>
      <c r="F465">
        <f>IF($B$6=11,D465,N(INDEX(REPAIRS!$C27:$T27,1,$B$13)))</f>
        <v>19</v>
      </c>
      <c r="G465">
        <f>IF($B$6=11,E465,N(INDEX(REPAIRS!$C27:$T27,1,$B$13+1)))</f>
        <v>21376</v>
      </c>
    </row>
    <row r="466" spans="1:7" x14ac:dyDescent="0.25">
      <c r="A466">
        <v>28</v>
      </c>
      <c r="B466">
        <f>IF(REPAIRS!A28&lt;&gt;"",IFERROR(MATCH(UPPER(LEFT(TRIM(REPAIRS!A28),3)),{"JAN","FEB","MAR","APR","MAY","JUN","JUL","AUG","SEP","OCT","NOV","DEC"},0),""),B465)</f>
        <v>4</v>
      </c>
      <c r="C466" t="str">
        <f>IF(REPAIRS!B28="","",UPPER(TRIM(REPAIRS!B28)))</f>
        <v>PLU</v>
      </c>
      <c r="D466">
        <f>N(REPAIRS!C28)+N(REPAIRS!E28)+N(REPAIRS!G28)+N(REPAIRS!I28)+N(REPAIRS!K28)+N(REPAIRS!M28)+N(REPAIRS!O28)+N(REPAIRS!Q28)+N(REPAIRS!S28)</f>
        <v>23</v>
      </c>
      <c r="E466">
        <f>N(REPAIRS!D28)+N(REPAIRS!F28)+N(REPAIRS!H28)+N(REPAIRS!J28)+N(REPAIRS!L28)+N(REPAIRS!N28)+N(REPAIRS!P28)+N(REPAIRS!R28)+N(REPAIRS!T28)</f>
        <v>40749</v>
      </c>
      <c r="F466">
        <f>IF($B$6=11,D466,N(INDEX(REPAIRS!$C28:$T28,1,$B$13)))</f>
        <v>23</v>
      </c>
      <c r="G466">
        <f>IF($B$6=11,E466,N(INDEX(REPAIRS!$C28:$T28,1,$B$13+1)))</f>
        <v>40749</v>
      </c>
    </row>
    <row r="467" spans="1:7" x14ac:dyDescent="0.25">
      <c r="A467">
        <v>29</v>
      </c>
      <c r="B467">
        <f>IF(REPAIRS!A29&lt;&gt;"",IFERROR(MATCH(UPPER(LEFT(TRIM(REPAIRS!A29),3)),{"JAN","FEB","MAR","APR","MAY","JUN","JUL","AUG","SEP","OCT","NOV","DEC"},0),""),B466)</f>
        <v>4</v>
      </c>
      <c r="C467" t="str">
        <f>IF(REPAIRS!B29="","",UPPER(TRIM(REPAIRS!B29)))</f>
        <v>CARPENTARY</v>
      </c>
      <c r="D467">
        <f>N(REPAIRS!C29)+N(REPAIRS!E29)+N(REPAIRS!G29)+N(REPAIRS!I29)+N(REPAIRS!K29)+N(REPAIRS!M29)+N(REPAIRS!O29)+N(REPAIRS!Q29)+N(REPAIRS!S29)</f>
        <v>21</v>
      </c>
      <c r="E467">
        <f>N(REPAIRS!D29)+N(REPAIRS!F29)+N(REPAIRS!H29)+N(REPAIRS!J29)+N(REPAIRS!L29)+N(REPAIRS!N29)+N(REPAIRS!P29)+N(REPAIRS!R29)+N(REPAIRS!T29)</f>
        <v>28439</v>
      </c>
      <c r="F467">
        <f>IF($B$6=11,D467,N(INDEX(REPAIRS!$C29:$T29,1,$B$13)))</f>
        <v>21</v>
      </c>
      <c r="G467">
        <f>IF($B$6=11,E467,N(INDEX(REPAIRS!$C29:$T29,1,$B$13+1)))</f>
        <v>28439</v>
      </c>
    </row>
    <row r="468" spans="1:7" x14ac:dyDescent="0.25">
      <c r="A468">
        <v>30</v>
      </c>
      <c r="B468">
        <f>IF(REPAIRS!A30&lt;&gt;"",IFERROR(MATCH(UPPER(LEFT(TRIM(REPAIRS!A30),3)),{"JAN","FEB","MAR","APR","MAY","JUN","JUL","AUG","SEP","OCT","NOV","DEC"},0),""),B467)</f>
        <v>4</v>
      </c>
      <c r="C468" t="str">
        <f>IF(REPAIRS!B30="","",UPPER(TRIM(REPAIRS!B30)))</f>
        <v>R &amp; M</v>
      </c>
      <c r="D468">
        <f>N(REPAIRS!C30)+N(REPAIRS!E30)+N(REPAIRS!G30)+N(REPAIRS!I30)+N(REPAIRS!K30)+N(REPAIRS!M30)+N(REPAIRS!O30)+N(REPAIRS!Q30)+N(REPAIRS!S30)</f>
        <v>51</v>
      </c>
      <c r="E468">
        <f>N(REPAIRS!D30)+N(REPAIRS!F30)+N(REPAIRS!H30)+N(REPAIRS!J30)+N(REPAIRS!L30)+N(REPAIRS!N30)+N(REPAIRS!P30)+N(REPAIRS!R30)+N(REPAIRS!T30)</f>
        <v>32329</v>
      </c>
      <c r="F468">
        <f>IF($B$6=11,D468,N(INDEX(REPAIRS!$C30:$T30,1,$B$13)))</f>
        <v>51</v>
      </c>
      <c r="G468">
        <f>IF($B$6=11,E468,N(INDEX(REPAIRS!$C30:$T30,1,$B$13+1)))</f>
        <v>32329</v>
      </c>
    </row>
    <row r="469" spans="1:7" x14ac:dyDescent="0.25">
      <c r="A469">
        <v>31</v>
      </c>
      <c r="B469">
        <f>IF(REPAIRS!A31&lt;&gt;"",IFERROR(MATCH(UPPER(LEFT(TRIM(REPAIRS!A31),3)),{"JAN","FEB","MAR","APR","MAY","JUN","JUL","AUG","SEP","OCT","NOV","DEC"},0),""),B468)</f>
        <v>4</v>
      </c>
      <c r="C469" t="str">
        <f>IF(REPAIRS!B31="","",UPPER(TRIM(REPAIRS!B31)))</f>
        <v>OTHERS &amp; IT</v>
      </c>
      <c r="D469">
        <f>N(REPAIRS!C31)+N(REPAIRS!E31)+N(REPAIRS!G31)+N(REPAIRS!I31)+N(REPAIRS!K31)+N(REPAIRS!M31)+N(REPAIRS!O31)+N(REPAIRS!Q31)+N(REPAIRS!S31)</f>
        <v>14</v>
      </c>
      <c r="E469">
        <f>N(REPAIRS!D31)+N(REPAIRS!F31)+N(REPAIRS!H31)+N(REPAIRS!J31)+N(REPAIRS!L31)+N(REPAIRS!N31)+N(REPAIRS!P31)+N(REPAIRS!R31)+N(REPAIRS!T31)</f>
        <v>33331</v>
      </c>
      <c r="F469">
        <f>IF($B$6=11,D469,N(INDEX(REPAIRS!$C31:$T31,1,$B$13)))</f>
        <v>14</v>
      </c>
      <c r="G469">
        <f>IF($B$6=11,E469,N(INDEX(REPAIRS!$C31:$T31,1,$B$13+1)))</f>
        <v>33331</v>
      </c>
    </row>
    <row r="470" spans="1:7" x14ac:dyDescent="0.25">
      <c r="A470">
        <v>32</v>
      </c>
      <c r="B470">
        <f>IF(REPAIRS!A32&lt;&gt;"",IFERROR(MATCH(UPPER(LEFT(TRIM(REPAIRS!A32),3)),{"JAN","FEB","MAR","APR","MAY","JUN","JUL","AUG","SEP","OCT","NOV","DEC"},0),""),B469)</f>
        <v>5</v>
      </c>
      <c r="C470" t="str">
        <f>IF(REPAIRS!B32="","",UPPER(TRIM(REPAIRS!B32)))</f>
        <v>CIVIL</v>
      </c>
      <c r="D470">
        <f>N(REPAIRS!C32)+N(REPAIRS!E32)+N(REPAIRS!G32)+N(REPAIRS!I32)+N(REPAIRS!K32)+N(REPAIRS!M32)+N(REPAIRS!O32)+N(REPAIRS!Q32)+N(REPAIRS!S32)</f>
        <v>5</v>
      </c>
      <c r="E470">
        <f>N(REPAIRS!D32)+N(REPAIRS!F32)+N(REPAIRS!H32)+N(REPAIRS!J32)+N(REPAIRS!L32)+N(REPAIRS!N32)+N(REPAIRS!P32)+N(REPAIRS!R32)+N(REPAIRS!T32)</f>
        <v>10905</v>
      </c>
      <c r="F470">
        <f>IF($B$6=11,D470,N(INDEX(REPAIRS!$C32:$T32,1,$B$13)))</f>
        <v>5</v>
      </c>
      <c r="G470">
        <f>IF($B$6=11,E470,N(INDEX(REPAIRS!$C32:$T32,1,$B$13+1)))</f>
        <v>10905</v>
      </c>
    </row>
    <row r="471" spans="1:7" x14ac:dyDescent="0.25">
      <c r="A471">
        <v>33</v>
      </c>
      <c r="B471">
        <f>IF(REPAIRS!A33&lt;&gt;"",IFERROR(MATCH(UPPER(LEFT(TRIM(REPAIRS!A33),3)),{"JAN","FEB","MAR","APR","MAY","JUN","JUL","AUG","SEP","OCT","NOV","DEC"},0),""),B470)</f>
        <v>5</v>
      </c>
      <c r="C471" t="str">
        <f>IF(REPAIRS!B33="","",UPPER(TRIM(REPAIRS!B33)))</f>
        <v>MECH</v>
      </c>
      <c r="D471">
        <f>N(REPAIRS!C33)+N(REPAIRS!E33)+N(REPAIRS!G33)+N(REPAIRS!I33)+N(REPAIRS!K33)+N(REPAIRS!M33)+N(REPAIRS!O33)+N(REPAIRS!Q33)+N(REPAIRS!S33)</f>
        <v>10</v>
      </c>
      <c r="E471">
        <f>N(REPAIRS!D33)+N(REPAIRS!F33)+N(REPAIRS!H33)+N(REPAIRS!J33)+N(REPAIRS!L33)+N(REPAIRS!N33)+N(REPAIRS!P33)+N(REPAIRS!R33)+N(REPAIRS!T33)</f>
        <v>4500</v>
      </c>
      <c r="F471">
        <f>IF($B$6=11,D471,N(INDEX(REPAIRS!$C33:$T33,1,$B$13)))</f>
        <v>10</v>
      </c>
      <c r="G471">
        <f>IF($B$6=11,E471,N(INDEX(REPAIRS!$C33:$T33,1,$B$13+1)))</f>
        <v>4500</v>
      </c>
    </row>
    <row r="472" spans="1:7" x14ac:dyDescent="0.25">
      <c r="A472">
        <v>34</v>
      </c>
      <c r="B472">
        <f>IF(REPAIRS!A34&lt;&gt;"",IFERROR(MATCH(UPPER(LEFT(TRIM(REPAIRS!A34),3)),{"JAN","FEB","MAR","APR","MAY","JUN","JUL","AUG","SEP","OCT","NOV","DEC"},0),""),B471)</f>
        <v>5</v>
      </c>
      <c r="C472" t="str">
        <f>IF(REPAIRS!B34="","",UPPER(TRIM(REPAIRS!B34)))</f>
        <v>ELE</v>
      </c>
      <c r="D472">
        <f>N(REPAIRS!C34)+N(REPAIRS!E34)+N(REPAIRS!G34)+N(REPAIRS!I34)+N(REPAIRS!K34)+N(REPAIRS!M34)+N(REPAIRS!O34)+N(REPAIRS!Q34)+N(REPAIRS!S34)</f>
        <v>21</v>
      </c>
      <c r="E472">
        <f>N(REPAIRS!D34)+N(REPAIRS!F34)+N(REPAIRS!H34)+N(REPAIRS!J34)+N(REPAIRS!L34)+N(REPAIRS!N34)+N(REPAIRS!P34)+N(REPAIRS!R34)+N(REPAIRS!T34)</f>
        <v>30631</v>
      </c>
      <c r="F472">
        <f>IF($B$6=11,D472,N(INDEX(REPAIRS!$C34:$T34,1,$B$13)))</f>
        <v>21</v>
      </c>
      <c r="G472">
        <f>IF($B$6=11,E472,N(INDEX(REPAIRS!$C34:$T34,1,$B$13+1)))</f>
        <v>30631</v>
      </c>
    </row>
    <row r="473" spans="1:7" x14ac:dyDescent="0.25">
      <c r="A473">
        <v>35</v>
      </c>
      <c r="B473">
        <f>IF(REPAIRS!A35&lt;&gt;"",IFERROR(MATCH(UPPER(LEFT(TRIM(REPAIRS!A35),3)),{"JAN","FEB","MAR","APR","MAY","JUN","JUL","AUG","SEP","OCT","NOV","DEC"},0),""),B472)</f>
        <v>5</v>
      </c>
      <c r="C473" t="str">
        <f>IF(REPAIRS!B35="","",UPPER(TRIM(REPAIRS!B35)))</f>
        <v>PLU</v>
      </c>
      <c r="D473">
        <f>N(REPAIRS!C35)+N(REPAIRS!E35)+N(REPAIRS!G35)+N(REPAIRS!I35)+N(REPAIRS!K35)+N(REPAIRS!M35)+N(REPAIRS!O35)+N(REPAIRS!Q35)+N(REPAIRS!S35)</f>
        <v>19</v>
      </c>
      <c r="E473">
        <f>N(REPAIRS!D35)+N(REPAIRS!F35)+N(REPAIRS!H35)+N(REPAIRS!J35)+N(REPAIRS!L35)+N(REPAIRS!N35)+N(REPAIRS!P35)+N(REPAIRS!R35)+N(REPAIRS!T35)</f>
        <v>10796</v>
      </c>
      <c r="F473">
        <f>IF($B$6=11,D473,N(INDEX(REPAIRS!$C35:$T35,1,$B$13)))</f>
        <v>19</v>
      </c>
      <c r="G473">
        <f>IF($B$6=11,E473,N(INDEX(REPAIRS!$C35:$T35,1,$B$13+1)))</f>
        <v>10796</v>
      </c>
    </row>
    <row r="474" spans="1:7" x14ac:dyDescent="0.25">
      <c r="A474">
        <v>36</v>
      </c>
      <c r="B474">
        <f>IF(REPAIRS!A36&lt;&gt;"",IFERROR(MATCH(UPPER(LEFT(TRIM(REPAIRS!A36),3)),{"JAN","FEB","MAR","APR","MAY","JUN","JUL","AUG","SEP","OCT","NOV","DEC"},0),""),B473)</f>
        <v>5</v>
      </c>
      <c r="C474" t="str">
        <f>IF(REPAIRS!B36="","",UPPER(TRIM(REPAIRS!B36)))</f>
        <v>CARPENTARY</v>
      </c>
      <c r="D474">
        <f>N(REPAIRS!C36)+N(REPAIRS!E36)+N(REPAIRS!G36)+N(REPAIRS!I36)+N(REPAIRS!K36)+N(REPAIRS!M36)+N(REPAIRS!O36)+N(REPAIRS!Q36)+N(REPAIRS!S36)</f>
        <v>9</v>
      </c>
      <c r="E474">
        <f>N(REPAIRS!D36)+N(REPAIRS!F36)+N(REPAIRS!H36)+N(REPAIRS!J36)+N(REPAIRS!L36)+N(REPAIRS!N36)+N(REPAIRS!P36)+N(REPAIRS!R36)+N(REPAIRS!T36)</f>
        <v>66944</v>
      </c>
      <c r="F474">
        <f>IF($B$6=11,D474,N(INDEX(REPAIRS!$C36:$T36,1,$B$13)))</f>
        <v>9</v>
      </c>
      <c r="G474">
        <f>IF($B$6=11,E474,N(INDEX(REPAIRS!$C36:$T36,1,$B$13+1)))</f>
        <v>66944</v>
      </c>
    </row>
    <row r="475" spans="1:7" x14ac:dyDescent="0.25">
      <c r="A475">
        <v>37</v>
      </c>
      <c r="B475">
        <f>IF(REPAIRS!A37&lt;&gt;"",IFERROR(MATCH(UPPER(LEFT(TRIM(REPAIRS!A37),3)),{"JAN","FEB","MAR","APR","MAY","JUN","JUL","AUG","SEP","OCT","NOV","DEC"},0),""),B474)</f>
        <v>5</v>
      </c>
      <c r="C475" t="str">
        <f>IF(REPAIRS!B37="","",UPPER(TRIM(REPAIRS!B37)))</f>
        <v>R &amp; M</v>
      </c>
      <c r="D475">
        <f>N(REPAIRS!C37)+N(REPAIRS!E37)+N(REPAIRS!G37)+N(REPAIRS!I37)+N(REPAIRS!K37)+N(REPAIRS!M37)+N(REPAIRS!O37)+N(REPAIRS!Q37)+N(REPAIRS!S37)</f>
        <v>39</v>
      </c>
      <c r="E475">
        <f>N(REPAIRS!D37)+N(REPAIRS!F37)+N(REPAIRS!H37)+N(REPAIRS!J37)+N(REPAIRS!L37)+N(REPAIRS!N37)+N(REPAIRS!P37)+N(REPAIRS!R37)+N(REPAIRS!T37)</f>
        <v>38445</v>
      </c>
      <c r="F475">
        <f>IF($B$6=11,D475,N(INDEX(REPAIRS!$C37:$T37,1,$B$13)))</f>
        <v>39</v>
      </c>
      <c r="G475">
        <f>IF($B$6=11,E475,N(INDEX(REPAIRS!$C37:$T37,1,$B$13+1)))</f>
        <v>38445</v>
      </c>
    </row>
    <row r="476" spans="1:7" x14ac:dyDescent="0.25">
      <c r="A476">
        <v>38</v>
      </c>
      <c r="B476">
        <f>IF(REPAIRS!A38&lt;&gt;"",IFERROR(MATCH(UPPER(LEFT(TRIM(REPAIRS!A38),3)),{"JAN","FEB","MAR","APR","MAY","JUN","JUL","AUG","SEP","OCT","NOV","DEC"},0),""),B475)</f>
        <v>5</v>
      </c>
      <c r="C476" t="str">
        <f>IF(REPAIRS!B38="","",UPPER(TRIM(REPAIRS!B38)))</f>
        <v>OTHERS &amp; IT</v>
      </c>
      <c r="D476">
        <f>N(REPAIRS!C38)+N(REPAIRS!E38)+N(REPAIRS!G38)+N(REPAIRS!I38)+N(REPAIRS!K38)+N(REPAIRS!M38)+N(REPAIRS!O38)+N(REPAIRS!Q38)+N(REPAIRS!S38)</f>
        <v>15</v>
      </c>
      <c r="E476">
        <f>N(REPAIRS!D38)+N(REPAIRS!F38)+N(REPAIRS!H38)+N(REPAIRS!J38)+N(REPAIRS!L38)+N(REPAIRS!N38)+N(REPAIRS!P38)+N(REPAIRS!R38)+N(REPAIRS!T38)</f>
        <v>48739</v>
      </c>
      <c r="F476">
        <f>IF($B$6=11,D476,N(INDEX(REPAIRS!$C38:$T38,1,$B$13)))</f>
        <v>15</v>
      </c>
      <c r="G476">
        <f>IF($B$6=11,E476,N(INDEX(REPAIRS!$C38:$T38,1,$B$13+1)))</f>
        <v>48739</v>
      </c>
    </row>
    <row r="477" spans="1:7" x14ac:dyDescent="0.25">
      <c r="A477">
        <v>39</v>
      </c>
      <c r="B477">
        <f>IF(REPAIRS!A39&lt;&gt;"",IFERROR(MATCH(UPPER(LEFT(TRIM(REPAIRS!A39),3)),{"JAN","FEB","MAR","APR","MAY","JUN","JUL","AUG","SEP","OCT","NOV","DEC"},0),""),B476)</f>
        <v>6</v>
      </c>
      <c r="C477" t="str">
        <f>IF(REPAIRS!B39="","",UPPER(TRIM(REPAIRS!B39)))</f>
        <v>CIVIL</v>
      </c>
      <c r="D477">
        <f>N(REPAIRS!C39)+N(REPAIRS!E39)+N(REPAIRS!G39)+N(REPAIRS!I39)+N(REPAIRS!K39)+N(REPAIRS!M39)+N(REPAIRS!O39)+N(REPAIRS!Q39)+N(REPAIRS!S39)</f>
        <v>13</v>
      </c>
      <c r="E477">
        <f>N(REPAIRS!D39)+N(REPAIRS!F39)+N(REPAIRS!H39)+N(REPAIRS!J39)+N(REPAIRS!L39)+N(REPAIRS!N39)+N(REPAIRS!P39)+N(REPAIRS!R39)+N(REPAIRS!T39)</f>
        <v>40489</v>
      </c>
      <c r="F477">
        <f>IF($B$6=11,D477,N(INDEX(REPAIRS!$C39:$T39,1,$B$13)))</f>
        <v>13</v>
      </c>
      <c r="G477">
        <f>IF($B$6=11,E477,N(INDEX(REPAIRS!$C39:$T39,1,$B$13+1)))</f>
        <v>40489</v>
      </c>
    </row>
    <row r="478" spans="1:7" x14ac:dyDescent="0.25">
      <c r="A478">
        <v>40</v>
      </c>
      <c r="B478">
        <f>IF(REPAIRS!A40&lt;&gt;"",IFERROR(MATCH(UPPER(LEFT(TRIM(REPAIRS!A40),3)),{"JAN","FEB","MAR","APR","MAY","JUN","JUL","AUG","SEP","OCT","NOV","DEC"},0),""),B477)</f>
        <v>6</v>
      </c>
      <c r="C478" t="str">
        <f>IF(REPAIRS!B40="","",UPPER(TRIM(REPAIRS!B40)))</f>
        <v>MECH</v>
      </c>
      <c r="D478">
        <f>N(REPAIRS!C40)+N(REPAIRS!E40)+N(REPAIRS!G40)+N(REPAIRS!I40)+N(REPAIRS!K40)+N(REPAIRS!M40)+N(REPAIRS!O40)+N(REPAIRS!Q40)+N(REPAIRS!S40)</f>
        <v>10</v>
      </c>
      <c r="E478">
        <f>N(REPAIRS!D40)+N(REPAIRS!F40)+N(REPAIRS!H40)+N(REPAIRS!J40)+N(REPAIRS!L40)+N(REPAIRS!N40)+N(REPAIRS!P40)+N(REPAIRS!R40)+N(REPAIRS!T40)</f>
        <v>0</v>
      </c>
      <c r="F478">
        <f>IF($B$6=11,D478,N(INDEX(REPAIRS!$C40:$T40,1,$B$13)))</f>
        <v>10</v>
      </c>
      <c r="G478">
        <f>IF($B$6=11,E478,N(INDEX(REPAIRS!$C40:$T40,1,$B$13+1)))</f>
        <v>0</v>
      </c>
    </row>
    <row r="479" spans="1:7" x14ac:dyDescent="0.25">
      <c r="A479">
        <v>41</v>
      </c>
      <c r="B479">
        <f>IF(REPAIRS!A41&lt;&gt;"",IFERROR(MATCH(UPPER(LEFT(TRIM(REPAIRS!A41),3)),{"JAN","FEB","MAR","APR","MAY","JUN","JUL","AUG","SEP","OCT","NOV","DEC"},0),""),B478)</f>
        <v>6</v>
      </c>
      <c r="C479" t="str">
        <f>IF(REPAIRS!B41="","",UPPER(TRIM(REPAIRS!B41)))</f>
        <v>ELE</v>
      </c>
      <c r="D479">
        <f>N(REPAIRS!C41)+N(REPAIRS!E41)+N(REPAIRS!G41)+N(REPAIRS!I41)+N(REPAIRS!K41)+N(REPAIRS!M41)+N(REPAIRS!O41)+N(REPAIRS!Q41)+N(REPAIRS!S41)</f>
        <v>46</v>
      </c>
      <c r="E479">
        <f>N(REPAIRS!D41)+N(REPAIRS!F41)+N(REPAIRS!H41)+N(REPAIRS!J41)+N(REPAIRS!L41)+N(REPAIRS!N41)+N(REPAIRS!P41)+N(REPAIRS!R41)+N(REPAIRS!T41)</f>
        <v>45533</v>
      </c>
      <c r="F479">
        <f>IF($B$6=11,D479,N(INDEX(REPAIRS!$C41:$T41,1,$B$13)))</f>
        <v>46</v>
      </c>
      <c r="G479">
        <f>IF($B$6=11,E479,N(INDEX(REPAIRS!$C41:$T41,1,$B$13+1)))</f>
        <v>45533</v>
      </c>
    </row>
    <row r="480" spans="1:7" x14ac:dyDescent="0.25">
      <c r="A480">
        <v>42</v>
      </c>
      <c r="B480">
        <f>IF(REPAIRS!A42&lt;&gt;"",IFERROR(MATCH(UPPER(LEFT(TRIM(REPAIRS!A42),3)),{"JAN","FEB","MAR","APR","MAY","JUN","JUL","AUG","SEP","OCT","NOV","DEC"},0),""),B479)</f>
        <v>6</v>
      </c>
      <c r="C480" t="str">
        <f>IF(REPAIRS!B42="","",UPPER(TRIM(REPAIRS!B42)))</f>
        <v>PLU</v>
      </c>
      <c r="D480">
        <f>N(REPAIRS!C42)+N(REPAIRS!E42)+N(REPAIRS!G42)+N(REPAIRS!I42)+N(REPAIRS!K42)+N(REPAIRS!M42)+N(REPAIRS!O42)+N(REPAIRS!Q42)+N(REPAIRS!S42)</f>
        <v>32</v>
      </c>
      <c r="E480">
        <f>N(REPAIRS!D42)+N(REPAIRS!F42)+N(REPAIRS!H42)+N(REPAIRS!J42)+N(REPAIRS!L42)+N(REPAIRS!N42)+N(REPAIRS!P42)+N(REPAIRS!R42)+N(REPAIRS!T42)</f>
        <v>59065</v>
      </c>
      <c r="F480">
        <f>IF($B$6=11,D480,N(INDEX(REPAIRS!$C42:$T42,1,$B$13)))</f>
        <v>32</v>
      </c>
      <c r="G480">
        <f>IF($B$6=11,E480,N(INDEX(REPAIRS!$C42:$T42,1,$B$13+1)))</f>
        <v>59065</v>
      </c>
    </row>
    <row r="481" spans="1:7" x14ac:dyDescent="0.25">
      <c r="A481">
        <v>43</v>
      </c>
      <c r="B481">
        <f>IF(REPAIRS!A43&lt;&gt;"",IFERROR(MATCH(UPPER(LEFT(TRIM(REPAIRS!A43),3)),{"JAN","FEB","MAR","APR","MAY","JUN","JUL","AUG","SEP","OCT","NOV","DEC"},0),""),B480)</f>
        <v>6</v>
      </c>
      <c r="C481" t="str">
        <f>IF(REPAIRS!B43="","",UPPER(TRIM(REPAIRS!B43)))</f>
        <v>CARPENTARY</v>
      </c>
      <c r="D481">
        <f>N(REPAIRS!C43)+N(REPAIRS!E43)+N(REPAIRS!G43)+N(REPAIRS!I43)+N(REPAIRS!K43)+N(REPAIRS!M43)+N(REPAIRS!O43)+N(REPAIRS!Q43)+N(REPAIRS!S43)</f>
        <v>15</v>
      </c>
      <c r="E481">
        <f>N(REPAIRS!D43)+N(REPAIRS!F43)+N(REPAIRS!H43)+N(REPAIRS!J43)+N(REPAIRS!L43)+N(REPAIRS!N43)+N(REPAIRS!P43)+N(REPAIRS!R43)+N(REPAIRS!T43)</f>
        <v>17226</v>
      </c>
      <c r="F481">
        <f>IF($B$6=11,D481,N(INDEX(REPAIRS!$C43:$T43,1,$B$13)))</f>
        <v>15</v>
      </c>
      <c r="G481">
        <f>IF($B$6=11,E481,N(INDEX(REPAIRS!$C43:$T43,1,$B$13+1)))</f>
        <v>17226</v>
      </c>
    </row>
    <row r="482" spans="1:7" x14ac:dyDescent="0.25">
      <c r="A482">
        <v>44</v>
      </c>
      <c r="B482">
        <f>IF(REPAIRS!A44&lt;&gt;"",IFERROR(MATCH(UPPER(LEFT(TRIM(REPAIRS!A44),3)),{"JAN","FEB","MAR","APR","MAY","JUN","JUL","AUG","SEP","OCT","NOV","DEC"},0),""),B481)</f>
        <v>6</v>
      </c>
      <c r="C482" t="str">
        <f>IF(REPAIRS!B44="","",UPPER(TRIM(REPAIRS!B44)))</f>
        <v>R &amp; M</v>
      </c>
      <c r="D482">
        <f>N(REPAIRS!C44)+N(REPAIRS!E44)+N(REPAIRS!G44)+N(REPAIRS!I44)+N(REPAIRS!K44)+N(REPAIRS!M44)+N(REPAIRS!O44)+N(REPAIRS!Q44)+N(REPAIRS!S44)</f>
        <v>34</v>
      </c>
      <c r="E482">
        <f>N(REPAIRS!D44)+N(REPAIRS!F44)+N(REPAIRS!H44)+N(REPAIRS!J44)+N(REPAIRS!L44)+N(REPAIRS!N44)+N(REPAIRS!P44)+N(REPAIRS!R44)+N(REPAIRS!T44)</f>
        <v>40171</v>
      </c>
      <c r="F482">
        <f>IF($B$6=11,D482,N(INDEX(REPAIRS!$C44:$T44,1,$B$13)))</f>
        <v>34</v>
      </c>
      <c r="G482">
        <f>IF($B$6=11,E482,N(INDEX(REPAIRS!$C44:$T44,1,$B$13+1)))</f>
        <v>40171</v>
      </c>
    </row>
    <row r="483" spans="1:7" x14ac:dyDescent="0.25">
      <c r="A483">
        <v>45</v>
      </c>
      <c r="B483">
        <f>IF(REPAIRS!A45&lt;&gt;"",IFERROR(MATCH(UPPER(LEFT(TRIM(REPAIRS!A45),3)),{"JAN","FEB","MAR","APR","MAY","JUN","JUL","AUG","SEP","OCT","NOV","DEC"},0),""),B482)</f>
        <v>6</v>
      </c>
      <c r="C483" t="str">
        <f>IF(REPAIRS!B45="","",UPPER(TRIM(REPAIRS!B45)))</f>
        <v>OTHERS &amp; IT</v>
      </c>
      <c r="D483">
        <f>N(REPAIRS!C45)+N(REPAIRS!E45)+N(REPAIRS!G45)+N(REPAIRS!I45)+N(REPAIRS!K45)+N(REPAIRS!M45)+N(REPAIRS!O45)+N(REPAIRS!Q45)+N(REPAIRS!S45)</f>
        <v>16</v>
      </c>
      <c r="E483">
        <f>N(REPAIRS!D45)+N(REPAIRS!F45)+N(REPAIRS!H45)+N(REPAIRS!J45)+N(REPAIRS!L45)+N(REPAIRS!N45)+N(REPAIRS!P45)+N(REPAIRS!R45)+N(REPAIRS!T45)</f>
        <v>65643</v>
      </c>
      <c r="F483">
        <f>IF($B$6=11,D483,N(INDEX(REPAIRS!$C45:$T45,1,$B$13)))</f>
        <v>16</v>
      </c>
      <c r="G483">
        <f>IF($B$6=11,E483,N(INDEX(REPAIRS!$C45:$T45,1,$B$13+1)))</f>
        <v>65643</v>
      </c>
    </row>
    <row r="484" spans="1:7" x14ac:dyDescent="0.25">
      <c r="A484">
        <v>46</v>
      </c>
      <c r="B484">
        <f>IF(REPAIRS!A46&lt;&gt;"",IFERROR(MATCH(UPPER(LEFT(TRIM(REPAIRS!A46),3)),{"JAN","FEB","MAR","APR","MAY","JUN","JUL","AUG","SEP","OCT","NOV","DEC"},0),""),B483)</f>
        <v>7</v>
      </c>
      <c r="C484" t="str">
        <f>IF(REPAIRS!B46="","",UPPER(TRIM(REPAIRS!B46)))</f>
        <v>CIVIL</v>
      </c>
      <c r="D484">
        <f>N(REPAIRS!C46)+N(REPAIRS!E46)+N(REPAIRS!G46)+N(REPAIRS!I46)+N(REPAIRS!K46)+N(REPAIRS!M46)+N(REPAIRS!O46)+N(REPAIRS!Q46)+N(REPAIRS!S46)</f>
        <v>3</v>
      </c>
      <c r="E484">
        <f>N(REPAIRS!D46)+N(REPAIRS!F46)+N(REPAIRS!H46)+N(REPAIRS!J46)+N(REPAIRS!L46)+N(REPAIRS!N46)+N(REPAIRS!P46)+N(REPAIRS!R46)+N(REPAIRS!T46)</f>
        <v>10050</v>
      </c>
      <c r="F484">
        <f>IF($B$6=11,D484,N(INDEX(REPAIRS!$C46:$T46,1,$B$13)))</f>
        <v>3</v>
      </c>
      <c r="G484">
        <f>IF($B$6=11,E484,N(INDEX(REPAIRS!$C46:$T46,1,$B$13+1)))</f>
        <v>10050</v>
      </c>
    </row>
    <row r="485" spans="1:7" x14ac:dyDescent="0.25">
      <c r="A485">
        <v>47</v>
      </c>
      <c r="B485">
        <f>IF(REPAIRS!A47&lt;&gt;"",IFERROR(MATCH(UPPER(LEFT(TRIM(REPAIRS!A47),3)),{"JAN","FEB","MAR","APR","MAY","JUN","JUL","AUG","SEP","OCT","NOV","DEC"},0),""),B484)</f>
        <v>7</v>
      </c>
      <c r="C485" t="str">
        <f>IF(REPAIRS!B47="","",UPPER(TRIM(REPAIRS!B47)))</f>
        <v>MECH</v>
      </c>
      <c r="D485">
        <f>N(REPAIRS!C47)+N(REPAIRS!E47)+N(REPAIRS!G47)+N(REPAIRS!I47)+N(REPAIRS!K47)+N(REPAIRS!M47)+N(REPAIRS!O47)+N(REPAIRS!Q47)+N(REPAIRS!S47)</f>
        <v>19</v>
      </c>
      <c r="E485">
        <f>N(REPAIRS!D47)+N(REPAIRS!F47)+N(REPAIRS!H47)+N(REPAIRS!J47)+N(REPAIRS!L47)+N(REPAIRS!N47)+N(REPAIRS!P47)+N(REPAIRS!R47)+N(REPAIRS!T47)</f>
        <v>0</v>
      </c>
      <c r="F485">
        <f>IF($B$6=11,D485,N(INDEX(REPAIRS!$C47:$T47,1,$B$13)))</f>
        <v>19</v>
      </c>
      <c r="G485">
        <f>IF($B$6=11,E485,N(INDEX(REPAIRS!$C47:$T47,1,$B$13+1)))</f>
        <v>0</v>
      </c>
    </row>
    <row r="486" spans="1:7" x14ac:dyDescent="0.25">
      <c r="A486">
        <v>48</v>
      </c>
      <c r="B486">
        <f>IF(REPAIRS!A48&lt;&gt;"",IFERROR(MATCH(UPPER(LEFT(TRIM(REPAIRS!A48),3)),{"JAN","FEB","MAR","APR","MAY","JUN","JUL","AUG","SEP","OCT","NOV","DEC"},0),""),B485)</f>
        <v>7</v>
      </c>
      <c r="C486" t="str">
        <f>IF(REPAIRS!B48="","",UPPER(TRIM(REPAIRS!B48)))</f>
        <v>ELE</v>
      </c>
      <c r="D486">
        <f>N(REPAIRS!C48)+N(REPAIRS!E48)+N(REPAIRS!G48)+N(REPAIRS!I48)+N(REPAIRS!K48)+N(REPAIRS!M48)+N(REPAIRS!O48)+N(REPAIRS!Q48)+N(REPAIRS!S48)</f>
        <v>79</v>
      </c>
      <c r="E486">
        <f>N(REPAIRS!D48)+N(REPAIRS!F48)+N(REPAIRS!H48)+N(REPAIRS!J48)+N(REPAIRS!L48)+N(REPAIRS!N48)+N(REPAIRS!P48)+N(REPAIRS!R48)+N(REPAIRS!T48)</f>
        <v>79378</v>
      </c>
      <c r="F486">
        <f>IF($B$6=11,D486,N(INDEX(REPAIRS!$C48:$T48,1,$B$13)))</f>
        <v>79</v>
      </c>
      <c r="G486">
        <f>IF($B$6=11,E486,N(INDEX(REPAIRS!$C48:$T48,1,$B$13+1)))</f>
        <v>79378</v>
      </c>
    </row>
    <row r="487" spans="1:7" x14ac:dyDescent="0.25">
      <c r="A487">
        <v>49</v>
      </c>
      <c r="B487">
        <f>IF(REPAIRS!A49&lt;&gt;"",IFERROR(MATCH(UPPER(LEFT(TRIM(REPAIRS!A49),3)),{"JAN","FEB","MAR","APR","MAY","JUN","JUL","AUG","SEP","OCT","NOV","DEC"},0),""),B486)</f>
        <v>7</v>
      </c>
      <c r="C487" t="str">
        <f>IF(REPAIRS!B49="","",UPPER(TRIM(REPAIRS!B49)))</f>
        <v>PLU</v>
      </c>
      <c r="D487">
        <f>N(REPAIRS!C49)+N(REPAIRS!E49)+N(REPAIRS!G49)+N(REPAIRS!I49)+N(REPAIRS!K49)+N(REPAIRS!M49)+N(REPAIRS!O49)+N(REPAIRS!Q49)+N(REPAIRS!S49)</f>
        <v>49</v>
      </c>
      <c r="E487">
        <f>N(REPAIRS!D49)+N(REPAIRS!F49)+N(REPAIRS!H49)+N(REPAIRS!J49)+N(REPAIRS!L49)+N(REPAIRS!N49)+N(REPAIRS!P49)+N(REPAIRS!R49)+N(REPAIRS!T49)</f>
        <v>41687</v>
      </c>
      <c r="F487">
        <f>IF($B$6=11,D487,N(INDEX(REPAIRS!$C49:$T49,1,$B$13)))</f>
        <v>49</v>
      </c>
      <c r="G487">
        <f>IF($B$6=11,E487,N(INDEX(REPAIRS!$C49:$T49,1,$B$13+1)))</f>
        <v>41687</v>
      </c>
    </row>
    <row r="488" spans="1:7" x14ac:dyDescent="0.25">
      <c r="A488">
        <v>50</v>
      </c>
      <c r="B488">
        <f>IF(REPAIRS!A50&lt;&gt;"",IFERROR(MATCH(UPPER(LEFT(TRIM(REPAIRS!A50),3)),{"JAN","FEB","MAR","APR","MAY","JUN","JUL","AUG","SEP","OCT","NOV","DEC"},0),""),B487)</f>
        <v>7</v>
      </c>
      <c r="C488" t="str">
        <f>IF(REPAIRS!B50="","",UPPER(TRIM(REPAIRS!B50)))</f>
        <v>CARPENTARY</v>
      </c>
      <c r="D488">
        <f>N(REPAIRS!C50)+N(REPAIRS!E50)+N(REPAIRS!G50)+N(REPAIRS!I50)+N(REPAIRS!K50)+N(REPAIRS!M50)+N(REPAIRS!O50)+N(REPAIRS!Q50)+N(REPAIRS!S50)</f>
        <v>6</v>
      </c>
      <c r="E488">
        <f>N(REPAIRS!D50)+N(REPAIRS!F50)+N(REPAIRS!H50)+N(REPAIRS!J50)+N(REPAIRS!L50)+N(REPAIRS!N50)+N(REPAIRS!P50)+N(REPAIRS!R50)+N(REPAIRS!T50)</f>
        <v>29350</v>
      </c>
      <c r="F488">
        <f>IF($B$6=11,D488,N(INDEX(REPAIRS!$C50:$T50,1,$B$13)))</f>
        <v>6</v>
      </c>
      <c r="G488">
        <f>IF($B$6=11,E488,N(INDEX(REPAIRS!$C50:$T50,1,$B$13+1)))</f>
        <v>29350</v>
      </c>
    </row>
    <row r="489" spans="1:7" x14ac:dyDescent="0.25">
      <c r="A489">
        <v>51</v>
      </c>
      <c r="B489">
        <f>IF(REPAIRS!A51&lt;&gt;"",IFERROR(MATCH(UPPER(LEFT(TRIM(REPAIRS!A51),3)),{"JAN","FEB","MAR","APR","MAY","JUN","JUL","AUG","SEP","OCT","NOV","DEC"},0),""),B488)</f>
        <v>7</v>
      </c>
      <c r="C489" t="str">
        <f>IF(REPAIRS!B51="","",UPPER(TRIM(REPAIRS!B51)))</f>
        <v>R &amp; M</v>
      </c>
      <c r="D489">
        <f>N(REPAIRS!C51)+N(REPAIRS!E51)+N(REPAIRS!G51)+N(REPAIRS!I51)+N(REPAIRS!K51)+N(REPAIRS!M51)+N(REPAIRS!O51)+N(REPAIRS!Q51)+N(REPAIRS!S51)</f>
        <v>47</v>
      </c>
      <c r="E489">
        <f>N(REPAIRS!D51)+N(REPAIRS!F51)+N(REPAIRS!H51)+N(REPAIRS!J51)+N(REPAIRS!L51)+N(REPAIRS!N51)+N(REPAIRS!P51)+N(REPAIRS!R51)+N(REPAIRS!T51)</f>
        <v>14231</v>
      </c>
      <c r="F489">
        <f>IF($B$6=11,D489,N(INDEX(REPAIRS!$C51:$T51,1,$B$13)))</f>
        <v>47</v>
      </c>
      <c r="G489">
        <f>IF($B$6=11,E489,N(INDEX(REPAIRS!$C51:$T51,1,$B$13+1)))</f>
        <v>14231</v>
      </c>
    </row>
    <row r="490" spans="1:7" x14ac:dyDescent="0.25">
      <c r="A490">
        <v>52</v>
      </c>
      <c r="B490">
        <f>IF(REPAIRS!A52&lt;&gt;"",IFERROR(MATCH(UPPER(LEFT(TRIM(REPAIRS!A52),3)),{"JAN","FEB","MAR","APR","MAY","JUN","JUL","AUG","SEP","OCT","NOV","DEC"},0),""),B489)</f>
        <v>7</v>
      </c>
      <c r="C490" t="str">
        <f>IF(REPAIRS!B52="","",UPPER(TRIM(REPAIRS!B52)))</f>
        <v>OTHERS &amp; IT</v>
      </c>
      <c r="D490">
        <f>N(REPAIRS!C52)+N(REPAIRS!E52)+N(REPAIRS!G52)+N(REPAIRS!I52)+N(REPAIRS!K52)+N(REPAIRS!M52)+N(REPAIRS!O52)+N(REPAIRS!Q52)+N(REPAIRS!S52)</f>
        <v>20</v>
      </c>
      <c r="E490">
        <f>N(REPAIRS!D52)+N(REPAIRS!F52)+N(REPAIRS!H52)+N(REPAIRS!J52)+N(REPAIRS!L52)+N(REPAIRS!N52)+N(REPAIRS!P52)+N(REPAIRS!R52)+N(REPAIRS!T52)</f>
        <v>50442</v>
      </c>
      <c r="F490">
        <f>IF($B$6=11,D490,N(INDEX(REPAIRS!$C52:$T52,1,$B$13)))</f>
        <v>20</v>
      </c>
      <c r="G490">
        <f>IF($B$6=11,E490,N(INDEX(REPAIRS!$C52:$T52,1,$B$13+1)))</f>
        <v>50442</v>
      </c>
    </row>
    <row r="491" spans="1:7" x14ac:dyDescent="0.25">
      <c r="A491">
        <v>53</v>
      </c>
      <c r="B491">
        <f>IF(REPAIRS!A53&lt;&gt;"",IFERROR(MATCH(UPPER(LEFT(TRIM(REPAIRS!A53),3)),{"JAN","FEB","MAR","APR","MAY","JUN","JUL","AUG","SEP","OCT","NOV","DEC"},0),""),B490)</f>
        <v>8</v>
      </c>
      <c r="C491" t="str">
        <f>IF(REPAIRS!B53="","",UPPER(TRIM(REPAIRS!B53)))</f>
        <v>CIVIL</v>
      </c>
      <c r="D491">
        <f>N(REPAIRS!C53)+N(REPAIRS!E53)+N(REPAIRS!G53)+N(REPAIRS!I53)+N(REPAIRS!K53)+N(REPAIRS!M53)+N(REPAIRS!O53)+N(REPAIRS!Q53)+N(REPAIRS!S53)</f>
        <v>7</v>
      </c>
      <c r="E491">
        <f>N(REPAIRS!D53)+N(REPAIRS!F53)+N(REPAIRS!H53)+N(REPAIRS!J53)+N(REPAIRS!L53)+N(REPAIRS!N53)+N(REPAIRS!P53)+N(REPAIRS!R53)+N(REPAIRS!T53)</f>
        <v>12266</v>
      </c>
      <c r="F491">
        <f>IF($B$6=11,D491,N(INDEX(REPAIRS!$C53:$T53,1,$B$13)))</f>
        <v>7</v>
      </c>
      <c r="G491">
        <f>IF($B$6=11,E491,N(INDEX(REPAIRS!$C53:$T53,1,$B$13+1)))</f>
        <v>12266</v>
      </c>
    </row>
    <row r="492" spans="1:7" x14ac:dyDescent="0.25">
      <c r="A492">
        <v>54</v>
      </c>
      <c r="B492">
        <f>IF(REPAIRS!A54&lt;&gt;"",IFERROR(MATCH(UPPER(LEFT(TRIM(REPAIRS!A54),3)),{"JAN","FEB","MAR","APR","MAY","JUN","JUL","AUG","SEP","OCT","NOV","DEC"},0),""),B491)</f>
        <v>8</v>
      </c>
      <c r="C492" t="str">
        <f>IF(REPAIRS!B54="","",UPPER(TRIM(REPAIRS!B54)))</f>
        <v>MECH</v>
      </c>
      <c r="D492">
        <f>N(REPAIRS!C54)+N(REPAIRS!E54)+N(REPAIRS!G54)+N(REPAIRS!I54)+N(REPAIRS!K54)+N(REPAIRS!M54)+N(REPAIRS!O54)+N(REPAIRS!Q54)+N(REPAIRS!S54)</f>
        <v>7</v>
      </c>
      <c r="E492">
        <f>N(REPAIRS!D54)+N(REPAIRS!F54)+N(REPAIRS!H54)+N(REPAIRS!J54)+N(REPAIRS!L54)+N(REPAIRS!N54)+N(REPAIRS!P54)+N(REPAIRS!R54)+N(REPAIRS!T54)</f>
        <v>4900</v>
      </c>
      <c r="F492">
        <f>IF($B$6=11,D492,N(INDEX(REPAIRS!$C54:$T54,1,$B$13)))</f>
        <v>7</v>
      </c>
      <c r="G492">
        <f>IF($B$6=11,E492,N(INDEX(REPAIRS!$C54:$T54,1,$B$13+1)))</f>
        <v>4900</v>
      </c>
    </row>
    <row r="493" spans="1:7" x14ac:dyDescent="0.25">
      <c r="A493">
        <v>55</v>
      </c>
      <c r="B493">
        <f>IF(REPAIRS!A55&lt;&gt;"",IFERROR(MATCH(UPPER(LEFT(TRIM(REPAIRS!A55),3)),{"JAN","FEB","MAR","APR","MAY","JUN","JUL","AUG","SEP","OCT","NOV","DEC"},0),""),B492)</f>
        <v>8</v>
      </c>
      <c r="C493" t="str">
        <f>IF(REPAIRS!B55="","",UPPER(TRIM(REPAIRS!B55)))</f>
        <v>ELE</v>
      </c>
      <c r="D493">
        <f>N(REPAIRS!C55)+N(REPAIRS!E55)+N(REPAIRS!G55)+N(REPAIRS!I55)+N(REPAIRS!K55)+N(REPAIRS!M55)+N(REPAIRS!O55)+N(REPAIRS!Q55)+N(REPAIRS!S55)</f>
        <v>25</v>
      </c>
      <c r="E493">
        <f>N(REPAIRS!D55)+N(REPAIRS!F55)+N(REPAIRS!H55)+N(REPAIRS!J55)+N(REPAIRS!L55)+N(REPAIRS!N55)+N(REPAIRS!P55)+N(REPAIRS!R55)+N(REPAIRS!T55)</f>
        <v>21102</v>
      </c>
      <c r="F493">
        <f>IF($B$6=11,D493,N(INDEX(REPAIRS!$C55:$T55,1,$B$13)))</f>
        <v>25</v>
      </c>
      <c r="G493">
        <f>IF($B$6=11,E493,N(INDEX(REPAIRS!$C55:$T55,1,$B$13+1)))</f>
        <v>21102</v>
      </c>
    </row>
    <row r="494" spans="1:7" x14ac:dyDescent="0.25">
      <c r="A494">
        <v>56</v>
      </c>
      <c r="B494">
        <f>IF(REPAIRS!A56&lt;&gt;"",IFERROR(MATCH(UPPER(LEFT(TRIM(REPAIRS!A56),3)),{"JAN","FEB","MAR","APR","MAY","JUN","JUL","AUG","SEP","OCT","NOV","DEC"},0),""),B493)</f>
        <v>8</v>
      </c>
      <c r="C494" t="str">
        <f>IF(REPAIRS!B56="","",UPPER(TRIM(REPAIRS!B56)))</f>
        <v>PLU</v>
      </c>
      <c r="D494">
        <f>N(REPAIRS!C56)+N(REPAIRS!E56)+N(REPAIRS!G56)+N(REPAIRS!I56)+N(REPAIRS!K56)+N(REPAIRS!M56)+N(REPAIRS!O56)+N(REPAIRS!Q56)+N(REPAIRS!S56)</f>
        <v>38</v>
      </c>
      <c r="E494">
        <f>N(REPAIRS!D56)+N(REPAIRS!F56)+N(REPAIRS!H56)+N(REPAIRS!J56)+N(REPAIRS!L56)+N(REPAIRS!N56)+N(REPAIRS!P56)+N(REPAIRS!R56)+N(REPAIRS!T56)</f>
        <v>20280</v>
      </c>
      <c r="F494">
        <f>IF($B$6=11,D494,N(INDEX(REPAIRS!$C56:$T56,1,$B$13)))</f>
        <v>38</v>
      </c>
      <c r="G494">
        <f>IF($B$6=11,E494,N(INDEX(REPAIRS!$C56:$T56,1,$B$13+1)))</f>
        <v>20280</v>
      </c>
    </row>
    <row r="495" spans="1:7" x14ac:dyDescent="0.25">
      <c r="A495">
        <v>57</v>
      </c>
      <c r="B495">
        <f>IF(REPAIRS!A57&lt;&gt;"",IFERROR(MATCH(UPPER(LEFT(TRIM(REPAIRS!A57),3)),{"JAN","FEB","MAR","APR","MAY","JUN","JUL","AUG","SEP","OCT","NOV","DEC"},0),""),B494)</f>
        <v>8</v>
      </c>
      <c r="C495" t="str">
        <f>IF(REPAIRS!B57="","",UPPER(TRIM(REPAIRS!B57)))</f>
        <v>CARPENTARY</v>
      </c>
      <c r="D495">
        <f>N(REPAIRS!C57)+N(REPAIRS!E57)+N(REPAIRS!G57)+N(REPAIRS!I57)+N(REPAIRS!K57)+N(REPAIRS!M57)+N(REPAIRS!O57)+N(REPAIRS!Q57)+N(REPAIRS!S57)</f>
        <v>9</v>
      </c>
      <c r="E495">
        <f>N(REPAIRS!D57)+N(REPAIRS!F57)+N(REPAIRS!H57)+N(REPAIRS!J57)+N(REPAIRS!L57)+N(REPAIRS!N57)+N(REPAIRS!P57)+N(REPAIRS!R57)+N(REPAIRS!T57)</f>
        <v>31300</v>
      </c>
      <c r="F495">
        <f>IF($B$6=11,D495,N(INDEX(REPAIRS!$C57:$T57,1,$B$13)))</f>
        <v>9</v>
      </c>
      <c r="G495">
        <f>IF($B$6=11,E495,N(INDEX(REPAIRS!$C57:$T57,1,$B$13+1)))</f>
        <v>31300</v>
      </c>
    </row>
    <row r="496" spans="1:7" x14ac:dyDescent="0.25">
      <c r="A496">
        <v>58</v>
      </c>
      <c r="B496">
        <f>IF(REPAIRS!A58&lt;&gt;"",IFERROR(MATCH(UPPER(LEFT(TRIM(REPAIRS!A58),3)),{"JAN","FEB","MAR","APR","MAY","JUN","JUL","AUG","SEP","OCT","NOV","DEC"},0),""),B495)</f>
        <v>8</v>
      </c>
      <c r="C496" t="str">
        <f>IF(REPAIRS!B58="","",UPPER(TRIM(REPAIRS!B58)))</f>
        <v>R &amp; M</v>
      </c>
      <c r="D496">
        <f>N(REPAIRS!C58)+N(REPAIRS!E58)+N(REPAIRS!G58)+N(REPAIRS!I58)+N(REPAIRS!K58)+N(REPAIRS!M58)+N(REPAIRS!O58)+N(REPAIRS!Q58)+N(REPAIRS!S58)</f>
        <v>34</v>
      </c>
      <c r="E496">
        <f>N(REPAIRS!D58)+N(REPAIRS!F58)+N(REPAIRS!H58)+N(REPAIRS!J58)+N(REPAIRS!L58)+N(REPAIRS!N58)+N(REPAIRS!P58)+N(REPAIRS!R58)+N(REPAIRS!T58)</f>
        <v>48510</v>
      </c>
      <c r="F496">
        <f>IF($B$6=11,D496,N(INDEX(REPAIRS!$C58:$T58,1,$B$13)))</f>
        <v>34</v>
      </c>
      <c r="G496">
        <f>IF($B$6=11,E496,N(INDEX(REPAIRS!$C58:$T58,1,$B$13+1)))</f>
        <v>48510</v>
      </c>
    </row>
    <row r="497" spans="1:7" x14ac:dyDescent="0.25">
      <c r="A497">
        <v>59</v>
      </c>
      <c r="B497">
        <f>IF(REPAIRS!A59&lt;&gt;"",IFERROR(MATCH(UPPER(LEFT(TRIM(REPAIRS!A59),3)),{"JAN","FEB","MAR","APR","MAY","JUN","JUL","AUG","SEP","OCT","NOV","DEC"},0),""),B496)</f>
        <v>8</v>
      </c>
      <c r="C497" t="str">
        <f>IF(REPAIRS!B59="","",UPPER(TRIM(REPAIRS!B59)))</f>
        <v>OTHERS &amp; IT</v>
      </c>
      <c r="D497">
        <f>N(REPAIRS!C59)+N(REPAIRS!E59)+N(REPAIRS!G59)+N(REPAIRS!I59)+N(REPAIRS!K59)+N(REPAIRS!M59)+N(REPAIRS!O59)+N(REPAIRS!Q59)+N(REPAIRS!S59)</f>
        <v>10</v>
      </c>
      <c r="E497">
        <f>N(REPAIRS!D59)+N(REPAIRS!F59)+N(REPAIRS!H59)+N(REPAIRS!J59)+N(REPAIRS!L59)+N(REPAIRS!N59)+N(REPAIRS!P59)+N(REPAIRS!R59)+N(REPAIRS!T59)</f>
        <v>38374</v>
      </c>
      <c r="F497">
        <f>IF($B$6=11,D497,N(INDEX(REPAIRS!$C59:$T59,1,$B$13)))</f>
        <v>10</v>
      </c>
      <c r="G497">
        <f>IF($B$6=11,E497,N(INDEX(REPAIRS!$C59:$T59,1,$B$13+1)))</f>
        <v>38374</v>
      </c>
    </row>
    <row r="498" spans="1:7" x14ac:dyDescent="0.25">
      <c r="A498">
        <v>60</v>
      </c>
      <c r="B498">
        <f>IF(REPAIRS!A60&lt;&gt;"",IFERROR(MATCH(UPPER(LEFT(TRIM(REPAIRS!A60),3)),{"JAN","FEB","MAR","APR","MAY","JUN","JUL","AUG","SEP","OCT","NOV","DEC"},0),""),B497)</f>
        <v>9</v>
      </c>
      <c r="C498" t="str">
        <f>IF(REPAIRS!B60="","",UPPER(TRIM(REPAIRS!B60)))</f>
        <v>CIVIL</v>
      </c>
      <c r="D498">
        <f>N(REPAIRS!C60)+N(REPAIRS!E60)+N(REPAIRS!G60)+N(REPAIRS!I60)+N(REPAIRS!K60)+N(REPAIRS!M60)+N(REPAIRS!O60)+N(REPAIRS!Q60)+N(REPAIRS!S60)</f>
        <v>3</v>
      </c>
      <c r="E498">
        <f>N(REPAIRS!D60)+N(REPAIRS!F60)+N(REPAIRS!H60)+N(REPAIRS!J60)+N(REPAIRS!L60)+N(REPAIRS!N60)+N(REPAIRS!P60)+N(REPAIRS!R60)+N(REPAIRS!T60)</f>
        <v>38270</v>
      </c>
      <c r="F498">
        <f>IF($B$6=11,D498,N(INDEX(REPAIRS!$C60:$T60,1,$B$13)))</f>
        <v>3</v>
      </c>
      <c r="G498">
        <f>IF($B$6=11,E498,N(INDEX(REPAIRS!$C60:$T60,1,$B$13+1)))</f>
        <v>38270</v>
      </c>
    </row>
    <row r="499" spans="1:7" x14ac:dyDescent="0.25">
      <c r="A499">
        <v>61</v>
      </c>
      <c r="B499">
        <f>IF(REPAIRS!A61&lt;&gt;"",IFERROR(MATCH(UPPER(LEFT(TRIM(REPAIRS!A61),3)),{"JAN","FEB","MAR","APR","MAY","JUN","JUL","AUG","SEP","OCT","NOV","DEC"},0),""),B498)</f>
        <v>9</v>
      </c>
      <c r="C499" t="str">
        <f>IF(REPAIRS!B61="","",UPPER(TRIM(REPAIRS!B61)))</f>
        <v>MECH</v>
      </c>
      <c r="D499">
        <f>N(REPAIRS!C61)+N(REPAIRS!E61)+N(REPAIRS!G61)+N(REPAIRS!I61)+N(REPAIRS!K61)+N(REPAIRS!M61)+N(REPAIRS!O61)+N(REPAIRS!Q61)+N(REPAIRS!S61)</f>
        <v>5</v>
      </c>
      <c r="E499">
        <f>N(REPAIRS!D61)+N(REPAIRS!F61)+N(REPAIRS!H61)+N(REPAIRS!J61)+N(REPAIRS!L61)+N(REPAIRS!N61)+N(REPAIRS!P61)+N(REPAIRS!R61)+N(REPAIRS!T61)</f>
        <v>0</v>
      </c>
      <c r="F499">
        <f>IF($B$6=11,D499,N(INDEX(REPAIRS!$C61:$T61,1,$B$13)))</f>
        <v>5</v>
      </c>
      <c r="G499">
        <f>IF($B$6=11,E499,N(INDEX(REPAIRS!$C61:$T61,1,$B$13+1)))</f>
        <v>0</v>
      </c>
    </row>
    <row r="500" spans="1:7" x14ac:dyDescent="0.25">
      <c r="A500">
        <v>62</v>
      </c>
      <c r="B500">
        <f>IF(REPAIRS!A62&lt;&gt;"",IFERROR(MATCH(UPPER(LEFT(TRIM(REPAIRS!A62),3)),{"JAN","FEB","MAR","APR","MAY","JUN","JUL","AUG","SEP","OCT","NOV","DEC"},0),""),B499)</f>
        <v>9</v>
      </c>
      <c r="C500" t="str">
        <f>IF(REPAIRS!B62="","",UPPER(TRIM(REPAIRS!B62)))</f>
        <v>ELE</v>
      </c>
      <c r="D500">
        <f>N(REPAIRS!C62)+N(REPAIRS!E62)+N(REPAIRS!G62)+N(REPAIRS!I62)+N(REPAIRS!K62)+N(REPAIRS!M62)+N(REPAIRS!O62)+N(REPAIRS!Q62)+N(REPAIRS!S62)</f>
        <v>17</v>
      </c>
      <c r="E500">
        <f>N(REPAIRS!D62)+N(REPAIRS!F62)+N(REPAIRS!H62)+N(REPAIRS!J62)+N(REPAIRS!L62)+N(REPAIRS!N62)+N(REPAIRS!P62)+N(REPAIRS!R62)+N(REPAIRS!T62)</f>
        <v>4500</v>
      </c>
      <c r="F500">
        <f>IF($B$6=11,D500,N(INDEX(REPAIRS!$C62:$T62,1,$B$13)))</f>
        <v>17</v>
      </c>
      <c r="G500">
        <f>IF($B$6=11,E500,N(INDEX(REPAIRS!$C62:$T62,1,$B$13+1)))</f>
        <v>4500</v>
      </c>
    </row>
    <row r="501" spans="1:7" x14ac:dyDescent="0.25">
      <c r="A501">
        <v>63</v>
      </c>
      <c r="B501">
        <f>IF(REPAIRS!A63&lt;&gt;"",IFERROR(MATCH(UPPER(LEFT(TRIM(REPAIRS!A63),3)),{"JAN","FEB","MAR","APR","MAY","JUN","JUL","AUG","SEP","OCT","NOV","DEC"},0),""),B500)</f>
        <v>9</v>
      </c>
      <c r="C501" t="str">
        <f>IF(REPAIRS!B63="","",UPPER(TRIM(REPAIRS!B63)))</f>
        <v>PLU</v>
      </c>
      <c r="D501">
        <f>N(REPAIRS!C63)+N(REPAIRS!E63)+N(REPAIRS!G63)+N(REPAIRS!I63)+N(REPAIRS!K63)+N(REPAIRS!M63)+N(REPAIRS!O63)+N(REPAIRS!Q63)+N(REPAIRS!S63)</f>
        <v>24</v>
      </c>
      <c r="E501">
        <f>N(REPAIRS!D63)+N(REPAIRS!F63)+N(REPAIRS!H63)+N(REPAIRS!J63)+N(REPAIRS!L63)+N(REPAIRS!N63)+N(REPAIRS!P63)+N(REPAIRS!R63)+N(REPAIRS!T63)</f>
        <v>10050</v>
      </c>
      <c r="F501">
        <f>IF($B$6=11,D501,N(INDEX(REPAIRS!$C63:$T63,1,$B$13)))</f>
        <v>24</v>
      </c>
      <c r="G501">
        <f>IF($B$6=11,E501,N(INDEX(REPAIRS!$C63:$T63,1,$B$13+1)))</f>
        <v>10050</v>
      </c>
    </row>
    <row r="502" spans="1:7" x14ac:dyDescent="0.25">
      <c r="A502">
        <v>64</v>
      </c>
      <c r="B502">
        <f>IF(REPAIRS!A64&lt;&gt;"",IFERROR(MATCH(UPPER(LEFT(TRIM(REPAIRS!A64),3)),{"JAN","FEB","MAR","APR","MAY","JUN","JUL","AUG","SEP","OCT","NOV","DEC"},0),""),B501)</f>
        <v>9</v>
      </c>
      <c r="C502" t="str">
        <f>IF(REPAIRS!B64="","",UPPER(TRIM(REPAIRS!B64)))</f>
        <v>CARPENTARY</v>
      </c>
      <c r="D502">
        <f>N(REPAIRS!C64)+N(REPAIRS!E64)+N(REPAIRS!G64)+N(REPAIRS!I64)+N(REPAIRS!K64)+N(REPAIRS!M64)+N(REPAIRS!O64)+N(REPAIRS!Q64)+N(REPAIRS!S64)</f>
        <v>10</v>
      </c>
      <c r="E502">
        <f>N(REPAIRS!D64)+N(REPAIRS!F64)+N(REPAIRS!H64)+N(REPAIRS!J64)+N(REPAIRS!L64)+N(REPAIRS!N64)+N(REPAIRS!P64)+N(REPAIRS!R64)+N(REPAIRS!T64)</f>
        <v>2124</v>
      </c>
      <c r="F502">
        <f>IF($B$6=11,D502,N(INDEX(REPAIRS!$C64:$T64,1,$B$13)))</f>
        <v>10</v>
      </c>
      <c r="G502">
        <f>IF($B$6=11,E502,N(INDEX(REPAIRS!$C64:$T64,1,$B$13+1)))</f>
        <v>2124</v>
      </c>
    </row>
    <row r="503" spans="1:7" x14ac:dyDescent="0.25">
      <c r="A503">
        <v>65</v>
      </c>
      <c r="B503">
        <f>IF(REPAIRS!A65&lt;&gt;"",IFERROR(MATCH(UPPER(LEFT(TRIM(REPAIRS!A65),3)),{"JAN","FEB","MAR","APR","MAY","JUN","JUL","AUG","SEP","OCT","NOV","DEC"},0),""),B502)</f>
        <v>9</v>
      </c>
      <c r="C503" t="str">
        <f>IF(REPAIRS!B65="","",UPPER(TRIM(REPAIRS!B65)))</f>
        <v>R &amp; M</v>
      </c>
      <c r="D503">
        <f>N(REPAIRS!C65)+N(REPAIRS!E65)+N(REPAIRS!G65)+N(REPAIRS!I65)+N(REPAIRS!K65)+N(REPAIRS!M65)+N(REPAIRS!O65)+N(REPAIRS!Q65)+N(REPAIRS!S65)</f>
        <v>28</v>
      </c>
      <c r="E503">
        <f>N(REPAIRS!D65)+N(REPAIRS!F65)+N(REPAIRS!H65)+N(REPAIRS!J65)+N(REPAIRS!L65)+N(REPAIRS!N65)+N(REPAIRS!P65)+N(REPAIRS!R65)+N(REPAIRS!T65)</f>
        <v>6020</v>
      </c>
      <c r="F503">
        <f>IF($B$6=11,D503,N(INDEX(REPAIRS!$C65:$T65,1,$B$13)))</f>
        <v>28</v>
      </c>
      <c r="G503">
        <f>IF($B$6=11,E503,N(INDEX(REPAIRS!$C65:$T65,1,$B$13+1)))</f>
        <v>6020</v>
      </c>
    </row>
    <row r="504" spans="1:7" x14ac:dyDescent="0.25">
      <c r="A504">
        <v>66</v>
      </c>
      <c r="B504">
        <f>IF(REPAIRS!A66&lt;&gt;"",IFERROR(MATCH(UPPER(LEFT(TRIM(REPAIRS!A66),3)),{"JAN","FEB","MAR","APR","MAY","JUN","JUL","AUG","SEP","OCT","NOV","DEC"},0),""),B503)</f>
        <v>9</v>
      </c>
      <c r="C504" t="str">
        <f>IF(REPAIRS!B66="","",UPPER(TRIM(REPAIRS!B66)))</f>
        <v>OTHERS &amp; IT</v>
      </c>
      <c r="D504">
        <f>N(REPAIRS!C66)+N(REPAIRS!E66)+N(REPAIRS!G66)+N(REPAIRS!I66)+N(REPAIRS!K66)+N(REPAIRS!M66)+N(REPAIRS!O66)+N(REPAIRS!Q66)+N(REPAIRS!S66)</f>
        <v>9</v>
      </c>
      <c r="E504">
        <f>N(REPAIRS!D66)+N(REPAIRS!F66)+N(REPAIRS!H66)+N(REPAIRS!J66)+N(REPAIRS!L66)+N(REPAIRS!N66)+N(REPAIRS!P66)+N(REPAIRS!R66)+N(REPAIRS!T66)</f>
        <v>14764</v>
      </c>
      <c r="F504">
        <f>IF($B$6=11,D504,N(INDEX(REPAIRS!$C66:$T66,1,$B$13)))</f>
        <v>9</v>
      </c>
      <c r="G504">
        <f>IF($B$6=11,E504,N(INDEX(REPAIRS!$C66:$T66,1,$B$13+1)))</f>
        <v>14764</v>
      </c>
    </row>
    <row r="505" spans="1:7" x14ac:dyDescent="0.25">
      <c r="A505">
        <v>67</v>
      </c>
      <c r="B505">
        <f>IF(REPAIRS!A67&lt;&gt;"",IFERROR(MATCH(UPPER(LEFT(TRIM(REPAIRS!A67),3)),{"JAN","FEB","MAR","APR","MAY","JUN","JUL","AUG","SEP","OCT","NOV","DEC"},0),""),B504)</f>
        <v>10</v>
      </c>
      <c r="C505" t="str">
        <f>IF(REPAIRS!B67="","",UPPER(TRIM(REPAIRS!B67)))</f>
        <v/>
      </c>
      <c r="D505">
        <f>N(REPAIRS!C67)+N(REPAIRS!E67)+N(REPAIRS!G67)+N(REPAIRS!I67)+N(REPAIRS!K67)+N(REPAIRS!M67)+N(REPAIRS!O67)+N(REPAIRS!Q67)+N(REPAIRS!S67)</f>
        <v>0</v>
      </c>
      <c r="E505">
        <f>N(REPAIRS!D67)+N(REPAIRS!F67)+N(REPAIRS!H67)+N(REPAIRS!J67)+N(REPAIRS!L67)+N(REPAIRS!N67)+N(REPAIRS!P67)+N(REPAIRS!R67)+N(REPAIRS!T67)</f>
        <v>0</v>
      </c>
      <c r="F505">
        <f>IF($B$6=11,D505,N(INDEX(REPAIRS!$C67:$T67,1,$B$13)))</f>
        <v>0</v>
      </c>
      <c r="G505">
        <f>IF($B$6=11,E505,N(INDEX(REPAIRS!$C67:$T67,1,$B$13+1)))</f>
        <v>0</v>
      </c>
    </row>
    <row r="506" spans="1:7" x14ac:dyDescent="0.25">
      <c r="A506">
        <v>68</v>
      </c>
      <c r="B506">
        <f>IF(REPAIRS!A68&lt;&gt;"",IFERROR(MATCH(UPPER(LEFT(TRIM(REPAIRS!A68),3)),{"JAN","FEB","MAR","APR","MAY","JUN","JUL","AUG","SEP","OCT","NOV","DEC"},0),""),B505)</f>
        <v>10</v>
      </c>
      <c r="C506" t="str">
        <f>IF(REPAIRS!B68="","",UPPER(TRIM(REPAIRS!B68)))</f>
        <v/>
      </c>
      <c r="D506">
        <f>N(REPAIRS!C68)+N(REPAIRS!E68)+N(REPAIRS!G68)+N(REPAIRS!I68)+N(REPAIRS!K68)+N(REPAIRS!M68)+N(REPAIRS!O68)+N(REPAIRS!Q68)+N(REPAIRS!S68)</f>
        <v>0</v>
      </c>
      <c r="E506">
        <f>N(REPAIRS!D68)+N(REPAIRS!F68)+N(REPAIRS!H68)+N(REPAIRS!J68)+N(REPAIRS!L68)+N(REPAIRS!N68)+N(REPAIRS!P68)+N(REPAIRS!R68)+N(REPAIRS!T68)</f>
        <v>0</v>
      </c>
      <c r="F506">
        <f>IF($B$6=11,D506,N(INDEX(REPAIRS!$C68:$T68,1,$B$13)))</f>
        <v>0</v>
      </c>
      <c r="G506">
        <f>IF($B$6=11,E506,N(INDEX(REPAIRS!$C68:$T68,1,$B$13+1)))</f>
        <v>0</v>
      </c>
    </row>
    <row r="507" spans="1:7" x14ac:dyDescent="0.25">
      <c r="A507">
        <v>69</v>
      </c>
      <c r="B507">
        <f>IF(REPAIRS!A69&lt;&gt;"",IFERROR(MATCH(UPPER(LEFT(TRIM(REPAIRS!A69),3)),{"JAN","FEB","MAR","APR","MAY","JUN","JUL","AUG","SEP","OCT","NOV","DEC"},0),""),B506)</f>
        <v>10</v>
      </c>
      <c r="C507" t="str">
        <f>IF(REPAIRS!B69="","",UPPER(TRIM(REPAIRS!B69)))</f>
        <v/>
      </c>
      <c r="D507">
        <f>N(REPAIRS!C69)+N(REPAIRS!E69)+N(REPAIRS!G69)+N(REPAIRS!I69)+N(REPAIRS!K69)+N(REPAIRS!M69)+N(REPAIRS!O69)+N(REPAIRS!Q69)+N(REPAIRS!S69)</f>
        <v>0</v>
      </c>
      <c r="E507">
        <f>N(REPAIRS!D69)+N(REPAIRS!F69)+N(REPAIRS!H69)+N(REPAIRS!J69)+N(REPAIRS!L69)+N(REPAIRS!N69)+N(REPAIRS!P69)+N(REPAIRS!R69)+N(REPAIRS!T69)</f>
        <v>0</v>
      </c>
      <c r="F507">
        <f>IF($B$6=11,D507,N(INDEX(REPAIRS!$C69:$T69,1,$B$13)))</f>
        <v>0</v>
      </c>
      <c r="G507">
        <f>IF($B$6=11,E507,N(INDEX(REPAIRS!$C69:$T69,1,$B$13+1)))</f>
        <v>0</v>
      </c>
    </row>
    <row r="508" spans="1:7" x14ac:dyDescent="0.25">
      <c r="A508">
        <v>70</v>
      </c>
      <c r="B508">
        <f>IF(REPAIRS!A70&lt;&gt;"",IFERROR(MATCH(UPPER(LEFT(TRIM(REPAIRS!A70),3)),{"JAN","FEB","MAR","APR","MAY","JUN","JUL","AUG","SEP","OCT","NOV","DEC"},0),""),B507)</f>
        <v>10</v>
      </c>
      <c r="C508" t="str">
        <f>IF(REPAIRS!B70="","",UPPER(TRIM(REPAIRS!B70)))</f>
        <v/>
      </c>
      <c r="D508">
        <f>N(REPAIRS!C70)+N(REPAIRS!E70)+N(REPAIRS!G70)+N(REPAIRS!I70)+N(REPAIRS!K70)+N(REPAIRS!M70)+N(REPAIRS!O70)+N(REPAIRS!Q70)+N(REPAIRS!S70)</f>
        <v>0</v>
      </c>
      <c r="E508">
        <f>N(REPAIRS!D70)+N(REPAIRS!F70)+N(REPAIRS!H70)+N(REPAIRS!J70)+N(REPAIRS!L70)+N(REPAIRS!N70)+N(REPAIRS!P70)+N(REPAIRS!R70)+N(REPAIRS!T70)</f>
        <v>0</v>
      </c>
      <c r="F508">
        <f>IF($B$6=11,D508,N(INDEX(REPAIRS!$C70:$T70,1,$B$13)))</f>
        <v>0</v>
      </c>
      <c r="G508">
        <f>IF($B$6=11,E508,N(INDEX(REPAIRS!$C70:$T70,1,$B$13+1)))</f>
        <v>0</v>
      </c>
    </row>
    <row r="509" spans="1:7" x14ac:dyDescent="0.25">
      <c r="A509">
        <v>71</v>
      </c>
      <c r="B509">
        <f>IF(REPAIRS!A71&lt;&gt;"",IFERROR(MATCH(UPPER(LEFT(TRIM(REPAIRS!A71),3)),{"JAN","FEB","MAR","APR","MAY","JUN","JUL","AUG","SEP","OCT","NOV","DEC"},0),""),B508)</f>
        <v>10</v>
      </c>
      <c r="C509" t="str">
        <f>IF(REPAIRS!B71="","",UPPER(TRIM(REPAIRS!B71)))</f>
        <v/>
      </c>
      <c r="D509">
        <f>N(REPAIRS!C71)+N(REPAIRS!E71)+N(REPAIRS!G71)+N(REPAIRS!I71)+N(REPAIRS!K71)+N(REPAIRS!M71)+N(REPAIRS!O71)+N(REPAIRS!Q71)+N(REPAIRS!S71)</f>
        <v>0</v>
      </c>
      <c r="E509">
        <f>N(REPAIRS!D71)+N(REPAIRS!F71)+N(REPAIRS!H71)+N(REPAIRS!J71)+N(REPAIRS!L71)+N(REPAIRS!N71)+N(REPAIRS!P71)+N(REPAIRS!R71)+N(REPAIRS!T71)</f>
        <v>0</v>
      </c>
      <c r="F509">
        <f>IF($B$6=11,D509,N(INDEX(REPAIRS!$C71:$T71,1,$B$13)))</f>
        <v>0</v>
      </c>
      <c r="G509">
        <f>IF($B$6=11,E509,N(INDEX(REPAIRS!$C71:$T71,1,$B$13+1)))</f>
        <v>0</v>
      </c>
    </row>
    <row r="510" spans="1:7" x14ac:dyDescent="0.25">
      <c r="A510">
        <v>72</v>
      </c>
      <c r="B510">
        <f>IF(REPAIRS!A72&lt;&gt;"",IFERROR(MATCH(UPPER(LEFT(TRIM(REPAIRS!A72),3)),{"JAN","FEB","MAR","APR","MAY","JUN","JUL","AUG","SEP","OCT","NOV","DEC"},0),""),B509)</f>
        <v>10</v>
      </c>
      <c r="C510" t="str">
        <f>IF(REPAIRS!B72="","",UPPER(TRIM(REPAIRS!B72)))</f>
        <v/>
      </c>
      <c r="D510">
        <f>N(REPAIRS!C72)+N(REPAIRS!E72)+N(REPAIRS!G72)+N(REPAIRS!I72)+N(REPAIRS!K72)+N(REPAIRS!M72)+N(REPAIRS!O72)+N(REPAIRS!Q72)+N(REPAIRS!S72)</f>
        <v>0</v>
      </c>
      <c r="E510">
        <f>N(REPAIRS!D72)+N(REPAIRS!F72)+N(REPAIRS!H72)+N(REPAIRS!J72)+N(REPAIRS!L72)+N(REPAIRS!N72)+N(REPAIRS!P72)+N(REPAIRS!R72)+N(REPAIRS!T72)</f>
        <v>0</v>
      </c>
      <c r="F510">
        <f>IF($B$6=11,D510,N(INDEX(REPAIRS!$C72:$T72,1,$B$13)))</f>
        <v>0</v>
      </c>
      <c r="G510">
        <f>IF($B$6=11,E510,N(INDEX(REPAIRS!$C72:$T72,1,$B$13+1)))</f>
        <v>0</v>
      </c>
    </row>
    <row r="511" spans="1:7" x14ac:dyDescent="0.25">
      <c r="A511">
        <v>73</v>
      </c>
      <c r="B511">
        <f>IF(REPAIRS!A73&lt;&gt;"",IFERROR(MATCH(UPPER(LEFT(TRIM(REPAIRS!A73),3)),{"JAN","FEB","MAR","APR","MAY","JUN","JUL","AUG","SEP","OCT","NOV","DEC"},0),""),B510)</f>
        <v>11</v>
      </c>
      <c r="C511" t="str">
        <f>IF(REPAIRS!B73="","",UPPER(TRIM(REPAIRS!B73)))</f>
        <v/>
      </c>
      <c r="D511">
        <f>N(REPAIRS!C73)+N(REPAIRS!E73)+N(REPAIRS!G73)+N(REPAIRS!I73)+N(REPAIRS!K73)+N(REPAIRS!M73)+N(REPAIRS!O73)+N(REPAIRS!Q73)+N(REPAIRS!S73)</f>
        <v>0</v>
      </c>
      <c r="E511">
        <f>N(REPAIRS!D73)+N(REPAIRS!F73)+N(REPAIRS!H73)+N(REPAIRS!J73)+N(REPAIRS!L73)+N(REPAIRS!N73)+N(REPAIRS!P73)+N(REPAIRS!R73)+N(REPAIRS!T73)</f>
        <v>0</v>
      </c>
      <c r="F511">
        <f>IF($B$6=11,D511,N(INDEX(REPAIRS!$C73:$T73,1,$B$13)))</f>
        <v>0</v>
      </c>
      <c r="G511">
        <f>IF($B$6=11,E511,N(INDEX(REPAIRS!$C73:$T73,1,$B$13+1)))</f>
        <v>0</v>
      </c>
    </row>
    <row r="512" spans="1:7" x14ac:dyDescent="0.25">
      <c r="A512">
        <v>74</v>
      </c>
      <c r="B512">
        <f>IF(REPAIRS!A74&lt;&gt;"",IFERROR(MATCH(UPPER(LEFT(TRIM(REPAIRS!A74),3)),{"JAN","FEB","MAR","APR","MAY","JUN","JUL","AUG","SEP","OCT","NOV","DEC"},0),""),B511)</f>
        <v>11</v>
      </c>
      <c r="C512" t="str">
        <f>IF(REPAIRS!B74="","",UPPER(TRIM(REPAIRS!B74)))</f>
        <v/>
      </c>
      <c r="D512">
        <f>N(REPAIRS!C74)+N(REPAIRS!E74)+N(REPAIRS!G74)+N(REPAIRS!I74)+N(REPAIRS!K74)+N(REPAIRS!M74)+N(REPAIRS!O74)+N(REPAIRS!Q74)+N(REPAIRS!S74)</f>
        <v>0</v>
      </c>
      <c r="E512">
        <f>N(REPAIRS!D74)+N(REPAIRS!F74)+N(REPAIRS!H74)+N(REPAIRS!J74)+N(REPAIRS!L74)+N(REPAIRS!N74)+N(REPAIRS!P74)+N(REPAIRS!R74)+N(REPAIRS!T74)</f>
        <v>0</v>
      </c>
      <c r="F512">
        <f>IF($B$6=11,D512,N(INDEX(REPAIRS!$C74:$T74,1,$B$13)))</f>
        <v>0</v>
      </c>
      <c r="G512">
        <f>IF($B$6=11,E512,N(INDEX(REPAIRS!$C74:$T74,1,$B$13+1)))</f>
        <v>0</v>
      </c>
    </row>
    <row r="513" spans="1:7" x14ac:dyDescent="0.25">
      <c r="A513">
        <v>75</v>
      </c>
      <c r="B513">
        <f>IF(REPAIRS!A75&lt;&gt;"",IFERROR(MATCH(UPPER(LEFT(TRIM(REPAIRS!A75),3)),{"JAN","FEB","MAR","APR","MAY","JUN","JUL","AUG","SEP","OCT","NOV","DEC"},0),""),B512)</f>
        <v>11</v>
      </c>
      <c r="C513" t="str">
        <f>IF(REPAIRS!B75="","",UPPER(TRIM(REPAIRS!B75)))</f>
        <v/>
      </c>
      <c r="D513">
        <f>N(REPAIRS!C75)+N(REPAIRS!E75)+N(REPAIRS!G75)+N(REPAIRS!I75)+N(REPAIRS!K75)+N(REPAIRS!M75)+N(REPAIRS!O75)+N(REPAIRS!Q75)+N(REPAIRS!S75)</f>
        <v>0</v>
      </c>
      <c r="E513">
        <f>N(REPAIRS!D75)+N(REPAIRS!F75)+N(REPAIRS!H75)+N(REPAIRS!J75)+N(REPAIRS!L75)+N(REPAIRS!N75)+N(REPAIRS!P75)+N(REPAIRS!R75)+N(REPAIRS!T75)</f>
        <v>0</v>
      </c>
      <c r="F513">
        <f>IF($B$6=11,D513,N(INDEX(REPAIRS!$C75:$T75,1,$B$13)))</f>
        <v>0</v>
      </c>
      <c r="G513">
        <f>IF($B$6=11,E513,N(INDEX(REPAIRS!$C75:$T75,1,$B$13+1)))</f>
        <v>0</v>
      </c>
    </row>
    <row r="514" spans="1:7" x14ac:dyDescent="0.25">
      <c r="A514">
        <v>76</v>
      </c>
      <c r="B514">
        <f>IF(REPAIRS!A76&lt;&gt;"",IFERROR(MATCH(UPPER(LEFT(TRIM(REPAIRS!A76),3)),{"JAN","FEB","MAR","APR","MAY","JUN","JUL","AUG","SEP","OCT","NOV","DEC"},0),""),B513)</f>
        <v>11</v>
      </c>
      <c r="C514" t="str">
        <f>IF(REPAIRS!B76="","",UPPER(TRIM(REPAIRS!B76)))</f>
        <v/>
      </c>
      <c r="D514">
        <f>N(REPAIRS!C76)+N(REPAIRS!E76)+N(REPAIRS!G76)+N(REPAIRS!I76)+N(REPAIRS!K76)+N(REPAIRS!M76)+N(REPAIRS!O76)+N(REPAIRS!Q76)+N(REPAIRS!S76)</f>
        <v>0</v>
      </c>
      <c r="E514">
        <f>N(REPAIRS!D76)+N(REPAIRS!F76)+N(REPAIRS!H76)+N(REPAIRS!J76)+N(REPAIRS!L76)+N(REPAIRS!N76)+N(REPAIRS!P76)+N(REPAIRS!R76)+N(REPAIRS!T76)</f>
        <v>0</v>
      </c>
      <c r="F514">
        <f>IF($B$6=11,D514,N(INDEX(REPAIRS!$C76:$T76,1,$B$13)))</f>
        <v>0</v>
      </c>
      <c r="G514">
        <f>IF($B$6=11,E514,N(INDEX(REPAIRS!$C76:$T76,1,$B$13+1)))</f>
        <v>0</v>
      </c>
    </row>
    <row r="515" spans="1:7" x14ac:dyDescent="0.25">
      <c r="A515">
        <v>77</v>
      </c>
      <c r="B515">
        <f>IF(REPAIRS!A77&lt;&gt;"",IFERROR(MATCH(UPPER(LEFT(TRIM(REPAIRS!A77),3)),{"JAN","FEB","MAR","APR","MAY","JUN","JUL","AUG","SEP","OCT","NOV","DEC"},0),""),B514)</f>
        <v>11</v>
      </c>
      <c r="C515" t="str">
        <f>IF(REPAIRS!B77="","",UPPER(TRIM(REPAIRS!B77)))</f>
        <v/>
      </c>
      <c r="D515">
        <f>N(REPAIRS!C77)+N(REPAIRS!E77)+N(REPAIRS!G77)+N(REPAIRS!I77)+N(REPAIRS!K77)+N(REPAIRS!M77)+N(REPAIRS!O77)+N(REPAIRS!Q77)+N(REPAIRS!S77)</f>
        <v>0</v>
      </c>
      <c r="E515">
        <f>N(REPAIRS!D77)+N(REPAIRS!F77)+N(REPAIRS!H77)+N(REPAIRS!J77)+N(REPAIRS!L77)+N(REPAIRS!N77)+N(REPAIRS!P77)+N(REPAIRS!R77)+N(REPAIRS!T77)</f>
        <v>0</v>
      </c>
      <c r="F515">
        <f>IF($B$6=11,D515,N(INDEX(REPAIRS!$C77:$T77,1,$B$13)))</f>
        <v>0</v>
      </c>
      <c r="G515">
        <f>IF($B$6=11,E515,N(INDEX(REPAIRS!$C77:$T77,1,$B$13+1)))</f>
        <v>0</v>
      </c>
    </row>
    <row r="516" spans="1:7" x14ac:dyDescent="0.25">
      <c r="A516">
        <v>78</v>
      </c>
      <c r="B516">
        <f>IF(REPAIRS!A78&lt;&gt;"",IFERROR(MATCH(UPPER(LEFT(TRIM(REPAIRS!A78),3)),{"JAN","FEB","MAR","APR","MAY","JUN","JUL","AUG","SEP","OCT","NOV","DEC"},0),""),B515)</f>
        <v>11</v>
      </c>
      <c r="C516" t="str">
        <f>IF(REPAIRS!B78="","",UPPER(TRIM(REPAIRS!B78)))</f>
        <v/>
      </c>
      <c r="D516">
        <f>N(REPAIRS!C78)+N(REPAIRS!E78)+N(REPAIRS!G78)+N(REPAIRS!I78)+N(REPAIRS!K78)+N(REPAIRS!M78)+N(REPAIRS!O78)+N(REPAIRS!Q78)+N(REPAIRS!S78)</f>
        <v>0</v>
      </c>
      <c r="E516">
        <f>N(REPAIRS!D78)+N(REPAIRS!F78)+N(REPAIRS!H78)+N(REPAIRS!J78)+N(REPAIRS!L78)+N(REPAIRS!N78)+N(REPAIRS!P78)+N(REPAIRS!R78)+N(REPAIRS!T78)</f>
        <v>0</v>
      </c>
      <c r="F516">
        <f>IF($B$6=11,D516,N(INDEX(REPAIRS!$C78:$T78,1,$B$13)))</f>
        <v>0</v>
      </c>
      <c r="G516">
        <f>IF($B$6=11,E516,N(INDEX(REPAIRS!$C78:$T78,1,$B$13+1)))</f>
        <v>0</v>
      </c>
    </row>
    <row r="517" spans="1:7" x14ac:dyDescent="0.25">
      <c r="A517">
        <v>79</v>
      </c>
      <c r="B517">
        <f>IF(REPAIRS!A79&lt;&gt;"",IFERROR(MATCH(UPPER(LEFT(TRIM(REPAIRS!A79),3)),{"JAN","FEB","MAR","APR","MAY","JUN","JUL","AUG","SEP","OCT","NOV","DEC"},0),""),B516)</f>
        <v>12</v>
      </c>
      <c r="C517" t="str">
        <f>IF(REPAIRS!B79="","",UPPER(TRIM(REPAIRS!B79)))</f>
        <v/>
      </c>
      <c r="D517">
        <f>N(REPAIRS!C79)+N(REPAIRS!E79)+N(REPAIRS!G79)+N(REPAIRS!I79)+N(REPAIRS!K79)+N(REPAIRS!M79)+N(REPAIRS!O79)+N(REPAIRS!Q79)+N(REPAIRS!S79)</f>
        <v>0</v>
      </c>
      <c r="E517">
        <f>N(REPAIRS!D79)+N(REPAIRS!F79)+N(REPAIRS!H79)+N(REPAIRS!J79)+N(REPAIRS!L79)+N(REPAIRS!N79)+N(REPAIRS!P79)+N(REPAIRS!R79)+N(REPAIRS!T79)</f>
        <v>0</v>
      </c>
      <c r="F517">
        <f>IF($B$6=11,D517,N(INDEX(REPAIRS!$C79:$T79,1,$B$13)))</f>
        <v>0</v>
      </c>
      <c r="G517">
        <f>IF($B$6=11,E517,N(INDEX(REPAIRS!$C79:$T79,1,$B$13+1)))</f>
        <v>0</v>
      </c>
    </row>
    <row r="518" spans="1:7" x14ac:dyDescent="0.25">
      <c r="A518">
        <v>80</v>
      </c>
      <c r="B518">
        <f>IF(REPAIRS!A80&lt;&gt;"",IFERROR(MATCH(UPPER(LEFT(TRIM(REPAIRS!A80),3)),{"JAN","FEB","MAR","APR","MAY","JUN","JUL","AUG","SEP","OCT","NOV","DEC"},0),""),B517)</f>
        <v>12</v>
      </c>
      <c r="C518" t="str">
        <f>IF(REPAIRS!B80="","",UPPER(TRIM(REPAIRS!B80)))</f>
        <v/>
      </c>
      <c r="D518">
        <f>N(REPAIRS!C80)+N(REPAIRS!E80)+N(REPAIRS!G80)+N(REPAIRS!I80)+N(REPAIRS!K80)+N(REPAIRS!M80)+N(REPAIRS!O80)+N(REPAIRS!Q80)+N(REPAIRS!S80)</f>
        <v>0</v>
      </c>
      <c r="E518">
        <f>N(REPAIRS!D80)+N(REPAIRS!F80)+N(REPAIRS!H80)+N(REPAIRS!J80)+N(REPAIRS!L80)+N(REPAIRS!N80)+N(REPAIRS!P80)+N(REPAIRS!R80)+N(REPAIRS!T80)</f>
        <v>0</v>
      </c>
      <c r="F518">
        <f>IF($B$6=11,D518,N(INDEX(REPAIRS!$C80:$T80,1,$B$13)))</f>
        <v>0</v>
      </c>
      <c r="G518">
        <f>IF($B$6=11,E518,N(INDEX(REPAIRS!$C80:$T80,1,$B$13+1)))</f>
        <v>0</v>
      </c>
    </row>
    <row r="519" spans="1:7" x14ac:dyDescent="0.25">
      <c r="A519">
        <v>81</v>
      </c>
      <c r="B519">
        <f>IF(REPAIRS!A81&lt;&gt;"",IFERROR(MATCH(UPPER(LEFT(TRIM(REPAIRS!A81),3)),{"JAN","FEB","MAR","APR","MAY","JUN","JUL","AUG","SEP","OCT","NOV","DEC"},0),""),B518)</f>
        <v>12</v>
      </c>
      <c r="C519" t="str">
        <f>IF(REPAIRS!B81="","",UPPER(TRIM(REPAIRS!B81)))</f>
        <v/>
      </c>
      <c r="D519">
        <f>N(REPAIRS!C81)+N(REPAIRS!E81)+N(REPAIRS!G81)+N(REPAIRS!I81)+N(REPAIRS!K81)+N(REPAIRS!M81)+N(REPAIRS!O81)+N(REPAIRS!Q81)+N(REPAIRS!S81)</f>
        <v>0</v>
      </c>
      <c r="E519">
        <f>N(REPAIRS!D81)+N(REPAIRS!F81)+N(REPAIRS!H81)+N(REPAIRS!J81)+N(REPAIRS!L81)+N(REPAIRS!N81)+N(REPAIRS!P81)+N(REPAIRS!R81)+N(REPAIRS!T81)</f>
        <v>0</v>
      </c>
      <c r="F519">
        <f>IF($B$6=11,D519,N(INDEX(REPAIRS!$C81:$T81,1,$B$13)))</f>
        <v>0</v>
      </c>
      <c r="G519">
        <f>IF($B$6=11,E519,N(INDEX(REPAIRS!$C81:$T81,1,$B$13+1)))</f>
        <v>0</v>
      </c>
    </row>
    <row r="520" spans="1:7" x14ac:dyDescent="0.25">
      <c r="A520">
        <v>82</v>
      </c>
      <c r="B520">
        <f>IF(REPAIRS!A82&lt;&gt;"",IFERROR(MATCH(UPPER(LEFT(TRIM(REPAIRS!A82),3)),{"JAN","FEB","MAR","APR","MAY","JUN","JUL","AUG","SEP","OCT","NOV","DEC"},0),""),B519)</f>
        <v>12</v>
      </c>
      <c r="C520" t="str">
        <f>IF(REPAIRS!B82="","",UPPER(TRIM(REPAIRS!B82)))</f>
        <v/>
      </c>
      <c r="D520">
        <f>N(REPAIRS!C82)+N(REPAIRS!E82)+N(REPAIRS!G82)+N(REPAIRS!I82)+N(REPAIRS!K82)+N(REPAIRS!M82)+N(REPAIRS!O82)+N(REPAIRS!Q82)+N(REPAIRS!S82)</f>
        <v>0</v>
      </c>
      <c r="E520">
        <f>N(REPAIRS!D82)+N(REPAIRS!F82)+N(REPAIRS!H82)+N(REPAIRS!J82)+N(REPAIRS!L82)+N(REPAIRS!N82)+N(REPAIRS!P82)+N(REPAIRS!R82)+N(REPAIRS!T82)</f>
        <v>0</v>
      </c>
      <c r="F520">
        <f>IF($B$6=11,D520,N(INDEX(REPAIRS!$C82:$T82,1,$B$13)))</f>
        <v>0</v>
      </c>
      <c r="G520">
        <f>IF($B$6=11,E520,N(INDEX(REPAIRS!$C82:$T82,1,$B$13+1)))</f>
        <v>0</v>
      </c>
    </row>
    <row r="521" spans="1:7" x14ac:dyDescent="0.25">
      <c r="A521">
        <v>83</v>
      </c>
      <c r="B521">
        <f>IF(REPAIRS!A83&lt;&gt;"",IFERROR(MATCH(UPPER(LEFT(TRIM(REPAIRS!A83),3)),{"JAN","FEB","MAR","APR","MAY","JUN","JUL","AUG","SEP","OCT","NOV","DEC"},0),""),B520)</f>
        <v>12</v>
      </c>
      <c r="C521" t="str">
        <f>IF(REPAIRS!B83="","",UPPER(TRIM(REPAIRS!B83)))</f>
        <v/>
      </c>
      <c r="D521">
        <f>N(REPAIRS!C83)+N(REPAIRS!E83)+N(REPAIRS!G83)+N(REPAIRS!I83)+N(REPAIRS!K83)+N(REPAIRS!M83)+N(REPAIRS!O83)+N(REPAIRS!Q83)+N(REPAIRS!S83)</f>
        <v>0</v>
      </c>
      <c r="E521">
        <f>N(REPAIRS!D83)+N(REPAIRS!F83)+N(REPAIRS!H83)+N(REPAIRS!J83)+N(REPAIRS!L83)+N(REPAIRS!N83)+N(REPAIRS!P83)+N(REPAIRS!R83)+N(REPAIRS!T83)</f>
        <v>0</v>
      </c>
      <c r="F521">
        <f>IF($B$6=11,D521,N(INDEX(REPAIRS!$C83:$T83,1,$B$13)))</f>
        <v>0</v>
      </c>
      <c r="G521">
        <f>IF($B$6=11,E521,N(INDEX(REPAIRS!$C83:$T83,1,$B$13+1)))</f>
        <v>0</v>
      </c>
    </row>
    <row r="522" spans="1:7" x14ac:dyDescent="0.25">
      <c r="A522">
        <v>84</v>
      </c>
      <c r="B522">
        <f>IF(REPAIRS!A84&lt;&gt;"",IFERROR(MATCH(UPPER(LEFT(TRIM(REPAIRS!A84),3)),{"JAN","FEB","MAR","APR","MAY","JUN","JUL","AUG","SEP","OCT","NOV","DEC"},0),""),B521)</f>
        <v>12</v>
      </c>
      <c r="C522" t="str">
        <f>IF(REPAIRS!B84="","",UPPER(TRIM(REPAIRS!B84)))</f>
        <v/>
      </c>
      <c r="D522">
        <f>N(REPAIRS!C84)+N(REPAIRS!E84)+N(REPAIRS!G84)+N(REPAIRS!I84)+N(REPAIRS!K84)+N(REPAIRS!M84)+N(REPAIRS!O84)+N(REPAIRS!Q84)+N(REPAIRS!S84)</f>
        <v>0</v>
      </c>
      <c r="E522">
        <f>N(REPAIRS!D84)+N(REPAIRS!F84)+N(REPAIRS!H84)+N(REPAIRS!J84)+N(REPAIRS!L84)+N(REPAIRS!N84)+N(REPAIRS!P84)+N(REPAIRS!R84)+N(REPAIRS!T84)</f>
        <v>0</v>
      </c>
      <c r="F522">
        <f>IF($B$6=11,D522,N(INDEX(REPAIRS!$C84:$T84,1,$B$13)))</f>
        <v>0</v>
      </c>
      <c r="G522">
        <f>IF($B$6=11,E522,N(INDEX(REPAIRS!$C84:$T84,1,$B$13+1)))</f>
        <v>0</v>
      </c>
    </row>
    <row r="523" spans="1:7" x14ac:dyDescent="0.25">
      <c r="A523">
        <v>85</v>
      </c>
      <c r="B523">
        <f>IF(REPAIRS!A85&lt;&gt;"",IFERROR(MATCH(UPPER(LEFT(TRIM(REPAIRS!A85),3)),{"JAN","FEB","MAR","APR","MAY","JUN","JUL","AUG","SEP","OCT","NOV","DEC"},0),""),B522)</f>
        <v>12</v>
      </c>
      <c r="C523" t="str">
        <f>IF(REPAIRS!B85="","",UPPER(TRIM(REPAIRS!B85)))</f>
        <v/>
      </c>
      <c r="D523">
        <f>N(REPAIRS!C85)+N(REPAIRS!E85)+N(REPAIRS!G85)+N(REPAIRS!I85)+N(REPAIRS!K85)+N(REPAIRS!M85)+N(REPAIRS!O85)+N(REPAIRS!Q85)+N(REPAIRS!S85)</f>
        <v>0</v>
      </c>
      <c r="E523">
        <f>N(REPAIRS!D85)+N(REPAIRS!F85)+N(REPAIRS!H85)+N(REPAIRS!J85)+N(REPAIRS!L85)+N(REPAIRS!N85)+N(REPAIRS!P85)+N(REPAIRS!R85)+N(REPAIRS!T85)</f>
        <v>0</v>
      </c>
      <c r="F523">
        <f>IF($B$6=11,D523,N(INDEX(REPAIRS!$C85:$T85,1,$B$13)))</f>
        <v>0</v>
      </c>
      <c r="G523">
        <f>IF($B$6=11,E523,N(INDEX(REPAIRS!$C85:$T85,1,$B$13+1)))</f>
        <v>0</v>
      </c>
    </row>
    <row r="524" spans="1:7" x14ac:dyDescent="0.25">
      <c r="A524">
        <v>86</v>
      </c>
      <c r="B524">
        <f>IF(REPAIRS!A86&lt;&gt;"",IFERROR(MATCH(UPPER(LEFT(TRIM(REPAIRS!A86),3)),{"JAN","FEB","MAR","APR","MAY","JUN","JUL","AUG","SEP","OCT","NOV","DEC"},0),""),B523)</f>
        <v>12</v>
      </c>
      <c r="C524" t="str">
        <f>IF(REPAIRS!B86="","",UPPER(TRIM(REPAIRS!B86)))</f>
        <v/>
      </c>
      <c r="D524">
        <f>N(REPAIRS!C86)+N(REPAIRS!E86)+N(REPAIRS!G86)+N(REPAIRS!I86)+N(REPAIRS!K86)+N(REPAIRS!M86)+N(REPAIRS!O86)+N(REPAIRS!Q86)+N(REPAIRS!S86)</f>
        <v>0</v>
      </c>
      <c r="E524">
        <f>N(REPAIRS!D86)+N(REPAIRS!F86)+N(REPAIRS!H86)+N(REPAIRS!J86)+N(REPAIRS!L86)+N(REPAIRS!N86)+N(REPAIRS!P86)+N(REPAIRS!R86)+N(REPAIRS!T86)</f>
        <v>0</v>
      </c>
      <c r="F524">
        <f>IF($B$6=11,D524,N(INDEX(REPAIRS!$C86:$T86,1,$B$13)))</f>
        <v>0</v>
      </c>
      <c r="G524">
        <f>IF($B$6=11,E524,N(INDEX(REPAIRS!$C86:$T86,1,$B$13+1)))</f>
        <v>0</v>
      </c>
    </row>
    <row r="525" spans="1:7" x14ac:dyDescent="0.25">
      <c r="A525">
        <v>87</v>
      </c>
      <c r="B525">
        <f>IF(REPAIRS!A87&lt;&gt;"",IFERROR(MATCH(UPPER(LEFT(TRIM(REPAIRS!A87),3)),{"JAN","FEB","MAR","APR","MAY","JUN","JUL","AUG","SEP","OCT","NOV","DEC"},0),""),B524)</f>
        <v>12</v>
      </c>
      <c r="C525" t="str">
        <f>IF(REPAIRS!B87="","",UPPER(TRIM(REPAIRS!B87)))</f>
        <v/>
      </c>
      <c r="D525">
        <f>N(REPAIRS!C87)+N(REPAIRS!E87)+N(REPAIRS!G87)+N(REPAIRS!I87)+N(REPAIRS!K87)+N(REPAIRS!M87)+N(REPAIRS!O87)+N(REPAIRS!Q87)+N(REPAIRS!S87)</f>
        <v>0</v>
      </c>
      <c r="E525">
        <f>N(REPAIRS!D87)+N(REPAIRS!F87)+N(REPAIRS!H87)+N(REPAIRS!J87)+N(REPAIRS!L87)+N(REPAIRS!N87)+N(REPAIRS!P87)+N(REPAIRS!R87)+N(REPAIRS!T87)</f>
        <v>0</v>
      </c>
      <c r="F525">
        <f>IF($B$6=11,D525,N(INDEX(REPAIRS!$C87:$T87,1,$B$13)))</f>
        <v>0</v>
      </c>
      <c r="G525">
        <f>IF($B$6=11,E525,N(INDEX(REPAIRS!$C87:$T87,1,$B$13+1)))</f>
        <v>0</v>
      </c>
    </row>
    <row r="526" spans="1:7" x14ac:dyDescent="0.25">
      <c r="A526">
        <v>88</v>
      </c>
      <c r="B526">
        <f>IF(REPAIRS!A88&lt;&gt;"",IFERROR(MATCH(UPPER(LEFT(TRIM(REPAIRS!A88),3)),{"JAN","FEB","MAR","APR","MAY","JUN","JUL","AUG","SEP","OCT","NOV","DEC"},0),""),B525)</f>
        <v>12</v>
      </c>
      <c r="C526" t="str">
        <f>IF(REPAIRS!B88="","",UPPER(TRIM(REPAIRS!B88)))</f>
        <v/>
      </c>
      <c r="D526">
        <f>N(REPAIRS!C88)+N(REPAIRS!E88)+N(REPAIRS!G88)+N(REPAIRS!I88)+N(REPAIRS!K88)+N(REPAIRS!M88)+N(REPAIRS!O88)+N(REPAIRS!Q88)+N(REPAIRS!S88)</f>
        <v>0</v>
      </c>
      <c r="E526">
        <f>N(REPAIRS!D88)+N(REPAIRS!F88)+N(REPAIRS!H88)+N(REPAIRS!J88)+N(REPAIRS!L88)+N(REPAIRS!N88)+N(REPAIRS!P88)+N(REPAIRS!R88)+N(REPAIRS!T88)</f>
        <v>0</v>
      </c>
      <c r="F526">
        <f>IF($B$6=11,D526,N(INDEX(REPAIRS!$C88:$T88,1,$B$13)))</f>
        <v>0</v>
      </c>
      <c r="G526">
        <f>IF($B$6=11,E526,N(INDEX(REPAIRS!$C88:$T88,1,$B$13+1)))</f>
        <v>0</v>
      </c>
    </row>
    <row r="527" spans="1:7" x14ac:dyDescent="0.25">
      <c r="A527">
        <v>89</v>
      </c>
      <c r="B527">
        <f>IF(REPAIRS!A89&lt;&gt;"",IFERROR(MATCH(UPPER(LEFT(TRIM(REPAIRS!A89),3)),{"JAN","FEB","MAR","APR","MAY","JUN","JUL","AUG","SEP","OCT","NOV","DEC"},0),""),B526)</f>
        <v>12</v>
      </c>
      <c r="C527" t="str">
        <f>IF(REPAIRS!B89="","",UPPER(TRIM(REPAIRS!B89)))</f>
        <v/>
      </c>
      <c r="D527">
        <f>N(REPAIRS!C89)+N(REPAIRS!E89)+N(REPAIRS!G89)+N(REPAIRS!I89)+N(REPAIRS!K89)+N(REPAIRS!M89)+N(REPAIRS!O89)+N(REPAIRS!Q89)+N(REPAIRS!S89)</f>
        <v>0</v>
      </c>
      <c r="E527">
        <f>N(REPAIRS!D89)+N(REPAIRS!F89)+N(REPAIRS!H89)+N(REPAIRS!J89)+N(REPAIRS!L89)+N(REPAIRS!N89)+N(REPAIRS!P89)+N(REPAIRS!R89)+N(REPAIRS!T89)</f>
        <v>0</v>
      </c>
      <c r="F527">
        <f>IF($B$6=11,D527,N(INDEX(REPAIRS!$C89:$T89,1,$B$13)))</f>
        <v>0</v>
      </c>
      <c r="G527">
        <f>IF($B$6=11,E527,N(INDEX(REPAIRS!$C89:$T89,1,$B$13+1)))</f>
        <v>0</v>
      </c>
    </row>
    <row r="528" spans="1:7" x14ac:dyDescent="0.25">
      <c r="A528">
        <v>90</v>
      </c>
      <c r="B528">
        <f>IF(REPAIRS!A90&lt;&gt;"",IFERROR(MATCH(UPPER(LEFT(TRIM(REPAIRS!A90),3)),{"JAN","FEB","MAR","APR","MAY","JUN","JUL","AUG","SEP","OCT","NOV","DEC"},0),""),B527)</f>
        <v>12</v>
      </c>
      <c r="C528" t="str">
        <f>IF(REPAIRS!B90="","",UPPER(TRIM(REPAIRS!B90)))</f>
        <v/>
      </c>
      <c r="D528">
        <f>N(REPAIRS!C90)+N(REPAIRS!E90)+N(REPAIRS!G90)+N(REPAIRS!I90)+N(REPAIRS!K90)+N(REPAIRS!M90)+N(REPAIRS!O90)+N(REPAIRS!Q90)+N(REPAIRS!S90)</f>
        <v>0</v>
      </c>
      <c r="E528">
        <f>N(REPAIRS!D90)+N(REPAIRS!F90)+N(REPAIRS!H90)+N(REPAIRS!J90)+N(REPAIRS!L90)+N(REPAIRS!N90)+N(REPAIRS!P90)+N(REPAIRS!R90)+N(REPAIRS!T90)</f>
        <v>0</v>
      </c>
      <c r="F528">
        <f>IF($B$6=11,D528,N(INDEX(REPAIRS!$C90:$T90,1,$B$13)))</f>
        <v>0</v>
      </c>
      <c r="G528">
        <f>IF($B$6=11,E528,N(INDEX(REPAIRS!$C90:$T90,1,$B$13+1)))</f>
        <v>0</v>
      </c>
    </row>
    <row r="529" spans="1:7" x14ac:dyDescent="0.25">
      <c r="A529">
        <v>91</v>
      </c>
      <c r="B529">
        <f>IF(REPAIRS!A91&lt;&gt;"",IFERROR(MATCH(UPPER(LEFT(TRIM(REPAIRS!A91),3)),{"JAN","FEB","MAR","APR","MAY","JUN","JUL","AUG","SEP","OCT","NOV","DEC"},0),""),B528)</f>
        <v>12</v>
      </c>
      <c r="C529" t="str">
        <f>IF(REPAIRS!B91="","",UPPER(TRIM(REPAIRS!B91)))</f>
        <v/>
      </c>
      <c r="D529">
        <f>N(REPAIRS!C91)+N(REPAIRS!E91)+N(REPAIRS!G91)+N(REPAIRS!I91)+N(REPAIRS!K91)+N(REPAIRS!M91)+N(REPAIRS!O91)+N(REPAIRS!Q91)+N(REPAIRS!S91)</f>
        <v>0</v>
      </c>
      <c r="E529">
        <f>N(REPAIRS!D91)+N(REPAIRS!F91)+N(REPAIRS!H91)+N(REPAIRS!J91)+N(REPAIRS!L91)+N(REPAIRS!N91)+N(REPAIRS!P91)+N(REPAIRS!R91)+N(REPAIRS!T91)</f>
        <v>0</v>
      </c>
      <c r="F529">
        <f>IF($B$6=11,D529,N(INDEX(REPAIRS!$C91:$T91,1,$B$13)))</f>
        <v>0</v>
      </c>
      <c r="G529">
        <f>IF($B$6=11,E529,N(INDEX(REPAIRS!$C91:$T91,1,$B$13+1)))</f>
        <v>0</v>
      </c>
    </row>
    <row r="530" spans="1:7" x14ac:dyDescent="0.25">
      <c r="A530">
        <v>92</v>
      </c>
      <c r="B530">
        <f>IF(REPAIRS!A92&lt;&gt;"",IFERROR(MATCH(UPPER(LEFT(TRIM(REPAIRS!A92),3)),{"JAN","FEB","MAR","APR","MAY","JUN","JUL","AUG","SEP","OCT","NOV","DEC"},0),""),B529)</f>
        <v>12</v>
      </c>
      <c r="C530" t="str">
        <f>IF(REPAIRS!B92="","",UPPER(TRIM(REPAIRS!B92)))</f>
        <v/>
      </c>
      <c r="D530">
        <f>N(REPAIRS!C92)+N(REPAIRS!E92)+N(REPAIRS!G92)+N(REPAIRS!I92)+N(REPAIRS!K92)+N(REPAIRS!M92)+N(REPAIRS!O92)+N(REPAIRS!Q92)+N(REPAIRS!S92)</f>
        <v>0</v>
      </c>
      <c r="E530">
        <f>N(REPAIRS!D92)+N(REPAIRS!F92)+N(REPAIRS!H92)+N(REPAIRS!J92)+N(REPAIRS!L92)+N(REPAIRS!N92)+N(REPAIRS!P92)+N(REPAIRS!R92)+N(REPAIRS!T92)</f>
        <v>0</v>
      </c>
      <c r="F530">
        <f>IF($B$6=11,D530,N(INDEX(REPAIRS!$C92:$T92,1,$B$13)))</f>
        <v>0</v>
      </c>
      <c r="G530">
        <f>IF($B$6=11,E530,N(INDEX(REPAIRS!$C92:$T92,1,$B$13+1)))</f>
        <v>0</v>
      </c>
    </row>
    <row r="531" spans="1:7" x14ac:dyDescent="0.25">
      <c r="A531">
        <v>93</v>
      </c>
      <c r="B531">
        <f>IF(REPAIRS!A93&lt;&gt;"",IFERROR(MATCH(UPPER(LEFT(TRIM(REPAIRS!A93),3)),{"JAN","FEB","MAR","APR","MAY","JUN","JUL","AUG","SEP","OCT","NOV","DEC"},0),""),B530)</f>
        <v>12</v>
      </c>
      <c r="C531" t="str">
        <f>IF(REPAIRS!B93="","",UPPER(TRIM(REPAIRS!B93)))</f>
        <v/>
      </c>
      <c r="D531">
        <f>N(REPAIRS!C93)+N(REPAIRS!E93)+N(REPAIRS!G93)+N(REPAIRS!I93)+N(REPAIRS!K93)+N(REPAIRS!M93)+N(REPAIRS!O93)+N(REPAIRS!Q93)+N(REPAIRS!S93)</f>
        <v>0</v>
      </c>
      <c r="E531">
        <f>N(REPAIRS!D93)+N(REPAIRS!F93)+N(REPAIRS!H93)+N(REPAIRS!J93)+N(REPAIRS!L93)+N(REPAIRS!N93)+N(REPAIRS!P93)+N(REPAIRS!R93)+N(REPAIRS!T93)</f>
        <v>0</v>
      </c>
      <c r="F531">
        <f>IF($B$6=11,D531,N(INDEX(REPAIRS!$C93:$T93,1,$B$13)))</f>
        <v>0</v>
      </c>
      <c r="G531">
        <f>IF($B$6=11,E531,N(INDEX(REPAIRS!$C93:$T93,1,$B$13+1)))</f>
        <v>0</v>
      </c>
    </row>
    <row r="532" spans="1:7" x14ac:dyDescent="0.25">
      <c r="A532">
        <v>94</v>
      </c>
      <c r="B532">
        <f>IF(REPAIRS!A94&lt;&gt;"",IFERROR(MATCH(UPPER(LEFT(TRIM(REPAIRS!A94),3)),{"JAN","FEB","MAR","APR","MAY","JUN","JUL","AUG","SEP","OCT","NOV","DEC"},0),""),B531)</f>
        <v>12</v>
      </c>
      <c r="C532" t="str">
        <f>IF(REPAIRS!B94="","",UPPER(TRIM(REPAIRS!B94)))</f>
        <v/>
      </c>
      <c r="D532">
        <f>N(REPAIRS!C94)+N(REPAIRS!E94)+N(REPAIRS!G94)+N(REPAIRS!I94)+N(REPAIRS!K94)+N(REPAIRS!M94)+N(REPAIRS!O94)+N(REPAIRS!Q94)+N(REPAIRS!S94)</f>
        <v>0</v>
      </c>
      <c r="E532">
        <f>N(REPAIRS!D94)+N(REPAIRS!F94)+N(REPAIRS!H94)+N(REPAIRS!J94)+N(REPAIRS!L94)+N(REPAIRS!N94)+N(REPAIRS!P94)+N(REPAIRS!R94)+N(REPAIRS!T94)</f>
        <v>0</v>
      </c>
      <c r="F532">
        <f>IF($B$6=11,D532,N(INDEX(REPAIRS!$C94:$T94,1,$B$13)))</f>
        <v>0</v>
      </c>
      <c r="G532">
        <f>IF($B$6=11,E532,N(INDEX(REPAIRS!$C94:$T94,1,$B$13+1)))</f>
        <v>0</v>
      </c>
    </row>
    <row r="533" spans="1:7" x14ac:dyDescent="0.25">
      <c r="A533">
        <v>95</v>
      </c>
      <c r="B533">
        <f>IF(REPAIRS!A95&lt;&gt;"",IFERROR(MATCH(UPPER(LEFT(TRIM(REPAIRS!A95),3)),{"JAN","FEB","MAR","APR","MAY","JUN","JUL","AUG","SEP","OCT","NOV","DEC"},0),""),B532)</f>
        <v>12</v>
      </c>
      <c r="C533" t="str">
        <f>IF(REPAIRS!B95="","",UPPER(TRIM(REPAIRS!B95)))</f>
        <v/>
      </c>
      <c r="D533">
        <f>N(REPAIRS!C95)+N(REPAIRS!E95)+N(REPAIRS!G95)+N(REPAIRS!I95)+N(REPAIRS!K95)+N(REPAIRS!M95)+N(REPAIRS!O95)+N(REPAIRS!Q95)+N(REPAIRS!S95)</f>
        <v>0</v>
      </c>
      <c r="E533">
        <f>N(REPAIRS!D95)+N(REPAIRS!F95)+N(REPAIRS!H95)+N(REPAIRS!J95)+N(REPAIRS!L95)+N(REPAIRS!N95)+N(REPAIRS!P95)+N(REPAIRS!R95)+N(REPAIRS!T95)</f>
        <v>0</v>
      </c>
      <c r="F533">
        <f>IF($B$6=11,D533,N(INDEX(REPAIRS!$C95:$T95,1,$B$13)))</f>
        <v>0</v>
      </c>
      <c r="G533">
        <f>IF($B$6=11,E533,N(INDEX(REPAIRS!$C95:$T95,1,$B$13+1)))</f>
        <v>0</v>
      </c>
    </row>
    <row r="534" spans="1:7" x14ac:dyDescent="0.25">
      <c r="A534">
        <v>96</v>
      </c>
      <c r="B534">
        <f>IF(REPAIRS!A96&lt;&gt;"",IFERROR(MATCH(UPPER(LEFT(TRIM(REPAIRS!A96),3)),{"JAN","FEB","MAR","APR","MAY","JUN","JUL","AUG","SEP","OCT","NOV","DEC"},0),""),B533)</f>
        <v>12</v>
      </c>
      <c r="C534" t="str">
        <f>IF(REPAIRS!B96="","",UPPER(TRIM(REPAIRS!B96)))</f>
        <v/>
      </c>
      <c r="D534">
        <f>N(REPAIRS!C96)+N(REPAIRS!E96)+N(REPAIRS!G96)+N(REPAIRS!I96)+N(REPAIRS!K96)+N(REPAIRS!M96)+N(REPAIRS!O96)+N(REPAIRS!Q96)+N(REPAIRS!S96)</f>
        <v>0</v>
      </c>
      <c r="E534">
        <f>N(REPAIRS!D96)+N(REPAIRS!F96)+N(REPAIRS!H96)+N(REPAIRS!J96)+N(REPAIRS!L96)+N(REPAIRS!N96)+N(REPAIRS!P96)+N(REPAIRS!R96)+N(REPAIRS!T96)</f>
        <v>0</v>
      </c>
      <c r="F534">
        <f>IF($B$6=11,D534,N(INDEX(REPAIRS!$C96:$T96,1,$B$13)))</f>
        <v>0</v>
      </c>
      <c r="G534">
        <f>IF($B$6=11,E534,N(INDEX(REPAIRS!$C96:$T96,1,$B$13+1)))</f>
        <v>0</v>
      </c>
    </row>
    <row r="535" spans="1:7" x14ac:dyDescent="0.25">
      <c r="A535">
        <v>97</v>
      </c>
      <c r="B535">
        <f>IF(REPAIRS!A97&lt;&gt;"",IFERROR(MATCH(UPPER(LEFT(TRIM(REPAIRS!A97),3)),{"JAN","FEB","MAR","APR","MAY","JUN","JUL","AUG","SEP","OCT","NOV","DEC"},0),""),B534)</f>
        <v>12</v>
      </c>
      <c r="C535" t="str">
        <f>IF(REPAIRS!B97="","",UPPER(TRIM(REPAIRS!B97)))</f>
        <v/>
      </c>
      <c r="D535">
        <f>N(REPAIRS!C97)+N(REPAIRS!E97)+N(REPAIRS!G97)+N(REPAIRS!I97)+N(REPAIRS!K97)+N(REPAIRS!M97)+N(REPAIRS!O97)+N(REPAIRS!Q97)+N(REPAIRS!S97)</f>
        <v>0</v>
      </c>
      <c r="E535">
        <f>N(REPAIRS!D97)+N(REPAIRS!F97)+N(REPAIRS!H97)+N(REPAIRS!J97)+N(REPAIRS!L97)+N(REPAIRS!N97)+N(REPAIRS!P97)+N(REPAIRS!R97)+N(REPAIRS!T97)</f>
        <v>0</v>
      </c>
      <c r="F535">
        <f>IF($B$6=11,D535,N(INDEX(REPAIRS!$C97:$T97,1,$B$13)))</f>
        <v>0</v>
      </c>
      <c r="G535">
        <f>IF($B$6=11,E535,N(INDEX(REPAIRS!$C97:$T97,1,$B$13+1)))</f>
        <v>0</v>
      </c>
    </row>
    <row r="536" spans="1:7" x14ac:dyDescent="0.25">
      <c r="A536">
        <v>98</v>
      </c>
      <c r="B536">
        <f>IF(REPAIRS!A98&lt;&gt;"",IFERROR(MATCH(UPPER(LEFT(TRIM(REPAIRS!A98),3)),{"JAN","FEB","MAR","APR","MAY","JUN","JUL","AUG","SEP","OCT","NOV","DEC"},0),""),B535)</f>
        <v>12</v>
      </c>
      <c r="C536" t="str">
        <f>IF(REPAIRS!B98="","",UPPER(TRIM(REPAIRS!B98)))</f>
        <v/>
      </c>
      <c r="D536">
        <f>N(REPAIRS!C98)+N(REPAIRS!E98)+N(REPAIRS!G98)+N(REPAIRS!I98)+N(REPAIRS!K98)+N(REPAIRS!M98)+N(REPAIRS!O98)+N(REPAIRS!Q98)+N(REPAIRS!S98)</f>
        <v>0</v>
      </c>
      <c r="E536">
        <f>N(REPAIRS!D98)+N(REPAIRS!F98)+N(REPAIRS!H98)+N(REPAIRS!J98)+N(REPAIRS!L98)+N(REPAIRS!N98)+N(REPAIRS!P98)+N(REPAIRS!R98)+N(REPAIRS!T98)</f>
        <v>0</v>
      </c>
      <c r="F536">
        <f>IF($B$6=11,D536,N(INDEX(REPAIRS!$C98:$T98,1,$B$13)))</f>
        <v>0</v>
      </c>
      <c r="G536">
        <f>IF($B$6=11,E536,N(INDEX(REPAIRS!$C98:$T98,1,$B$13+1)))</f>
        <v>0</v>
      </c>
    </row>
    <row r="537" spans="1:7" x14ac:dyDescent="0.25">
      <c r="A537">
        <v>99</v>
      </c>
      <c r="B537">
        <f>IF(REPAIRS!A99&lt;&gt;"",IFERROR(MATCH(UPPER(LEFT(TRIM(REPAIRS!A99),3)),{"JAN","FEB","MAR","APR","MAY","JUN","JUL","AUG","SEP","OCT","NOV","DEC"},0),""),B536)</f>
        <v>12</v>
      </c>
      <c r="C537" t="str">
        <f>IF(REPAIRS!B99="","",UPPER(TRIM(REPAIRS!B99)))</f>
        <v/>
      </c>
      <c r="D537">
        <f>N(REPAIRS!C99)+N(REPAIRS!E99)+N(REPAIRS!G99)+N(REPAIRS!I99)+N(REPAIRS!K99)+N(REPAIRS!M99)+N(REPAIRS!O99)+N(REPAIRS!Q99)+N(REPAIRS!S99)</f>
        <v>0</v>
      </c>
      <c r="E537">
        <f>N(REPAIRS!D99)+N(REPAIRS!F99)+N(REPAIRS!H99)+N(REPAIRS!J99)+N(REPAIRS!L99)+N(REPAIRS!N99)+N(REPAIRS!P99)+N(REPAIRS!R99)+N(REPAIRS!T99)</f>
        <v>0</v>
      </c>
      <c r="F537">
        <f>IF($B$6=11,D537,N(INDEX(REPAIRS!$C99:$T99,1,$B$13)))</f>
        <v>0</v>
      </c>
      <c r="G537">
        <f>IF($B$6=11,E537,N(INDEX(REPAIRS!$C99:$T99,1,$B$13+1)))</f>
        <v>0</v>
      </c>
    </row>
    <row r="538" spans="1:7" x14ac:dyDescent="0.25">
      <c r="A538">
        <v>100</v>
      </c>
      <c r="B538">
        <f>IF(REPAIRS!A100&lt;&gt;"",IFERROR(MATCH(UPPER(LEFT(TRIM(REPAIRS!A100),3)),{"JAN","FEB","MAR","APR","MAY","JUN","JUL","AUG","SEP","OCT","NOV","DEC"},0),""),B537)</f>
        <v>12</v>
      </c>
      <c r="C538" t="str">
        <f>IF(REPAIRS!B100="","",UPPER(TRIM(REPAIRS!B100)))</f>
        <v/>
      </c>
      <c r="D538">
        <f>N(REPAIRS!C100)+N(REPAIRS!E100)+N(REPAIRS!G100)+N(REPAIRS!I100)+N(REPAIRS!K100)+N(REPAIRS!M100)+N(REPAIRS!O100)+N(REPAIRS!Q100)+N(REPAIRS!S100)</f>
        <v>0</v>
      </c>
      <c r="E538">
        <f>N(REPAIRS!D100)+N(REPAIRS!F100)+N(REPAIRS!H100)+N(REPAIRS!J100)+N(REPAIRS!L100)+N(REPAIRS!N100)+N(REPAIRS!P100)+N(REPAIRS!R100)+N(REPAIRS!T100)</f>
        <v>0</v>
      </c>
      <c r="F538">
        <f>IF($B$6=11,D538,N(INDEX(REPAIRS!$C100:$T100,1,$B$13)))</f>
        <v>0</v>
      </c>
      <c r="G538">
        <f>IF($B$6=11,E538,N(INDEX(REPAIRS!$C100:$T100,1,$B$13+1)))</f>
        <v>0</v>
      </c>
    </row>
    <row r="539" spans="1:7" x14ac:dyDescent="0.25">
      <c r="A539">
        <v>101</v>
      </c>
      <c r="B539">
        <f>IF(REPAIRS!A101&lt;&gt;"",IFERROR(MATCH(UPPER(LEFT(TRIM(REPAIRS!A101),3)),{"JAN","FEB","MAR","APR","MAY","JUN","JUL","AUG","SEP","OCT","NOV","DEC"},0),""),B538)</f>
        <v>12</v>
      </c>
      <c r="C539" t="str">
        <f>IF(REPAIRS!B101="","",UPPER(TRIM(REPAIRS!B101)))</f>
        <v/>
      </c>
      <c r="D539">
        <f>N(REPAIRS!C101)+N(REPAIRS!E101)+N(REPAIRS!G101)+N(REPAIRS!I101)+N(REPAIRS!K101)+N(REPAIRS!M101)+N(REPAIRS!O101)+N(REPAIRS!Q101)+N(REPAIRS!S101)</f>
        <v>0</v>
      </c>
      <c r="E539">
        <f>N(REPAIRS!D101)+N(REPAIRS!F101)+N(REPAIRS!H101)+N(REPAIRS!J101)+N(REPAIRS!L101)+N(REPAIRS!N101)+N(REPAIRS!P101)+N(REPAIRS!R101)+N(REPAIRS!T101)</f>
        <v>0</v>
      </c>
      <c r="F539">
        <f>IF($B$6=11,D539,N(INDEX(REPAIRS!$C101:$T101,1,$B$13)))</f>
        <v>0</v>
      </c>
      <c r="G539">
        <f>IF($B$6=11,E539,N(INDEX(REPAIRS!$C101:$T101,1,$B$13+1)))</f>
        <v>0</v>
      </c>
    </row>
    <row r="540" spans="1:7" x14ac:dyDescent="0.25">
      <c r="A540">
        <v>102</v>
      </c>
      <c r="B540">
        <f>IF(REPAIRS!A102&lt;&gt;"",IFERROR(MATCH(UPPER(LEFT(TRIM(REPAIRS!A102),3)),{"JAN","FEB","MAR","APR","MAY","JUN","JUL","AUG","SEP","OCT","NOV","DEC"},0),""),B539)</f>
        <v>12</v>
      </c>
      <c r="C540" t="str">
        <f>IF(REPAIRS!B102="","",UPPER(TRIM(REPAIRS!B102)))</f>
        <v/>
      </c>
      <c r="D540">
        <f>N(REPAIRS!C102)+N(REPAIRS!E102)+N(REPAIRS!G102)+N(REPAIRS!I102)+N(REPAIRS!K102)+N(REPAIRS!M102)+N(REPAIRS!O102)+N(REPAIRS!Q102)+N(REPAIRS!S102)</f>
        <v>0</v>
      </c>
      <c r="E540">
        <f>N(REPAIRS!D102)+N(REPAIRS!F102)+N(REPAIRS!H102)+N(REPAIRS!J102)+N(REPAIRS!L102)+N(REPAIRS!N102)+N(REPAIRS!P102)+N(REPAIRS!R102)+N(REPAIRS!T102)</f>
        <v>0</v>
      </c>
      <c r="F540">
        <f>IF($B$6=11,D540,N(INDEX(REPAIRS!$C102:$T102,1,$B$13)))</f>
        <v>0</v>
      </c>
      <c r="G540">
        <f>IF($B$6=11,E540,N(INDEX(REPAIRS!$C102:$T102,1,$B$13+1)))</f>
        <v>0</v>
      </c>
    </row>
    <row r="541" spans="1:7" x14ac:dyDescent="0.25">
      <c r="A541">
        <v>103</v>
      </c>
      <c r="B541">
        <f>IF(REPAIRS!A103&lt;&gt;"",IFERROR(MATCH(UPPER(LEFT(TRIM(REPAIRS!A103),3)),{"JAN","FEB","MAR","APR","MAY","JUN","JUL","AUG","SEP","OCT","NOV","DEC"},0),""),B540)</f>
        <v>12</v>
      </c>
      <c r="C541" t="str">
        <f>IF(REPAIRS!B103="","",UPPER(TRIM(REPAIRS!B103)))</f>
        <v/>
      </c>
      <c r="D541">
        <f>N(REPAIRS!C103)+N(REPAIRS!E103)+N(REPAIRS!G103)+N(REPAIRS!I103)+N(REPAIRS!K103)+N(REPAIRS!M103)+N(REPAIRS!O103)+N(REPAIRS!Q103)+N(REPAIRS!S103)</f>
        <v>0</v>
      </c>
      <c r="E541">
        <f>N(REPAIRS!D103)+N(REPAIRS!F103)+N(REPAIRS!H103)+N(REPAIRS!J103)+N(REPAIRS!L103)+N(REPAIRS!N103)+N(REPAIRS!P103)+N(REPAIRS!R103)+N(REPAIRS!T103)</f>
        <v>0</v>
      </c>
      <c r="F541">
        <f>IF($B$6=11,D541,N(INDEX(REPAIRS!$C103:$T103,1,$B$13)))</f>
        <v>0</v>
      </c>
      <c r="G541">
        <f>IF($B$6=11,E541,N(INDEX(REPAIRS!$C103:$T103,1,$B$13+1)))</f>
        <v>0</v>
      </c>
    </row>
    <row r="542" spans="1:7" x14ac:dyDescent="0.25">
      <c r="A542">
        <v>104</v>
      </c>
      <c r="B542">
        <f>IF(REPAIRS!A104&lt;&gt;"",IFERROR(MATCH(UPPER(LEFT(TRIM(REPAIRS!A104),3)),{"JAN","FEB","MAR","APR","MAY","JUN","JUL","AUG","SEP","OCT","NOV","DEC"},0),""),B541)</f>
        <v>12</v>
      </c>
      <c r="C542" t="str">
        <f>IF(REPAIRS!B104="","",UPPER(TRIM(REPAIRS!B104)))</f>
        <v/>
      </c>
      <c r="D542">
        <f>N(REPAIRS!C104)+N(REPAIRS!E104)+N(REPAIRS!G104)+N(REPAIRS!I104)+N(REPAIRS!K104)+N(REPAIRS!M104)+N(REPAIRS!O104)+N(REPAIRS!Q104)+N(REPAIRS!S104)</f>
        <v>0</v>
      </c>
      <c r="E542">
        <f>N(REPAIRS!D104)+N(REPAIRS!F104)+N(REPAIRS!H104)+N(REPAIRS!J104)+N(REPAIRS!L104)+N(REPAIRS!N104)+N(REPAIRS!P104)+N(REPAIRS!R104)+N(REPAIRS!T104)</f>
        <v>0</v>
      </c>
      <c r="F542">
        <f>IF($B$6=11,D542,N(INDEX(REPAIRS!$C104:$T104,1,$B$13)))</f>
        <v>0</v>
      </c>
      <c r="G542">
        <f>IF($B$6=11,E542,N(INDEX(REPAIRS!$C104:$T104,1,$B$13+1)))</f>
        <v>0</v>
      </c>
    </row>
    <row r="543" spans="1:7" x14ac:dyDescent="0.25">
      <c r="A543">
        <v>105</v>
      </c>
      <c r="B543">
        <f>IF(REPAIRS!A105&lt;&gt;"",IFERROR(MATCH(UPPER(LEFT(TRIM(REPAIRS!A105),3)),{"JAN","FEB","MAR","APR","MAY","JUN","JUL","AUG","SEP","OCT","NOV","DEC"},0),""),B542)</f>
        <v>12</v>
      </c>
      <c r="C543" t="str">
        <f>IF(REPAIRS!B105="","",UPPER(TRIM(REPAIRS!B105)))</f>
        <v/>
      </c>
      <c r="D543">
        <f>N(REPAIRS!C105)+N(REPAIRS!E105)+N(REPAIRS!G105)+N(REPAIRS!I105)+N(REPAIRS!K105)+N(REPAIRS!M105)+N(REPAIRS!O105)+N(REPAIRS!Q105)+N(REPAIRS!S105)</f>
        <v>0</v>
      </c>
      <c r="E543">
        <f>N(REPAIRS!D105)+N(REPAIRS!F105)+N(REPAIRS!H105)+N(REPAIRS!J105)+N(REPAIRS!L105)+N(REPAIRS!N105)+N(REPAIRS!P105)+N(REPAIRS!R105)+N(REPAIRS!T105)</f>
        <v>0</v>
      </c>
      <c r="F543">
        <f>IF($B$6=11,D543,N(INDEX(REPAIRS!$C105:$T105,1,$B$13)))</f>
        <v>0</v>
      </c>
      <c r="G543">
        <f>IF($B$6=11,E543,N(INDEX(REPAIRS!$C105:$T105,1,$B$13+1)))</f>
        <v>0</v>
      </c>
    </row>
    <row r="544" spans="1:7" x14ac:dyDescent="0.25">
      <c r="A544">
        <v>106</v>
      </c>
      <c r="B544">
        <f>IF(REPAIRS!A106&lt;&gt;"",IFERROR(MATCH(UPPER(LEFT(TRIM(REPAIRS!A106),3)),{"JAN","FEB","MAR","APR","MAY","JUN","JUL","AUG","SEP","OCT","NOV","DEC"},0),""),B543)</f>
        <v>12</v>
      </c>
      <c r="C544" t="str">
        <f>IF(REPAIRS!B106="","",UPPER(TRIM(REPAIRS!B106)))</f>
        <v/>
      </c>
      <c r="D544">
        <f>N(REPAIRS!C106)+N(REPAIRS!E106)+N(REPAIRS!G106)+N(REPAIRS!I106)+N(REPAIRS!K106)+N(REPAIRS!M106)+N(REPAIRS!O106)+N(REPAIRS!Q106)+N(REPAIRS!S106)</f>
        <v>0</v>
      </c>
      <c r="E544">
        <f>N(REPAIRS!D106)+N(REPAIRS!F106)+N(REPAIRS!H106)+N(REPAIRS!J106)+N(REPAIRS!L106)+N(REPAIRS!N106)+N(REPAIRS!P106)+N(REPAIRS!R106)+N(REPAIRS!T106)</f>
        <v>0</v>
      </c>
      <c r="F544">
        <f>IF($B$6=11,D544,N(INDEX(REPAIRS!$C106:$T106,1,$B$13)))</f>
        <v>0</v>
      </c>
      <c r="G544">
        <f>IF($B$6=11,E544,N(INDEX(REPAIRS!$C106:$T106,1,$B$13+1)))</f>
        <v>0</v>
      </c>
    </row>
    <row r="545" spans="1:7" x14ac:dyDescent="0.25">
      <c r="A545">
        <v>107</v>
      </c>
      <c r="B545">
        <f>IF(REPAIRS!A107&lt;&gt;"",IFERROR(MATCH(UPPER(LEFT(TRIM(REPAIRS!A107),3)),{"JAN","FEB","MAR","APR","MAY","JUN","JUL","AUG","SEP","OCT","NOV","DEC"},0),""),B544)</f>
        <v>12</v>
      </c>
      <c r="C545" t="str">
        <f>IF(REPAIRS!B107="","",UPPER(TRIM(REPAIRS!B107)))</f>
        <v/>
      </c>
      <c r="D545">
        <f>N(REPAIRS!C107)+N(REPAIRS!E107)+N(REPAIRS!G107)+N(REPAIRS!I107)+N(REPAIRS!K107)+N(REPAIRS!M107)+N(REPAIRS!O107)+N(REPAIRS!Q107)+N(REPAIRS!S107)</f>
        <v>0</v>
      </c>
      <c r="E545">
        <f>N(REPAIRS!D107)+N(REPAIRS!F107)+N(REPAIRS!H107)+N(REPAIRS!J107)+N(REPAIRS!L107)+N(REPAIRS!N107)+N(REPAIRS!P107)+N(REPAIRS!R107)+N(REPAIRS!T107)</f>
        <v>0</v>
      </c>
      <c r="F545">
        <f>IF($B$6=11,D545,N(INDEX(REPAIRS!$C107:$T107,1,$B$13)))</f>
        <v>0</v>
      </c>
      <c r="G545">
        <f>IF($B$6=11,E545,N(INDEX(REPAIRS!$C107:$T107,1,$B$13+1)))</f>
        <v>0</v>
      </c>
    </row>
    <row r="546" spans="1:7" x14ac:dyDescent="0.25">
      <c r="A546">
        <v>108</v>
      </c>
      <c r="B546">
        <f>IF(REPAIRS!A108&lt;&gt;"",IFERROR(MATCH(UPPER(LEFT(TRIM(REPAIRS!A108),3)),{"JAN","FEB","MAR","APR","MAY","JUN","JUL","AUG","SEP","OCT","NOV","DEC"},0),""),B545)</f>
        <v>12</v>
      </c>
      <c r="C546" t="str">
        <f>IF(REPAIRS!B108="","",UPPER(TRIM(REPAIRS!B108)))</f>
        <v/>
      </c>
      <c r="D546">
        <f>N(REPAIRS!C108)+N(REPAIRS!E108)+N(REPAIRS!G108)+N(REPAIRS!I108)+N(REPAIRS!K108)+N(REPAIRS!M108)+N(REPAIRS!O108)+N(REPAIRS!Q108)+N(REPAIRS!S108)</f>
        <v>0</v>
      </c>
      <c r="E546">
        <f>N(REPAIRS!D108)+N(REPAIRS!F108)+N(REPAIRS!H108)+N(REPAIRS!J108)+N(REPAIRS!L108)+N(REPAIRS!N108)+N(REPAIRS!P108)+N(REPAIRS!R108)+N(REPAIRS!T108)</f>
        <v>0</v>
      </c>
      <c r="F546">
        <f>IF($B$6=11,D546,N(INDEX(REPAIRS!$C108:$T108,1,$B$13)))</f>
        <v>0</v>
      </c>
      <c r="G546">
        <f>IF($B$6=11,E546,N(INDEX(REPAIRS!$C108:$T108,1,$B$13+1)))</f>
        <v>0</v>
      </c>
    </row>
    <row r="547" spans="1:7" x14ac:dyDescent="0.25">
      <c r="A547">
        <v>109</v>
      </c>
      <c r="B547">
        <f>IF(REPAIRS!A109&lt;&gt;"",IFERROR(MATCH(UPPER(LEFT(TRIM(REPAIRS!A109),3)),{"JAN","FEB","MAR","APR","MAY","JUN","JUL","AUG","SEP","OCT","NOV","DEC"},0),""),B546)</f>
        <v>12</v>
      </c>
      <c r="C547" t="str">
        <f>IF(REPAIRS!B109="","",UPPER(TRIM(REPAIRS!B109)))</f>
        <v/>
      </c>
      <c r="D547">
        <f>N(REPAIRS!C109)+N(REPAIRS!E109)+N(REPAIRS!G109)+N(REPAIRS!I109)+N(REPAIRS!K109)+N(REPAIRS!M109)+N(REPAIRS!O109)+N(REPAIRS!Q109)+N(REPAIRS!S109)</f>
        <v>0</v>
      </c>
      <c r="E547">
        <f>N(REPAIRS!D109)+N(REPAIRS!F109)+N(REPAIRS!H109)+N(REPAIRS!J109)+N(REPAIRS!L109)+N(REPAIRS!N109)+N(REPAIRS!P109)+N(REPAIRS!R109)+N(REPAIRS!T109)</f>
        <v>0</v>
      </c>
      <c r="F547">
        <f>IF($B$6=11,D547,N(INDEX(REPAIRS!$C109:$T109,1,$B$13)))</f>
        <v>0</v>
      </c>
      <c r="G547">
        <f>IF($B$6=11,E547,N(INDEX(REPAIRS!$C109:$T109,1,$B$13+1)))</f>
        <v>0</v>
      </c>
    </row>
    <row r="548" spans="1:7" x14ac:dyDescent="0.25">
      <c r="A548">
        <v>110</v>
      </c>
      <c r="B548">
        <f>IF(REPAIRS!A110&lt;&gt;"",IFERROR(MATCH(UPPER(LEFT(TRIM(REPAIRS!A110),3)),{"JAN","FEB","MAR","APR","MAY","JUN","JUL","AUG","SEP","OCT","NOV","DEC"},0),""),B547)</f>
        <v>12</v>
      </c>
      <c r="C548" t="str">
        <f>IF(REPAIRS!B110="","",UPPER(TRIM(REPAIRS!B110)))</f>
        <v/>
      </c>
      <c r="D548">
        <f>N(REPAIRS!C110)+N(REPAIRS!E110)+N(REPAIRS!G110)+N(REPAIRS!I110)+N(REPAIRS!K110)+N(REPAIRS!M110)+N(REPAIRS!O110)+N(REPAIRS!Q110)+N(REPAIRS!S110)</f>
        <v>0</v>
      </c>
      <c r="E548">
        <f>N(REPAIRS!D110)+N(REPAIRS!F110)+N(REPAIRS!H110)+N(REPAIRS!J110)+N(REPAIRS!L110)+N(REPAIRS!N110)+N(REPAIRS!P110)+N(REPAIRS!R110)+N(REPAIRS!T110)</f>
        <v>0</v>
      </c>
      <c r="F548">
        <f>IF($B$6=11,D548,N(INDEX(REPAIRS!$C110:$T110,1,$B$13)))</f>
        <v>0</v>
      </c>
      <c r="G548">
        <f>IF($B$6=11,E548,N(INDEX(REPAIRS!$C110:$T110,1,$B$13+1)))</f>
        <v>0</v>
      </c>
    </row>
    <row r="549" spans="1:7" x14ac:dyDescent="0.25">
      <c r="A549">
        <v>111</v>
      </c>
      <c r="B549">
        <f>IF(REPAIRS!A111&lt;&gt;"",IFERROR(MATCH(UPPER(LEFT(TRIM(REPAIRS!A111),3)),{"JAN","FEB","MAR","APR","MAY","JUN","JUL","AUG","SEP","OCT","NOV","DEC"},0),""),B548)</f>
        <v>12</v>
      </c>
      <c r="C549" t="str">
        <f>IF(REPAIRS!B111="","",UPPER(TRIM(REPAIRS!B111)))</f>
        <v/>
      </c>
      <c r="D549">
        <f>N(REPAIRS!C111)+N(REPAIRS!E111)+N(REPAIRS!G111)+N(REPAIRS!I111)+N(REPAIRS!K111)+N(REPAIRS!M111)+N(REPAIRS!O111)+N(REPAIRS!Q111)+N(REPAIRS!S111)</f>
        <v>0</v>
      </c>
      <c r="E549">
        <f>N(REPAIRS!D111)+N(REPAIRS!F111)+N(REPAIRS!H111)+N(REPAIRS!J111)+N(REPAIRS!L111)+N(REPAIRS!N111)+N(REPAIRS!P111)+N(REPAIRS!R111)+N(REPAIRS!T111)</f>
        <v>0</v>
      </c>
      <c r="F549">
        <f>IF($B$6=11,D549,N(INDEX(REPAIRS!$C111:$T111,1,$B$13)))</f>
        <v>0</v>
      </c>
      <c r="G549">
        <f>IF($B$6=11,E549,N(INDEX(REPAIRS!$C111:$T111,1,$B$13+1)))</f>
        <v>0</v>
      </c>
    </row>
    <row r="550" spans="1:7" x14ac:dyDescent="0.25">
      <c r="A550">
        <v>112</v>
      </c>
      <c r="B550">
        <f>IF(REPAIRS!A112&lt;&gt;"",IFERROR(MATCH(UPPER(LEFT(TRIM(REPAIRS!A112),3)),{"JAN","FEB","MAR","APR","MAY","JUN","JUL","AUG","SEP","OCT","NOV","DEC"},0),""),B549)</f>
        <v>12</v>
      </c>
      <c r="C550" t="str">
        <f>IF(REPAIRS!B112="","",UPPER(TRIM(REPAIRS!B112)))</f>
        <v/>
      </c>
      <c r="D550">
        <f>N(REPAIRS!C112)+N(REPAIRS!E112)+N(REPAIRS!G112)+N(REPAIRS!I112)+N(REPAIRS!K112)+N(REPAIRS!M112)+N(REPAIRS!O112)+N(REPAIRS!Q112)+N(REPAIRS!S112)</f>
        <v>0</v>
      </c>
      <c r="E550">
        <f>N(REPAIRS!D112)+N(REPAIRS!F112)+N(REPAIRS!H112)+N(REPAIRS!J112)+N(REPAIRS!L112)+N(REPAIRS!N112)+N(REPAIRS!P112)+N(REPAIRS!R112)+N(REPAIRS!T112)</f>
        <v>0</v>
      </c>
      <c r="F550">
        <f>IF($B$6=11,D550,N(INDEX(REPAIRS!$C112:$T112,1,$B$13)))</f>
        <v>0</v>
      </c>
      <c r="G550">
        <f>IF($B$6=11,E550,N(INDEX(REPAIRS!$C112:$T112,1,$B$13+1)))</f>
        <v>0</v>
      </c>
    </row>
    <row r="551" spans="1:7" x14ac:dyDescent="0.25">
      <c r="A551">
        <v>113</v>
      </c>
      <c r="B551">
        <f>IF(REPAIRS!A113&lt;&gt;"",IFERROR(MATCH(UPPER(LEFT(TRIM(REPAIRS!A113),3)),{"JAN","FEB","MAR","APR","MAY","JUN","JUL","AUG","SEP","OCT","NOV","DEC"},0),""),B550)</f>
        <v>12</v>
      </c>
      <c r="C551" t="str">
        <f>IF(REPAIRS!B113="","",UPPER(TRIM(REPAIRS!B113)))</f>
        <v/>
      </c>
      <c r="D551">
        <f>N(REPAIRS!C113)+N(REPAIRS!E113)+N(REPAIRS!G113)+N(REPAIRS!I113)+N(REPAIRS!K113)+N(REPAIRS!M113)+N(REPAIRS!O113)+N(REPAIRS!Q113)+N(REPAIRS!S113)</f>
        <v>0</v>
      </c>
      <c r="E551">
        <f>N(REPAIRS!D113)+N(REPAIRS!F113)+N(REPAIRS!H113)+N(REPAIRS!J113)+N(REPAIRS!L113)+N(REPAIRS!N113)+N(REPAIRS!P113)+N(REPAIRS!R113)+N(REPAIRS!T113)</f>
        <v>0</v>
      </c>
      <c r="F551">
        <f>IF($B$6=11,D551,N(INDEX(REPAIRS!$C113:$T113,1,$B$13)))</f>
        <v>0</v>
      </c>
      <c r="G551">
        <f>IF($B$6=11,E551,N(INDEX(REPAIRS!$C113:$T113,1,$B$13+1)))</f>
        <v>0</v>
      </c>
    </row>
    <row r="552" spans="1:7" x14ac:dyDescent="0.25">
      <c r="A552">
        <v>114</v>
      </c>
      <c r="B552">
        <f>IF(REPAIRS!A114&lt;&gt;"",IFERROR(MATCH(UPPER(LEFT(TRIM(REPAIRS!A114),3)),{"JAN","FEB","MAR","APR","MAY","JUN","JUL","AUG","SEP","OCT","NOV","DEC"},0),""),B551)</f>
        <v>12</v>
      </c>
      <c r="C552" t="str">
        <f>IF(REPAIRS!B114="","",UPPER(TRIM(REPAIRS!B114)))</f>
        <v/>
      </c>
      <c r="D552">
        <f>N(REPAIRS!C114)+N(REPAIRS!E114)+N(REPAIRS!G114)+N(REPAIRS!I114)+N(REPAIRS!K114)+N(REPAIRS!M114)+N(REPAIRS!O114)+N(REPAIRS!Q114)+N(REPAIRS!S114)</f>
        <v>0</v>
      </c>
      <c r="E552">
        <f>N(REPAIRS!D114)+N(REPAIRS!F114)+N(REPAIRS!H114)+N(REPAIRS!J114)+N(REPAIRS!L114)+N(REPAIRS!N114)+N(REPAIRS!P114)+N(REPAIRS!R114)+N(REPAIRS!T114)</f>
        <v>0</v>
      </c>
      <c r="F552">
        <f>IF($B$6=11,D552,N(INDEX(REPAIRS!$C114:$T114,1,$B$13)))</f>
        <v>0</v>
      </c>
      <c r="G552">
        <f>IF($B$6=11,E552,N(INDEX(REPAIRS!$C114:$T114,1,$B$13+1)))</f>
        <v>0</v>
      </c>
    </row>
    <row r="553" spans="1:7" x14ac:dyDescent="0.25">
      <c r="A553">
        <v>115</v>
      </c>
      <c r="B553">
        <f>IF(REPAIRS!A115&lt;&gt;"",IFERROR(MATCH(UPPER(LEFT(TRIM(REPAIRS!A115),3)),{"JAN","FEB","MAR","APR","MAY","JUN","JUL","AUG","SEP","OCT","NOV","DEC"},0),""),B552)</f>
        <v>12</v>
      </c>
      <c r="C553" t="str">
        <f>IF(REPAIRS!B115="","",UPPER(TRIM(REPAIRS!B115)))</f>
        <v/>
      </c>
      <c r="D553">
        <f>N(REPAIRS!C115)+N(REPAIRS!E115)+N(REPAIRS!G115)+N(REPAIRS!I115)+N(REPAIRS!K115)+N(REPAIRS!M115)+N(REPAIRS!O115)+N(REPAIRS!Q115)+N(REPAIRS!S115)</f>
        <v>0</v>
      </c>
      <c r="E553">
        <f>N(REPAIRS!D115)+N(REPAIRS!F115)+N(REPAIRS!H115)+N(REPAIRS!J115)+N(REPAIRS!L115)+N(REPAIRS!N115)+N(REPAIRS!P115)+N(REPAIRS!R115)+N(REPAIRS!T115)</f>
        <v>0</v>
      </c>
      <c r="F553">
        <f>IF($B$6=11,D553,N(INDEX(REPAIRS!$C115:$T115,1,$B$13)))</f>
        <v>0</v>
      </c>
      <c r="G553">
        <f>IF($B$6=11,E553,N(INDEX(REPAIRS!$C115:$T115,1,$B$13+1)))</f>
        <v>0</v>
      </c>
    </row>
    <row r="554" spans="1:7" x14ac:dyDescent="0.25">
      <c r="A554">
        <v>116</v>
      </c>
      <c r="B554">
        <f>IF(REPAIRS!A116&lt;&gt;"",IFERROR(MATCH(UPPER(LEFT(TRIM(REPAIRS!A116),3)),{"JAN","FEB","MAR","APR","MAY","JUN","JUL","AUG","SEP","OCT","NOV","DEC"},0),""),B553)</f>
        <v>12</v>
      </c>
      <c r="C554" t="str">
        <f>IF(REPAIRS!B116="","",UPPER(TRIM(REPAIRS!B116)))</f>
        <v/>
      </c>
      <c r="D554">
        <f>N(REPAIRS!C116)+N(REPAIRS!E116)+N(REPAIRS!G116)+N(REPAIRS!I116)+N(REPAIRS!K116)+N(REPAIRS!M116)+N(REPAIRS!O116)+N(REPAIRS!Q116)+N(REPAIRS!S116)</f>
        <v>0</v>
      </c>
      <c r="E554">
        <f>N(REPAIRS!D116)+N(REPAIRS!F116)+N(REPAIRS!H116)+N(REPAIRS!J116)+N(REPAIRS!L116)+N(REPAIRS!N116)+N(REPAIRS!P116)+N(REPAIRS!R116)+N(REPAIRS!T116)</f>
        <v>0</v>
      </c>
      <c r="F554">
        <f>IF($B$6=11,D554,N(INDEX(REPAIRS!$C116:$T116,1,$B$13)))</f>
        <v>0</v>
      </c>
      <c r="G554">
        <f>IF($B$6=11,E554,N(INDEX(REPAIRS!$C116:$T116,1,$B$13+1)))</f>
        <v>0</v>
      </c>
    </row>
    <row r="555" spans="1:7" x14ac:dyDescent="0.25">
      <c r="A555">
        <v>117</v>
      </c>
      <c r="B555">
        <f>IF(REPAIRS!A117&lt;&gt;"",IFERROR(MATCH(UPPER(LEFT(TRIM(REPAIRS!A117),3)),{"JAN","FEB","MAR","APR","MAY","JUN","JUL","AUG","SEP","OCT","NOV","DEC"},0),""),B554)</f>
        <v>12</v>
      </c>
      <c r="C555" t="str">
        <f>IF(REPAIRS!B117="","",UPPER(TRIM(REPAIRS!B117)))</f>
        <v/>
      </c>
      <c r="D555">
        <f>N(REPAIRS!C117)+N(REPAIRS!E117)+N(REPAIRS!G117)+N(REPAIRS!I117)+N(REPAIRS!K117)+N(REPAIRS!M117)+N(REPAIRS!O117)+N(REPAIRS!Q117)+N(REPAIRS!S117)</f>
        <v>0</v>
      </c>
      <c r="E555">
        <f>N(REPAIRS!D117)+N(REPAIRS!F117)+N(REPAIRS!H117)+N(REPAIRS!J117)+N(REPAIRS!L117)+N(REPAIRS!N117)+N(REPAIRS!P117)+N(REPAIRS!R117)+N(REPAIRS!T117)</f>
        <v>0</v>
      </c>
      <c r="F555">
        <f>IF($B$6=11,D555,N(INDEX(REPAIRS!$C117:$T117,1,$B$13)))</f>
        <v>0</v>
      </c>
      <c r="G555">
        <f>IF($B$6=11,E555,N(INDEX(REPAIRS!$C117:$T117,1,$B$13+1)))</f>
        <v>0</v>
      </c>
    </row>
    <row r="556" spans="1:7" x14ac:dyDescent="0.25">
      <c r="A556">
        <v>118</v>
      </c>
      <c r="B556">
        <f>IF(REPAIRS!A118&lt;&gt;"",IFERROR(MATCH(UPPER(LEFT(TRIM(REPAIRS!A118),3)),{"JAN","FEB","MAR","APR","MAY","JUN","JUL","AUG","SEP","OCT","NOV","DEC"},0),""),B555)</f>
        <v>12</v>
      </c>
      <c r="C556" t="str">
        <f>IF(REPAIRS!B118="","",UPPER(TRIM(REPAIRS!B118)))</f>
        <v/>
      </c>
      <c r="D556">
        <f>N(REPAIRS!C118)+N(REPAIRS!E118)+N(REPAIRS!G118)+N(REPAIRS!I118)+N(REPAIRS!K118)+N(REPAIRS!M118)+N(REPAIRS!O118)+N(REPAIRS!Q118)+N(REPAIRS!S118)</f>
        <v>0</v>
      </c>
      <c r="E556">
        <f>N(REPAIRS!D118)+N(REPAIRS!F118)+N(REPAIRS!H118)+N(REPAIRS!J118)+N(REPAIRS!L118)+N(REPAIRS!N118)+N(REPAIRS!P118)+N(REPAIRS!R118)+N(REPAIRS!T118)</f>
        <v>0</v>
      </c>
      <c r="F556">
        <f>IF($B$6=11,D556,N(INDEX(REPAIRS!$C118:$T118,1,$B$13)))</f>
        <v>0</v>
      </c>
      <c r="G556">
        <f>IF($B$6=11,E556,N(INDEX(REPAIRS!$C118:$T118,1,$B$13+1)))</f>
        <v>0</v>
      </c>
    </row>
    <row r="557" spans="1:7" x14ac:dyDescent="0.25">
      <c r="A557">
        <v>119</v>
      </c>
      <c r="B557">
        <f>IF(REPAIRS!A119&lt;&gt;"",IFERROR(MATCH(UPPER(LEFT(TRIM(REPAIRS!A119),3)),{"JAN","FEB","MAR","APR","MAY","JUN","JUL","AUG","SEP","OCT","NOV","DEC"},0),""),B556)</f>
        <v>12</v>
      </c>
      <c r="C557" t="str">
        <f>IF(REPAIRS!B119="","",UPPER(TRIM(REPAIRS!B119)))</f>
        <v/>
      </c>
      <c r="D557">
        <f>N(REPAIRS!C119)+N(REPAIRS!E119)+N(REPAIRS!G119)+N(REPAIRS!I119)+N(REPAIRS!K119)+N(REPAIRS!M119)+N(REPAIRS!O119)+N(REPAIRS!Q119)+N(REPAIRS!S119)</f>
        <v>0</v>
      </c>
      <c r="E557">
        <f>N(REPAIRS!D119)+N(REPAIRS!F119)+N(REPAIRS!H119)+N(REPAIRS!J119)+N(REPAIRS!L119)+N(REPAIRS!N119)+N(REPAIRS!P119)+N(REPAIRS!R119)+N(REPAIRS!T119)</f>
        <v>0</v>
      </c>
      <c r="F557">
        <f>IF($B$6=11,D557,N(INDEX(REPAIRS!$C119:$T119,1,$B$13)))</f>
        <v>0</v>
      </c>
      <c r="G557">
        <f>IF($B$6=11,E557,N(INDEX(REPAIRS!$C119:$T119,1,$B$13+1)))</f>
        <v>0</v>
      </c>
    </row>
    <row r="558" spans="1:7" x14ac:dyDescent="0.25">
      <c r="A558">
        <v>120</v>
      </c>
      <c r="B558">
        <f>IF(REPAIRS!A120&lt;&gt;"",IFERROR(MATCH(UPPER(LEFT(TRIM(REPAIRS!A120),3)),{"JAN","FEB","MAR","APR","MAY","JUN","JUL","AUG","SEP","OCT","NOV","DEC"},0),""),B557)</f>
        <v>12</v>
      </c>
      <c r="C558" t="str">
        <f>IF(REPAIRS!B120="","",UPPER(TRIM(REPAIRS!B120)))</f>
        <v/>
      </c>
      <c r="D558">
        <f>N(REPAIRS!C120)+N(REPAIRS!E120)+N(REPAIRS!G120)+N(REPAIRS!I120)+N(REPAIRS!K120)+N(REPAIRS!M120)+N(REPAIRS!O120)+N(REPAIRS!Q120)+N(REPAIRS!S120)</f>
        <v>0</v>
      </c>
      <c r="E558">
        <f>N(REPAIRS!D120)+N(REPAIRS!F120)+N(REPAIRS!H120)+N(REPAIRS!J120)+N(REPAIRS!L120)+N(REPAIRS!N120)+N(REPAIRS!P120)+N(REPAIRS!R120)+N(REPAIRS!T120)</f>
        <v>0</v>
      </c>
      <c r="F558">
        <f>IF($B$6=11,D558,N(INDEX(REPAIRS!$C120:$T120,1,$B$13)))</f>
        <v>0</v>
      </c>
      <c r="G558">
        <f>IF($B$6=11,E558,N(INDEX(REPAIRS!$C120:$T120,1,$B$13+1)))</f>
        <v>0</v>
      </c>
    </row>
    <row r="570" spans="1:3" x14ac:dyDescent="0.25">
      <c r="A570" s="525" t="s">
        <v>717</v>
      </c>
    </row>
    <row r="571" spans="1:3" x14ac:dyDescent="0.25">
      <c r="A571" s="523" t="s">
        <v>718</v>
      </c>
      <c r="B571" s="523" t="s">
        <v>36</v>
      </c>
      <c r="C571" s="523" t="s">
        <v>265</v>
      </c>
    </row>
    <row r="572" spans="1:3" x14ac:dyDescent="0.25">
      <c r="A572">
        <v>3</v>
      </c>
      <c r="B572" t="str">
        <f>IF('AMC-LOG'!A3&lt;&gt;"",TRIM('AMC-LOG'!A3),IF('AMC-LOG'!B3="","",""))</f>
        <v>DJHSM</v>
      </c>
      <c r="C572" t="str">
        <f>IF('AMC-LOG'!B3="","",IF('AMC-LOG'!U3="","",'AMC-LOG'!U3))</f>
        <v>INCOMPLETE</v>
      </c>
    </row>
    <row r="573" spans="1:3" x14ac:dyDescent="0.25">
      <c r="A573">
        <v>4</v>
      </c>
      <c r="B573" t="str">
        <f>IF('AMC-LOG'!A4&lt;&gt;"",TRIM('AMC-LOG'!A4),IF('AMC-LOG'!B4="","",B572))</f>
        <v>DJHSM</v>
      </c>
      <c r="C573" t="str">
        <f>IF('AMC-LOG'!B4="","",IF('AMC-LOG'!U4="","",'AMC-LOG'!U4))</f>
        <v>INCOMPLETE</v>
      </c>
    </row>
    <row r="574" spans="1:3" x14ac:dyDescent="0.25">
      <c r="A574">
        <v>5</v>
      </c>
      <c r="B574" t="str">
        <f>IF('AMC-LOG'!A5&lt;&gt;"",TRIM('AMC-LOG'!A5),IF('AMC-LOG'!B5="","",B573))</f>
        <v>DJHSM</v>
      </c>
      <c r="C574" t="str">
        <f>IF('AMC-LOG'!B5="","",IF('AMC-LOG'!U5="","",'AMC-LOG'!U5))</f>
        <v>ACTIVE</v>
      </c>
    </row>
    <row r="575" spans="1:3" x14ac:dyDescent="0.25">
      <c r="A575">
        <v>6</v>
      </c>
      <c r="B575" t="str">
        <f>IF('AMC-LOG'!A6&lt;&gt;"",TRIM('AMC-LOG'!A6),IF('AMC-LOG'!B6="","",B574))</f>
        <v>DJHSM</v>
      </c>
      <c r="C575" t="str">
        <f>IF('AMC-LOG'!B6="","",IF('AMC-LOG'!U6="","",'AMC-LOG'!U6))</f>
        <v>INCOMPLETE</v>
      </c>
    </row>
    <row r="576" spans="1:3" x14ac:dyDescent="0.25">
      <c r="A576">
        <v>7</v>
      </c>
      <c r="B576" t="str">
        <f>IF('AMC-LOG'!A7&lt;&gt;"",TRIM('AMC-LOG'!A7),IF('AMC-LOG'!B7="","",B575))</f>
        <v>DJHSM</v>
      </c>
      <c r="C576" t="str">
        <f>IF('AMC-LOG'!B7="","",IF('AMC-LOG'!U7="","",'AMC-LOG'!U7))</f>
        <v>EXPIRED</v>
      </c>
    </row>
    <row r="577" spans="1:3" x14ac:dyDescent="0.25">
      <c r="A577">
        <v>8</v>
      </c>
      <c r="B577" t="str">
        <f>IF('AMC-LOG'!A8&lt;&gt;"",TRIM('AMC-LOG'!A8),IF('AMC-LOG'!B8="","",B576))</f>
        <v>DJHSM</v>
      </c>
      <c r="C577" t="str">
        <f>IF('AMC-LOG'!B8="","",IF('AMC-LOG'!U8="","",'AMC-LOG'!U8))</f>
        <v>EXPIRING &lt;=30D</v>
      </c>
    </row>
    <row r="578" spans="1:3" x14ac:dyDescent="0.25">
      <c r="A578">
        <v>9</v>
      </c>
      <c r="B578" t="str">
        <f>IF('AMC-LOG'!A9&lt;&gt;"",TRIM('AMC-LOG'!A9),IF('AMC-LOG'!B9="","",B577))</f>
        <v>DJHSM</v>
      </c>
      <c r="C578" t="str">
        <f>IF('AMC-LOG'!B9="","",IF('AMC-LOG'!U9="","",'AMC-LOG'!U9))</f>
        <v>INCOMPLETE</v>
      </c>
    </row>
    <row r="579" spans="1:3" x14ac:dyDescent="0.25">
      <c r="A579">
        <v>10</v>
      </c>
      <c r="B579" t="str">
        <f>IF('AMC-LOG'!A10&lt;&gt;"",TRIM('AMC-LOG'!A10),IF('AMC-LOG'!B10="","",B578))</f>
        <v>DJG</v>
      </c>
      <c r="C579" t="str">
        <f>IF('AMC-LOG'!B10="","",IF('AMC-LOG'!U10="","",'AMC-LOG'!U10))</f>
        <v>INCOMPLETE</v>
      </c>
    </row>
    <row r="580" spans="1:3" x14ac:dyDescent="0.25">
      <c r="A580">
        <v>11</v>
      </c>
      <c r="B580" t="str">
        <f>IF('AMC-LOG'!A11&lt;&gt;"",TRIM('AMC-LOG'!A11),IF('AMC-LOG'!B11="","",B579))</f>
        <v>DJG</v>
      </c>
      <c r="C580" t="str">
        <f>IF('AMC-LOG'!B11="","",IF('AMC-LOG'!U11="","",'AMC-LOG'!U11))</f>
        <v>INCOMPLETE</v>
      </c>
    </row>
    <row r="581" spans="1:3" x14ac:dyDescent="0.25">
      <c r="A581">
        <v>12</v>
      </c>
      <c r="B581" t="str">
        <f>IF('AMC-LOG'!A12&lt;&gt;"",TRIM('AMC-LOG'!A12),IF('AMC-LOG'!B12="","",B580))</f>
        <v>DJG</v>
      </c>
      <c r="C581" t="str">
        <f>IF('AMC-LOG'!B12="","",IF('AMC-LOG'!U12="","",'AMC-LOG'!U12))</f>
        <v>INCOMPLETE</v>
      </c>
    </row>
    <row r="582" spans="1:3" x14ac:dyDescent="0.25">
      <c r="A582">
        <v>13</v>
      </c>
      <c r="B582" t="str">
        <f>IF('AMC-LOG'!A13&lt;&gt;"",TRIM('AMC-LOG'!A13),IF('AMC-LOG'!B13="","",B581))</f>
        <v>DJG</v>
      </c>
      <c r="C582" t="str">
        <f>IF('AMC-LOG'!B13="","",IF('AMC-LOG'!U13="","",'AMC-LOG'!U13))</f>
        <v>INCOMPLETE</v>
      </c>
    </row>
    <row r="583" spans="1:3" x14ac:dyDescent="0.25">
      <c r="A583">
        <v>14</v>
      </c>
      <c r="B583" t="str">
        <f>IF('AMC-LOG'!A14&lt;&gt;"",TRIM('AMC-LOG'!A14),IF('AMC-LOG'!B14="","",B582))</f>
        <v>DJG</v>
      </c>
      <c r="C583" t="str">
        <f>IF('AMC-LOG'!B14="","",IF('AMC-LOG'!U14="","",'AMC-LOG'!U14))</f>
        <v>INCOMPLETE</v>
      </c>
    </row>
    <row r="584" spans="1:3" x14ac:dyDescent="0.25">
      <c r="A584">
        <v>15</v>
      </c>
      <c r="B584" t="str">
        <f>IF('AMC-LOG'!A15&lt;&gt;"",TRIM('AMC-LOG'!A15),IF('AMC-LOG'!B15="","",B583))</f>
        <v>AKSM</v>
      </c>
      <c r="C584" t="str">
        <f>IF('AMC-LOG'!B15="","",IF('AMC-LOG'!U15="","",'AMC-LOG'!U15))</f>
        <v>ACTIVE</v>
      </c>
    </row>
    <row r="585" spans="1:3" x14ac:dyDescent="0.25">
      <c r="A585">
        <v>16</v>
      </c>
      <c r="B585" t="str">
        <f>IF('AMC-LOG'!A16&lt;&gt;"",TRIM('AMC-LOG'!A16),IF('AMC-LOG'!B16="","",B584))</f>
        <v>AKSM</v>
      </c>
      <c r="C585" t="str">
        <f>IF('AMC-LOG'!B16="","",IF('AMC-LOG'!U16="","",'AMC-LOG'!U16))</f>
        <v>ACTIVE</v>
      </c>
    </row>
    <row r="586" spans="1:3" x14ac:dyDescent="0.25">
      <c r="A586">
        <v>17</v>
      </c>
      <c r="B586" t="str">
        <f>IF('AMC-LOG'!A17&lt;&gt;"",TRIM('AMC-LOG'!A17),IF('AMC-LOG'!B17="","",B585))</f>
        <v>AKSM</v>
      </c>
      <c r="C586" t="str">
        <f>IF('AMC-LOG'!B17="","",IF('AMC-LOG'!U17="","",'AMC-LOG'!U17))</f>
        <v>EXPIRING &lt;=90D</v>
      </c>
    </row>
    <row r="587" spans="1:3" x14ac:dyDescent="0.25">
      <c r="A587">
        <v>18</v>
      </c>
      <c r="B587" t="str">
        <f>IF('AMC-LOG'!A18&lt;&gt;"",TRIM('AMC-LOG'!A18),IF('AMC-LOG'!B18="","",B586))</f>
        <v>AKSM</v>
      </c>
      <c r="C587" t="str">
        <f>IF('AMC-LOG'!B18="","",IF('AMC-LOG'!U18="","",'AMC-LOG'!U18))</f>
        <v>INCOMPLETE</v>
      </c>
    </row>
    <row r="588" spans="1:3" x14ac:dyDescent="0.25">
      <c r="A588">
        <v>19</v>
      </c>
      <c r="B588" t="str">
        <f>IF('AMC-LOG'!A19&lt;&gt;"",TRIM('AMC-LOG'!A19),IF('AMC-LOG'!B19="","",B587))</f>
        <v>AKSM</v>
      </c>
      <c r="C588" t="str">
        <f>IF('AMC-LOG'!B19="","",IF('AMC-LOG'!U19="","",'AMC-LOG'!U19))</f>
        <v>ACTIVE</v>
      </c>
    </row>
    <row r="589" spans="1:3" x14ac:dyDescent="0.25">
      <c r="A589">
        <v>20</v>
      </c>
      <c r="B589" t="str">
        <f>IF('AMC-LOG'!A20&lt;&gt;"",TRIM('AMC-LOG'!A20),IF('AMC-LOG'!B20="","",B588))</f>
        <v>AKSM</v>
      </c>
      <c r="C589" t="str">
        <f>IF('AMC-LOG'!B20="","",IF('AMC-LOG'!U20="","",'AMC-LOG'!U20))</f>
        <v>ACTIVE</v>
      </c>
    </row>
    <row r="590" spans="1:3" x14ac:dyDescent="0.25">
      <c r="A590">
        <v>21</v>
      </c>
      <c r="B590" t="str">
        <f>IF('AMC-LOG'!A21&lt;&gt;"",TRIM('AMC-LOG'!A21),IF('AMC-LOG'!B21="","",B589))</f>
        <v>AKSM</v>
      </c>
      <c r="C590" t="str">
        <f>IF('AMC-LOG'!B21="","",IF('AMC-LOG'!U21="","",'AMC-LOG'!U21))</f>
        <v>EXPIRING &lt;=90D</v>
      </c>
    </row>
    <row r="591" spans="1:3" x14ac:dyDescent="0.25">
      <c r="A591">
        <v>22</v>
      </c>
      <c r="B591" t="str">
        <f>IF('AMC-LOG'!A22&lt;&gt;"",TRIM('AMC-LOG'!A22),IF('AMC-LOG'!B22="","",B590))</f>
        <v>AKSM</v>
      </c>
      <c r="C591" t="str">
        <f>IF('AMC-LOG'!B22="","",IF('AMC-LOG'!U22="","",'AMC-LOG'!U22))</f>
        <v>EXPIRING &lt;=90D</v>
      </c>
    </row>
    <row r="592" spans="1:3" x14ac:dyDescent="0.25">
      <c r="A592">
        <v>23</v>
      </c>
      <c r="B592" t="str">
        <f>IF('AMC-LOG'!A23&lt;&gt;"",TRIM('AMC-LOG'!A23),IF('AMC-LOG'!B23="","",B591))</f>
        <v>AKSM</v>
      </c>
      <c r="C592" t="str">
        <f>IF('AMC-LOG'!B23="","",IF('AMC-LOG'!U23="","",'AMC-LOG'!U23))</f>
        <v>EXPIRED</v>
      </c>
    </row>
    <row r="593" spans="1:3" x14ac:dyDescent="0.25">
      <c r="A593">
        <v>24</v>
      </c>
      <c r="B593" t="str">
        <f>IF('AMC-LOG'!A24&lt;&gt;"",TRIM('AMC-LOG'!A24),IF('AMC-LOG'!B24="","",B592))</f>
        <v>AKSM</v>
      </c>
      <c r="C593" t="str">
        <f>IF('AMC-LOG'!B24="","",IF('AMC-LOG'!U24="","",'AMC-LOG'!U24))</f>
        <v>EXPIRED</v>
      </c>
    </row>
    <row r="594" spans="1:3" x14ac:dyDescent="0.25">
      <c r="A594">
        <v>25</v>
      </c>
      <c r="B594" t="str">
        <f>IF('AMC-LOG'!A25&lt;&gt;"",TRIM('AMC-LOG'!A25),IF('AMC-LOG'!B25="","",B593))</f>
        <v>AKSM</v>
      </c>
      <c r="C594" t="str">
        <f>IF('AMC-LOG'!B25="","",IF('AMC-LOG'!U25="","",'AMC-LOG'!U25))</f>
        <v>INCOMPLETE</v>
      </c>
    </row>
    <row r="595" spans="1:3" x14ac:dyDescent="0.25">
      <c r="A595">
        <v>26</v>
      </c>
      <c r="B595" t="str">
        <f>IF('AMC-LOG'!A26&lt;&gt;"",TRIM('AMC-LOG'!A26),IF('AMC-LOG'!B26="","",B594))</f>
        <v>AKSM</v>
      </c>
      <c r="C595" t="str">
        <f>IF('AMC-LOG'!B26="","",IF('AMC-LOG'!U26="","",'AMC-LOG'!U26))</f>
        <v>INCOMPLETE</v>
      </c>
    </row>
    <row r="596" spans="1:3" x14ac:dyDescent="0.25">
      <c r="A596">
        <v>27</v>
      </c>
      <c r="B596" t="str">
        <f>IF('AMC-LOG'!A27&lt;&gt;"",TRIM('AMC-LOG'!A27),IF('AMC-LOG'!B27="","",B595))</f>
        <v>AKSS</v>
      </c>
      <c r="C596" t="str">
        <f>IF('AMC-LOG'!B27="","",IF('AMC-LOG'!U27="","",'AMC-LOG'!U27))</f>
        <v>INCOMPLETE</v>
      </c>
    </row>
    <row r="597" spans="1:3" x14ac:dyDescent="0.25">
      <c r="A597">
        <v>28</v>
      </c>
      <c r="B597" t="str">
        <f>IF('AMC-LOG'!A28&lt;&gt;"",TRIM('AMC-LOG'!A28),IF('AMC-LOG'!B28="","",B596))</f>
        <v>AKSS</v>
      </c>
      <c r="C597" t="str">
        <f>IF('AMC-LOG'!B28="","",IF('AMC-LOG'!U28="","",'AMC-LOG'!U28))</f>
        <v>INCOMPLETE</v>
      </c>
    </row>
    <row r="598" spans="1:3" x14ac:dyDescent="0.25">
      <c r="A598">
        <v>29</v>
      </c>
      <c r="B598" t="str">
        <f>IF('AMC-LOG'!A29&lt;&gt;"",TRIM('AMC-LOG'!A29),IF('AMC-LOG'!B29="","",B597))</f>
        <v>AKSS</v>
      </c>
      <c r="C598" t="str">
        <f>IF('AMC-LOG'!B29="","",IF('AMC-LOG'!U29="","",'AMC-LOG'!U29))</f>
        <v>INCOMPLETE</v>
      </c>
    </row>
    <row r="599" spans="1:3" x14ac:dyDescent="0.25">
      <c r="A599">
        <v>30</v>
      </c>
      <c r="B599" t="str">
        <f>IF('AMC-LOG'!A30&lt;&gt;"",TRIM('AMC-LOG'!A30),IF('AMC-LOG'!B30="","",B598))</f>
        <v>AKSS</v>
      </c>
      <c r="C599" t="str">
        <f>IF('AMC-LOG'!B30="","",IF('AMC-LOG'!U30="","",'AMC-LOG'!U30))</f>
        <v>INCOMPLETE</v>
      </c>
    </row>
    <row r="600" spans="1:3" x14ac:dyDescent="0.25">
      <c r="A600">
        <v>31</v>
      </c>
      <c r="B600" t="str">
        <f>IF('AMC-LOG'!A31&lt;&gt;"",TRIM('AMC-LOG'!A31),IF('AMC-LOG'!B31="","",B599))</f>
        <v>AKSS</v>
      </c>
      <c r="C600" t="str">
        <f>IF('AMC-LOG'!B31="","",IF('AMC-LOG'!U31="","",'AMC-LOG'!U31))</f>
        <v>INCOMPLETE</v>
      </c>
    </row>
    <row r="601" spans="1:3" x14ac:dyDescent="0.25">
      <c r="A601">
        <v>32</v>
      </c>
      <c r="B601" t="str">
        <f>IF('AMC-LOG'!A32&lt;&gt;"",TRIM('AMC-LOG'!A32),IF('AMC-LOG'!B32="","",B600))</f>
        <v>AKSS</v>
      </c>
      <c r="C601" t="str">
        <f>IF('AMC-LOG'!B32="","",IF('AMC-LOG'!U32="","",'AMC-LOG'!U32))</f>
        <v>INCOMPLETE</v>
      </c>
    </row>
    <row r="602" spans="1:3" x14ac:dyDescent="0.25">
      <c r="A602">
        <v>33</v>
      </c>
      <c r="B602" t="str">
        <f>IF('AMC-LOG'!A33&lt;&gt;"",TRIM('AMC-LOG'!A33),IF('AMC-LOG'!B33="","",B601))</f>
        <v>AKSS</v>
      </c>
      <c r="C602" t="str">
        <f>IF('AMC-LOG'!B33="","",IF('AMC-LOG'!U33="","",'AMC-LOG'!U33))</f>
        <v>INCOMPLETE</v>
      </c>
    </row>
    <row r="603" spans="1:3" x14ac:dyDescent="0.25">
      <c r="A603">
        <v>34</v>
      </c>
      <c r="B603" t="str">
        <f>IF('AMC-LOG'!A34&lt;&gt;"",TRIM('AMC-LOG'!A34),IF('AMC-LOG'!B34="","",B602))</f>
        <v>AKSS</v>
      </c>
      <c r="C603" t="str">
        <f>IF('AMC-LOG'!B34="","",IF('AMC-LOG'!U34="","",'AMC-LOG'!U34))</f>
        <v>DATE ERROR</v>
      </c>
    </row>
    <row r="604" spans="1:3" x14ac:dyDescent="0.25">
      <c r="A604">
        <v>35</v>
      </c>
      <c r="B604" t="str">
        <f>IF('AMC-LOG'!A35&lt;&gt;"",TRIM('AMC-LOG'!A35),IF('AMC-LOG'!B35="","",B603))</f>
        <v>AKSC</v>
      </c>
      <c r="C604" t="str">
        <f>IF('AMC-LOG'!B35="","",IF('AMC-LOG'!U35="","",'AMC-LOG'!U35))</f>
        <v>INCOMPLETE</v>
      </c>
    </row>
    <row r="605" spans="1:3" x14ac:dyDescent="0.25">
      <c r="A605">
        <v>36</v>
      </c>
      <c r="B605" t="str">
        <f>IF('AMC-LOG'!A36&lt;&gt;"",TRIM('AMC-LOG'!A36),IF('AMC-LOG'!B36="","",B604))</f>
        <v>AKSC</v>
      </c>
      <c r="C605" t="str">
        <f>IF('AMC-LOG'!B36="","",IF('AMC-LOG'!U36="","",'AMC-LOG'!U36))</f>
        <v>INCOMPLETE</v>
      </c>
    </row>
    <row r="606" spans="1:3" x14ac:dyDescent="0.25">
      <c r="A606">
        <v>37</v>
      </c>
      <c r="B606" t="str">
        <f>IF('AMC-LOG'!A37&lt;&gt;"",TRIM('AMC-LOG'!A37),IF('AMC-LOG'!B37="","",B605))</f>
        <v>AKSC</v>
      </c>
      <c r="C606" t="str">
        <f>IF('AMC-LOG'!B37="","",IF('AMC-LOG'!U37="","",'AMC-LOG'!U37))</f>
        <v>ACTIVE</v>
      </c>
    </row>
    <row r="607" spans="1:3" x14ac:dyDescent="0.25">
      <c r="A607">
        <v>38</v>
      </c>
      <c r="B607" t="str">
        <f>IF('AMC-LOG'!A38&lt;&gt;"",TRIM('AMC-LOG'!A38),IF('AMC-LOG'!B38="","",B606))</f>
        <v>AKSC</v>
      </c>
      <c r="C607" t="str">
        <f>IF('AMC-LOG'!B38="","",IF('AMC-LOG'!U38="","",'AMC-LOG'!U38))</f>
        <v>ACTIVE</v>
      </c>
    </row>
    <row r="608" spans="1:3" x14ac:dyDescent="0.25">
      <c r="A608">
        <v>39</v>
      </c>
      <c r="B608" t="str">
        <f>IF('AMC-LOG'!A39&lt;&gt;"",TRIM('AMC-LOG'!A39),IF('AMC-LOG'!B39="","",B607))</f>
        <v>AKSC</v>
      </c>
      <c r="C608" t="str">
        <f>IF('AMC-LOG'!B39="","",IF('AMC-LOG'!U39="","",'AMC-LOG'!U39))</f>
        <v>INCOMPLETE</v>
      </c>
    </row>
    <row r="609" spans="1:3" x14ac:dyDescent="0.25">
      <c r="A609">
        <v>40</v>
      </c>
      <c r="B609" t="str">
        <f>IF('AMC-LOG'!A40&lt;&gt;"",TRIM('AMC-LOG'!A40),IF('AMC-LOG'!B40="","",B608))</f>
        <v>AKSC</v>
      </c>
      <c r="C609" t="str">
        <f>IF('AMC-LOG'!B40="","",IF('AMC-LOG'!U40="","",'AMC-LOG'!U40))</f>
        <v>INCOMPLETE</v>
      </c>
    </row>
    <row r="610" spans="1:3" x14ac:dyDescent="0.25">
      <c r="A610">
        <v>41</v>
      </c>
      <c r="B610" t="str">
        <f>IF('AMC-LOG'!A41&lt;&gt;"",TRIM('AMC-LOG'!A41),IF('AMC-LOG'!B41="","",B609))</f>
        <v>AKSC</v>
      </c>
      <c r="C610" t="str">
        <f>IF('AMC-LOG'!B41="","",IF('AMC-LOG'!U41="","",'AMC-LOG'!U41))</f>
        <v>ACTIVE</v>
      </c>
    </row>
    <row r="611" spans="1:3" x14ac:dyDescent="0.25">
      <c r="A611">
        <v>42</v>
      </c>
      <c r="B611" t="str">
        <f>IF('AMC-LOG'!A42&lt;&gt;"",TRIM('AMC-LOG'!A42),IF('AMC-LOG'!B42="","",B610))</f>
        <v>AKSC</v>
      </c>
      <c r="C611" t="str">
        <f>IF('AMC-LOG'!B42="","",IF('AMC-LOG'!U42="","",'AMC-LOG'!U42))</f>
        <v>ACTIVE</v>
      </c>
    </row>
    <row r="612" spans="1:3" x14ac:dyDescent="0.25">
      <c r="A612">
        <v>43</v>
      </c>
      <c r="B612" t="str">
        <f>IF('AMC-LOG'!A43&lt;&gt;"",TRIM('AMC-LOG'!A43),IF('AMC-LOG'!B43="","",B611))</f>
        <v>AKSC</v>
      </c>
      <c r="C612" t="str">
        <f>IF('AMC-LOG'!B43="","",IF('AMC-LOG'!U43="","",'AMC-LOG'!U43))</f>
        <v>ACTIVE</v>
      </c>
    </row>
    <row r="613" spans="1:3" x14ac:dyDescent="0.25">
      <c r="A613">
        <v>44</v>
      </c>
      <c r="B613" t="str">
        <f>IF('AMC-LOG'!A44&lt;&gt;"",TRIM('AMC-LOG'!A44),IF('AMC-LOG'!B44="","",B612))</f>
        <v>DJHSH (P)</v>
      </c>
      <c r="C613" t="str">
        <f>IF('AMC-LOG'!B44="","",IF('AMC-LOG'!U44="","",'AMC-LOG'!U44))</f>
        <v>INCOMPLETE</v>
      </c>
    </row>
    <row r="614" spans="1:3" x14ac:dyDescent="0.25">
      <c r="A614">
        <v>45</v>
      </c>
      <c r="B614" t="str">
        <f>IF('AMC-LOG'!A45&lt;&gt;"",TRIM('AMC-LOG'!A45),IF('AMC-LOG'!B45="","",B613))</f>
        <v>DJHSH (P)</v>
      </c>
      <c r="C614" t="str">
        <f>IF('AMC-LOG'!B45="","",IF('AMC-LOG'!U45="","",'AMC-LOG'!U45))</f>
        <v>INCOMPLETE</v>
      </c>
    </row>
    <row r="615" spans="1:3" x14ac:dyDescent="0.25">
      <c r="A615">
        <v>46</v>
      </c>
      <c r="B615" t="str">
        <f>IF('AMC-LOG'!A46&lt;&gt;"",TRIM('AMC-LOG'!A46),IF('AMC-LOG'!B46="","",B614))</f>
        <v>DJHSH (P)</v>
      </c>
      <c r="C615" t="str">
        <f>IF('AMC-LOG'!B46="","",IF('AMC-LOG'!U46="","",'AMC-LOG'!U46))</f>
        <v>EXPIRED</v>
      </c>
    </row>
    <row r="616" spans="1:3" x14ac:dyDescent="0.25">
      <c r="A616">
        <v>47</v>
      </c>
      <c r="B616" t="str">
        <f>IF('AMC-LOG'!A47&lt;&gt;"",TRIM('AMC-LOG'!A47),IF('AMC-LOG'!B47="","",B615))</f>
        <v>DJHSH (P)</v>
      </c>
      <c r="C616" t="str">
        <f>IF('AMC-LOG'!B47="","",IF('AMC-LOG'!U47="","",'AMC-LOG'!U47))</f>
        <v>EXPIRED</v>
      </c>
    </row>
    <row r="617" spans="1:3" x14ac:dyDescent="0.25">
      <c r="A617">
        <v>48</v>
      </c>
      <c r="B617" t="str">
        <f>IF('AMC-LOG'!A48&lt;&gt;"",TRIM('AMC-LOG'!A48),IF('AMC-LOG'!B48="","",B616))</f>
        <v>DJHSH (P)</v>
      </c>
      <c r="C617" t="str">
        <f>IF('AMC-LOG'!B48="","",IF('AMC-LOG'!U48="","",'AMC-LOG'!U48))</f>
        <v>INCOMPLETE</v>
      </c>
    </row>
    <row r="618" spans="1:3" x14ac:dyDescent="0.25">
      <c r="A618">
        <v>49</v>
      </c>
      <c r="B618" t="str">
        <f>IF('AMC-LOG'!A49&lt;&gt;"",TRIM('AMC-LOG'!A49),IF('AMC-LOG'!B49="","",B617))</f>
        <v>DJHSH (P)</v>
      </c>
      <c r="C618" t="str">
        <f>IF('AMC-LOG'!B49="","",IF('AMC-LOG'!U49="","",'AMC-LOG'!U49))</f>
        <v>INCOMPLETE</v>
      </c>
    </row>
    <row r="619" spans="1:3" x14ac:dyDescent="0.25">
      <c r="A619">
        <v>50</v>
      </c>
      <c r="B619" t="str">
        <f>IF('AMC-LOG'!A50&lt;&gt;"",TRIM('AMC-LOG'!A50),IF('AMC-LOG'!B50="","",B618))</f>
        <v>DJHSH (H)</v>
      </c>
      <c r="C619" t="str">
        <f>IF('AMC-LOG'!B50="","",IF('AMC-LOG'!U50="","",'AMC-LOG'!U50))</f>
        <v>INCOMPLETE</v>
      </c>
    </row>
    <row r="620" spans="1:3" x14ac:dyDescent="0.25">
      <c r="A620">
        <v>51</v>
      </c>
      <c r="B620" t="str">
        <f>IF('AMC-LOG'!A51&lt;&gt;"",TRIM('AMC-LOG'!A51),IF('AMC-LOG'!B51="","",B619))</f>
        <v>DJHSH (H)</v>
      </c>
      <c r="C620" t="str">
        <f>IF('AMC-LOG'!B51="","",IF('AMC-LOG'!U51="","",'AMC-LOG'!U51))</f>
        <v>INCOMPLETE</v>
      </c>
    </row>
    <row r="621" spans="1:3" x14ac:dyDescent="0.25">
      <c r="A621">
        <v>52</v>
      </c>
      <c r="B621" t="str">
        <f>IF('AMC-LOG'!A52&lt;&gt;"",TRIM('AMC-LOG'!A52),IF('AMC-LOG'!B52="","",B620))</f>
        <v>DJHSH (H)</v>
      </c>
      <c r="C621" t="str">
        <f>IF('AMC-LOG'!B52="","",IF('AMC-LOG'!U52="","",'AMC-LOG'!U52))</f>
        <v>EXPIRED</v>
      </c>
    </row>
    <row r="622" spans="1:3" x14ac:dyDescent="0.25">
      <c r="A622">
        <v>53</v>
      </c>
      <c r="B622" t="str">
        <f>IF('AMC-LOG'!A53&lt;&gt;"",TRIM('AMC-LOG'!A53),IF('AMC-LOG'!B53="","",B621))</f>
        <v>DJHSH (H)</v>
      </c>
      <c r="C622" t="str">
        <f>IF('AMC-LOG'!B53="","",IF('AMC-LOG'!U53="","",'AMC-LOG'!U53))</f>
        <v>EXPIRED</v>
      </c>
    </row>
    <row r="623" spans="1:3" x14ac:dyDescent="0.25">
      <c r="A623">
        <v>54</v>
      </c>
      <c r="B623" t="str">
        <f>IF('AMC-LOG'!A54&lt;&gt;"",TRIM('AMC-LOG'!A54),IF('AMC-LOG'!B54="","",B622))</f>
        <v>DJHSH (H)</v>
      </c>
      <c r="C623" t="str">
        <f>IF('AMC-LOG'!B54="","",IF('AMC-LOG'!U54="","",'AMC-LOG'!U54))</f>
        <v>ACTIVE</v>
      </c>
    </row>
    <row r="624" spans="1:3" x14ac:dyDescent="0.25">
      <c r="A624">
        <v>55</v>
      </c>
      <c r="B624" t="str">
        <f>IF('AMC-LOG'!A55&lt;&gt;"",TRIM('AMC-LOG'!A55),IF('AMC-LOG'!B55="","",B623))</f>
        <v>DJHSH (H)</v>
      </c>
      <c r="C624" t="str">
        <f>IF('AMC-LOG'!B55="","",IF('AMC-LOG'!U55="","",'AMC-LOG'!U55))</f>
        <v>INCOMPLETE</v>
      </c>
    </row>
    <row r="625" spans="1:3" x14ac:dyDescent="0.25">
      <c r="A625">
        <v>56</v>
      </c>
      <c r="B625" t="str">
        <f>IF('AMC-LOG'!A56&lt;&gt;"",TRIM('AMC-LOG'!A56),IF('AMC-LOG'!B56="","",B624))</f>
        <v>PJHSW</v>
      </c>
      <c r="C625" t="str">
        <f>IF('AMC-LOG'!B56="","",IF('AMC-LOG'!U56="","",'AMC-LOG'!U56))</f>
        <v>INCOMPLETE</v>
      </c>
    </row>
    <row r="626" spans="1:3" x14ac:dyDescent="0.25">
      <c r="A626">
        <v>57</v>
      </c>
      <c r="B626" t="str">
        <f>IF('AMC-LOG'!A57&lt;&gt;"",TRIM('AMC-LOG'!A57),IF('AMC-LOG'!B57="","",B625))</f>
        <v>PJHSW</v>
      </c>
      <c r="C626" t="str">
        <f>IF('AMC-LOG'!B57="","",IF('AMC-LOG'!U57="","",'AMC-LOG'!U57))</f>
        <v>INCOMPLETE</v>
      </c>
    </row>
    <row r="627" spans="1:3" x14ac:dyDescent="0.25">
      <c r="A627">
        <v>58</v>
      </c>
      <c r="B627" t="str">
        <f>IF('AMC-LOG'!A58&lt;&gt;"",TRIM('AMC-LOG'!A58),IF('AMC-LOG'!B58="","",B626))</f>
        <v>PJHSW</v>
      </c>
      <c r="C627" t="str">
        <f>IF('AMC-LOG'!B58="","",IF('AMC-LOG'!U58="","",'AMC-LOG'!U58))</f>
        <v>EXPIRED</v>
      </c>
    </row>
    <row r="628" spans="1:3" x14ac:dyDescent="0.25">
      <c r="A628">
        <v>59</v>
      </c>
      <c r="B628" t="str">
        <f>IF('AMC-LOG'!A59&lt;&gt;"",TRIM('AMC-LOG'!A59),IF('AMC-LOG'!B59="","",B627))</f>
        <v>PJHSW</v>
      </c>
      <c r="C628" t="str">
        <f>IF('AMC-LOG'!B59="","",IF('AMC-LOG'!U59="","",'AMC-LOG'!U59))</f>
        <v>EXPIRED</v>
      </c>
    </row>
    <row r="629" spans="1:3" x14ac:dyDescent="0.25">
      <c r="A629">
        <v>60</v>
      </c>
      <c r="B629" t="str">
        <f>IF('AMC-LOG'!A60&lt;&gt;"",TRIM('AMC-LOG'!A60),IF('AMC-LOG'!B60="","",B628))</f>
        <v>PJHSW</v>
      </c>
      <c r="C629" t="str">
        <f>IF('AMC-LOG'!B60="","",IF('AMC-LOG'!U60="","",'AMC-LOG'!U60))</f>
        <v>INCOMPLETE</v>
      </c>
    </row>
    <row r="630" spans="1:3" x14ac:dyDescent="0.25">
      <c r="A630">
        <v>61</v>
      </c>
      <c r="B630" t="str">
        <f>IF('AMC-LOG'!A61&lt;&gt;"",TRIM('AMC-LOG'!A61),IF('AMC-LOG'!B61="","",B629))</f>
        <v>PJHSW</v>
      </c>
      <c r="C630" t="str">
        <f>IF('AMC-LOG'!B61="","",IF('AMC-LOG'!U61="","",'AMC-LOG'!U61))</f>
        <v>INCOMPLETE</v>
      </c>
    </row>
    <row r="631" spans="1:3" x14ac:dyDescent="0.25">
      <c r="A631">
        <v>62</v>
      </c>
      <c r="B631" t="str">
        <f>IF('AMC-LOG'!A62&lt;&gt;"",TRIM('AMC-LOG'!A62),IF('AMC-LOG'!B62="","",B630))</f>
        <v>LSHSA</v>
      </c>
      <c r="C631" t="str">
        <f>IF('AMC-LOG'!B62="","",IF('AMC-LOG'!U62="","",'AMC-LOG'!U62))</f>
        <v>INCOMPLETE</v>
      </c>
    </row>
    <row r="632" spans="1:3" x14ac:dyDescent="0.25">
      <c r="A632">
        <v>63</v>
      </c>
      <c r="B632" t="str">
        <f>IF('AMC-LOG'!A63&lt;&gt;"",TRIM('AMC-LOG'!A63),IF('AMC-LOG'!B63="","",B631))</f>
        <v>LSHSA</v>
      </c>
      <c r="C632" t="str">
        <f>IF('AMC-LOG'!B63="","",IF('AMC-LOG'!U63="","",'AMC-LOG'!U63))</f>
        <v>INCOMPLETE</v>
      </c>
    </row>
    <row r="633" spans="1:3" x14ac:dyDescent="0.25">
      <c r="A633">
        <v>64</v>
      </c>
      <c r="B633" t="str">
        <f>IF('AMC-LOG'!A64&lt;&gt;"",TRIM('AMC-LOG'!A64),IF('AMC-LOG'!B64="","",B632))</f>
        <v>LSHSA</v>
      </c>
      <c r="C633" t="str">
        <f>IF('AMC-LOG'!B64="","",IF('AMC-LOG'!U64="","",'AMC-LOG'!U64))</f>
        <v>EXPIRED</v>
      </c>
    </row>
    <row r="634" spans="1:3" x14ac:dyDescent="0.25">
      <c r="A634">
        <v>65</v>
      </c>
      <c r="B634" t="str">
        <f>IF('AMC-LOG'!A65&lt;&gt;"",TRIM('AMC-LOG'!A65),IF('AMC-LOG'!B65="","",B633))</f>
        <v>LSHSA</v>
      </c>
      <c r="C634" t="str">
        <f>IF('AMC-LOG'!B65="","",IF('AMC-LOG'!U65="","",'AMC-LOG'!U65))</f>
        <v>INCOMPLETE</v>
      </c>
    </row>
    <row r="635" spans="1:3" x14ac:dyDescent="0.25">
      <c r="A635">
        <v>66</v>
      </c>
      <c r="B635" t="str">
        <f>IF('AMC-LOG'!A66&lt;&gt;"",TRIM('AMC-LOG'!A66),IF('AMC-LOG'!B66="","",B634))</f>
        <v>LSHSA</v>
      </c>
      <c r="C635" t="str">
        <f>IF('AMC-LOG'!B66="","",IF('AMC-LOG'!U66="","",'AMC-LOG'!U66))</f>
        <v>EXPIRED</v>
      </c>
    </row>
    <row r="636" spans="1:3" x14ac:dyDescent="0.25">
      <c r="A636">
        <v>67</v>
      </c>
      <c r="B636" t="str">
        <f>IF('AMC-LOG'!A67&lt;&gt;"",TRIM('AMC-LOG'!A67),IF('AMC-LOG'!B67="","",B635))</f>
        <v>AKHH</v>
      </c>
      <c r="C636" t="str">
        <f>IF('AMC-LOG'!B67="","",IF('AMC-LOG'!U67="","",'AMC-LOG'!U67))</f>
        <v>INCOMPLETE</v>
      </c>
    </row>
    <row r="637" spans="1:3" x14ac:dyDescent="0.25">
      <c r="A637">
        <v>68</v>
      </c>
      <c r="B637" t="str">
        <f>IF('AMC-LOG'!A68&lt;&gt;"",TRIM('AMC-LOG'!A68),IF('AMC-LOG'!B68="","",B636))</f>
        <v>AKHH</v>
      </c>
      <c r="C637" t="str">
        <f>IF('AMC-LOG'!B68="","",IF('AMC-LOG'!U68="","",'AMC-LOG'!U68))</f>
        <v>INCOMPLETE</v>
      </c>
    </row>
    <row r="638" spans="1:3" x14ac:dyDescent="0.25">
      <c r="A638">
        <v>69</v>
      </c>
      <c r="B638" t="str">
        <f>IF('AMC-LOG'!A69&lt;&gt;"",TRIM('AMC-LOG'!A69),IF('AMC-LOG'!B69="","",B637))</f>
        <v>AKHH</v>
      </c>
      <c r="C638" t="str">
        <f>IF('AMC-LOG'!B69="","",IF('AMC-LOG'!U69="","",'AMC-LOG'!U69))</f>
        <v>EXPIRED</v>
      </c>
    </row>
    <row r="639" spans="1:3" x14ac:dyDescent="0.25">
      <c r="A639">
        <v>70</v>
      </c>
      <c r="B639" t="str">
        <f>IF('AMC-LOG'!A70&lt;&gt;"",TRIM('AMC-LOG'!A70),IF('AMC-LOG'!B70="","",B638))</f>
        <v>AKHH</v>
      </c>
      <c r="C639" t="str">
        <f>IF('AMC-LOG'!B70="","",IF('AMC-LOG'!U70="","",'AMC-LOG'!U70))</f>
        <v>INCOMPLETE</v>
      </c>
    </row>
    <row r="640" spans="1:3" x14ac:dyDescent="0.25">
      <c r="A640">
        <v>71</v>
      </c>
      <c r="B640" t="str">
        <f>IF('AMC-LOG'!A71&lt;&gt;"",TRIM('AMC-LOG'!A71),IF('AMC-LOG'!B71="","",B639))</f>
        <v>AKHH</v>
      </c>
      <c r="C640" t="str">
        <f>IF('AMC-LOG'!B71="","",IF('AMC-LOG'!U71="","",'AMC-LOG'!U71))</f>
        <v>INCOMPLETE</v>
      </c>
    </row>
    <row r="641" spans="1:3" x14ac:dyDescent="0.25">
      <c r="A641">
        <v>72</v>
      </c>
      <c r="B641" t="str">
        <f>IF('AMC-LOG'!A72&lt;&gt;"",TRIM('AMC-LOG'!A72),IF('AMC-LOG'!B72="","",B640))</f>
        <v>AKHH</v>
      </c>
      <c r="C641" t="str">
        <f>IF('AMC-LOG'!B72="","",IF('AMC-LOG'!U72="","",'AMC-LOG'!U72))</f>
        <v>INCOMPLETE</v>
      </c>
    </row>
    <row r="642" spans="1:3" x14ac:dyDescent="0.25">
      <c r="A642">
        <v>73</v>
      </c>
      <c r="B642" t="str">
        <f>IF('AMC-LOG'!A73&lt;&gt;"",TRIM('AMC-LOG'!A73),IF('AMC-LOG'!B73="","",B641))</f>
        <v>AKHH</v>
      </c>
      <c r="C642" t="str">
        <f>IF('AMC-LOG'!B73="","",IF('AMC-LOG'!U73="","",'AMC-LOG'!U73))</f>
        <v>ACTIVE</v>
      </c>
    </row>
    <row r="643" spans="1:3" x14ac:dyDescent="0.25">
      <c r="A643">
        <v>74</v>
      </c>
      <c r="B643" t="str">
        <f>IF('AMC-LOG'!A74&lt;&gt;"",TRIM('AMC-LOG'!A74),IF('AMC-LOG'!B74="","",B642))</f>
        <v/>
      </c>
      <c r="C643" t="str">
        <f>IF('AMC-LOG'!B74="","",IF('AMC-LOG'!U74="","",'AMC-LOG'!U74))</f>
        <v/>
      </c>
    </row>
    <row r="644" spans="1:3" x14ac:dyDescent="0.25">
      <c r="A644">
        <v>75</v>
      </c>
      <c r="B644" t="str">
        <f>IF('AMC-LOG'!A75&lt;&gt;"",TRIM('AMC-LOG'!A75),IF('AMC-LOG'!B75="","",B643))</f>
        <v/>
      </c>
      <c r="C644" t="str">
        <f>IF('AMC-LOG'!B75="","",IF('AMC-LOG'!U75="","",'AMC-LOG'!U75))</f>
        <v/>
      </c>
    </row>
    <row r="645" spans="1:3" x14ac:dyDescent="0.25">
      <c r="A645">
        <v>76</v>
      </c>
      <c r="B645" t="str">
        <f>IF('AMC-LOG'!A76&lt;&gt;"",TRIM('AMC-LOG'!A76),IF('AMC-LOG'!B76="","",B644))</f>
        <v/>
      </c>
      <c r="C645" t="str">
        <f>IF('AMC-LOG'!B76="","",IF('AMC-LOG'!U76="","",'AMC-LOG'!U76))</f>
        <v/>
      </c>
    </row>
    <row r="646" spans="1:3" x14ac:dyDescent="0.25">
      <c r="A646">
        <v>77</v>
      </c>
      <c r="B646" t="str">
        <f>IF('AMC-LOG'!A77&lt;&gt;"",TRIM('AMC-LOG'!A77),IF('AMC-LOG'!B77="","",B645))</f>
        <v/>
      </c>
      <c r="C646" t="str">
        <f>IF('AMC-LOG'!B77="","",IF('AMC-LOG'!U77="","",'AMC-LOG'!U77))</f>
        <v/>
      </c>
    </row>
    <row r="647" spans="1:3" x14ac:dyDescent="0.25">
      <c r="A647">
        <v>78</v>
      </c>
      <c r="B647" t="str">
        <f>IF('AMC-LOG'!A78&lt;&gt;"",TRIM('AMC-LOG'!A78),IF('AMC-LOG'!B78="","",B646))</f>
        <v/>
      </c>
      <c r="C647" t="str">
        <f>IF('AMC-LOG'!B78="","",IF('AMC-LOG'!U78="","",'AMC-LOG'!U78))</f>
        <v/>
      </c>
    </row>
    <row r="648" spans="1:3" x14ac:dyDescent="0.25">
      <c r="A648">
        <v>79</v>
      </c>
      <c r="B648" t="str">
        <f>IF('AMC-LOG'!A79&lt;&gt;"",TRIM('AMC-LOG'!A79),IF('AMC-LOG'!B79="","",B647))</f>
        <v/>
      </c>
      <c r="C648" t="str">
        <f>IF('AMC-LOG'!B79="","",IF('AMC-LOG'!U79="","",'AMC-LOG'!U79))</f>
        <v/>
      </c>
    </row>
    <row r="649" spans="1:3" x14ac:dyDescent="0.25">
      <c r="A649">
        <v>80</v>
      </c>
      <c r="B649" t="str">
        <f>IF('AMC-LOG'!A80&lt;&gt;"",TRIM('AMC-LOG'!A80),IF('AMC-LOG'!B80="","",B648))</f>
        <v/>
      </c>
      <c r="C649" t="str">
        <f>IF('AMC-LOG'!B80="","",IF('AMC-LOG'!U80="","",'AMC-LOG'!U80))</f>
        <v/>
      </c>
    </row>
    <row r="650" spans="1:3" x14ac:dyDescent="0.25">
      <c r="A650">
        <v>81</v>
      </c>
      <c r="B650" t="str">
        <f>IF('AMC-LOG'!A81&lt;&gt;"",TRIM('AMC-LOG'!A81),IF('AMC-LOG'!B81="","",B649))</f>
        <v/>
      </c>
      <c r="C650" t="str">
        <f>IF('AMC-LOG'!B81="","",IF('AMC-LOG'!U81="","",'AMC-LOG'!U81))</f>
        <v/>
      </c>
    </row>
    <row r="651" spans="1:3" x14ac:dyDescent="0.25">
      <c r="A651">
        <v>82</v>
      </c>
      <c r="B651" t="str">
        <f>IF('AMC-LOG'!A82&lt;&gt;"",TRIM('AMC-LOG'!A82),IF('AMC-LOG'!B82="","",B650))</f>
        <v/>
      </c>
      <c r="C651" t="str">
        <f>IF('AMC-LOG'!B82="","",IF('AMC-LOG'!U82="","",'AMC-LOG'!U82))</f>
        <v/>
      </c>
    </row>
    <row r="652" spans="1:3" x14ac:dyDescent="0.25">
      <c r="A652">
        <v>83</v>
      </c>
      <c r="B652" t="str">
        <f>IF('AMC-LOG'!A83&lt;&gt;"",TRIM('AMC-LOG'!A83),IF('AMC-LOG'!B83="","",B651))</f>
        <v/>
      </c>
      <c r="C652" t="str">
        <f>IF('AMC-LOG'!B83="","",IF('AMC-LOG'!U83="","",'AMC-LOG'!U83))</f>
        <v/>
      </c>
    </row>
    <row r="653" spans="1:3" x14ac:dyDescent="0.25">
      <c r="A653">
        <v>84</v>
      </c>
      <c r="B653" t="str">
        <f>IF('AMC-LOG'!A84&lt;&gt;"",TRIM('AMC-LOG'!A84),IF('AMC-LOG'!B84="","",B652))</f>
        <v/>
      </c>
      <c r="C653" t="str">
        <f>IF('AMC-LOG'!B84="","",IF('AMC-LOG'!U84="","",'AMC-LOG'!U84))</f>
        <v/>
      </c>
    </row>
    <row r="654" spans="1:3" x14ac:dyDescent="0.25">
      <c r="A654">
        <v>85</v>
      </c>
      <c r="B654" t="str">
        <f>IF('AMC-LOG'!A85&lt;&gt;"",TRIM('AMC-LOG'!A85),IF('AMC-LOG'!B85="","",B653))</f>
        <v/>
      </c>
      <c r="C654" t="str">
        <f>IF('AMC-LOG'!B85="","",IF('AMC-LOG'!U85="","",'AMC-LOG'!U85))</f>
        <v/>
      </c>
    </row>
    <row r="655" spans="1:3" x14ac:dyDescent="0.25">
      <c r="A655">
        <v>86</v>
      </c>
      <c r="B655" t="str">
        <f>IF('AMC-LOG'!A86&lt;&gt;"",TRIM('AMC-LOG'!A86),IF('AMC-LOG'!B86="","",B654))</f>
        <v/>
      </c>
      <c r="C655" t="str">
        <f>IF('AMC-LOG'!B86="","",IF('AMC-LOG'!U86="","",'AMC-LOG'!U86))</f>
        <v/>
      </c>
    </row>
    <row r="656" spans="1:3" x14ac:dyDescent="0.25">
      <c r="A656">
        <v>87</v>
      </c>
      <c r="B656" t="str">
        <f>IF('AMC-LOG'!A87&lt;&gt;"",TRIM('AMC-LOG'!A87),IF('AMC-LOG'!B87="","",B655))</f>
        <v/>
      </c>
      <c r="C656" t="str">
        <f>IF('AMC-LOG'!B87="","",IF('AMC-LOG'!U87="","",'AMC-LOG'!U87))</f>
        <v/>
      </c>
    </row>
    <row r="657" spans="1:3" x14ac:dyDescent="0.25">
      <c r="A657">
        <v>88</v>
      </c>
      <c r="B657" t="str">
        <f>IF('AMC-LOG'!A88&lt;&gt;"",TRIM('AMC-LOG'!A88),IF('AMC-LOG'!B88="","",B656))</f>
        <v/>
      </c>
      <c r="C657" t="str">
        <f>IF('AMC-LOG'!B88="","",IF('AMC-LOG'!U88="","",'AMC-LOG'!U88))</f>
        <v/>
      </c>
    </row>
    <row r="658" spans="1:3" x14ac:dyDescent="0.25">
      <c r="A658">
        <v>89</v>
      </c>
      <c r="B658" t="str">
        <f>IF('AMC-LOG'!A89&lt;&gt;"",TRIM('AMC-LOG'!A89),IF('AMC-LOG'!B89="","",B657))</f>
        <v/>
      </c>
      <c r="C658" t="str">
        <f>IF('AMC-LOG'!B89="","",IF('AMC-LOG'!U89="","",'AMC-LOG'!U89))</f>
        <v/>
      </c>
    </row>
    <row r="659" spans="1:3" x14ac:dyDescent="0.25">
      <c r="A659">
        <v>90</v>
      </c>
      <c r="B659" t="str">
        <f>IF('AMC-LOG'!A90&lt;&gt;"",TRIM('AMC-LOG'!A90),IF('AMC-LOG'!B90="","",B658))</f>
        <v/>
      </c>
      <c r="C659" t="str">
        <f>IF('AMC-LOG'!B90="","",IF('AMC-LOG'!U90="","",'AMC-LOG'!U90))</f>
        <v/>
      </c>
    </row>
    <row r="660" spans="1:3" x14ac:dyDescent="0.25">
      <c r="A660">
        <v>91</v>
      </c>
      <c r="B660" t="str">
        <f>IF('AMC-LOG'!A91&lt;&gt;"",TRIM('AMC-LOG'!A91),IF('AMC-LOG'!B91="","",B659))</f>
        <v/>
      </c>
      <c r="C660" t="str">
        <f>IF('AMC-LOG'!B91="","",IF('AMC-LOG'!U91="","",'AMC-LOG'!U91))</f>
        <v/>
      </c>
    </row>
    <row r="661" spans="1:3" x14ac:dyDescent="0.25">
      <c r="A661">
        <v>92</v>
      </c>
      <c r="B661" t="str">
        <f>IF('AMC-LOG'!A92&lt;&gt;"",TRIM('AMC-LOG'!A92),IF('AMC-LOG'!B92="","",B660))</f>
        <v/>
      </c>
      <c r="C661" t="str">
        <f>IF('AMC-LOG'!B92="","",IF('AMC-LOG'!U92="","",'AMC-LOG'!U92))</f>
        <v/>
      </c>
    </row>
    <row r="662" spans="1:3" x14ac:dyDescent="0.25">
      <c r="A662">
        <v>93</v>
      </c>
      <c r="B662" t="str">
        <f>IF('AMC-LOG'!A93&lt;&gt;"",TRIM('AMC-LOG'!A93),IF('AMC-LOG'!B93="","",B661))</f>
        <v/>
      </c>
      <c r="C662" t="str">
        <f>IF('AMC-LOG'!B93="","",IF('AMC-LOG'!U93="","",'AMC-LOG'!U93))</f>
        <v/>
      </c>
    </row>
    <row r="663" spans="1:3" x14ac:dyDescent="0.25">
      <c r="A663">
        <v>94</v>
      </c>
      <c r="B663" t="str">
        <f>IF('AMC-LOG'!A94&lt;&gt;"",TRIM('AMC-LOG'!A94),IF('AMC-LOG'!B94="","",B662))</f>
        <v/>
      </c>
      <c r="C663" t="str">
        <f>IF('AMC-LOG'!B94="","",IF('AMC-LOG'!U94="","",'AMC-LOG'!U94))</f>
        <v/>
      </c>
    </row>
    <row r="664" spans="1:3" x14ac:dyDescent="0.25">
      <c r="A664">
        <v>95</v>
      </c>
      <c r="B664" t="str">
        <f>IF('AMC-LOG'!A95&lt;&gt;"",TRIM('AMC-LOG'!A95),IF('AMC-LOG'!B95="","",B663))</f>
        <v/>
      </c>
      <c r="C664" t="str">
        <f>IF('AMC-LOG'!B95="","",IF('AMC-LOG'!U95="","",'AMC-LOG'!U95))</f>
        <v/>
      </c>
    </row>
    <row r="665" spans="1:3" x14ac:dyDescent="0.25">
      <c r="A665">
        <v>96</v>
      </c>
      <c r="B665" t="str">
        <f>IF('AMC-LOG'!A96&lt;&gt;"",TRIM('AMC-LOG'!A96),IF('AMC-LOG'!B96="","",B664))</f>
        <v/>
      </c>
      <c r="C665" t="str">
        <f>IF('AMC-LOG'!B96="","",IF('AMC-LOG'!U96="","",'AMC-LOG'!U96))</f>
        <v/>
      </c>
    </row>
    <row r="666" spans="1:3" x14ac:dyDescent="0.25">
      <c r="A666">
        <v>97</v>
      </c>
      <c r="B666" t="str">
        <f>IF('AMC-LOG'!A97&lt;&gt;"",TRIM('AMC-LOG'!A97),IF('AMC-LOG'!B97="","",B665))</f>
        <v/>
      </c>
      <c r="C666" t="str">
        <f>IF('AMC-LOG'!B97="","",IF('AMC-LOG'!U97="","",'AMC-LOG'!U97))</f>
        <v/>
      </c>
    </row>
    <row r="667" spans="1:3" x14ac:dyDescent="0.25">
      <c r="A667">
        <v>98</v>
      </c>
      <c r="B667" t="str">
        <f>IF('AMC-LOG'!A98&lt;&gt;"",TRIM('AMC-LOG'!A98),IF('AMC-LOG'!B98="","",B666))</f>
        <v/>
      </c>
      <c r="C667" t="str">
        <f>IF('AMC-LOG'!B98="","",IF('AMC-LOG'!U98="","",'AMC-LOG'!U98))</f>
        <v/>
      </c>
    </row>
    <row r="668" spans="1:3" x14ac:dyDescent="0.25">
      <c r="A668">
        <v>99</v>
      </c>
      <c r="B668" t="str">
        <f>IF('AMC-LOG'!A99&lt;&gt;"",TRIM('AMC-LOG'!A99),IF('AMC-LOG'!B99="","",B667))</f>
        <v/>
      </c>
      <c r="C668" t="str">
        <f>IF('AMC-LOG'!B99="","",IF('AMC-LOG'!U99="","",'AMC-LOG'!U99))</f>
        <v/>
      </c>
    </row>
    <row r="669" spans="1:3" x14ac:dyDescent="0.25">
      <c r="A669">
        <v>100</v>
      </c>
      <c r="B669" t="str">
        <f>IF('AMC-LOG'!A100&lt;&gt;"",TRIM('AMC-LOG'!A100),IF('AMC-LOG'!B100="","",B668))</f>
        <v/>
      </c>
      <c r="C669" t="str">
        <f>IF('AMC-LOG'!B100="","",IF('AMC-LOG'!U100="","",'AMC-LOG'!U100))</f>
        <v/>
      </c>
    </row>
    <row r="670" spans="1:3" x14ac:dyDescent="0.25">
      <c r="A670">
        <v>101</v>
      </c>
      <c r="B670" t="str">
        <f>IF('AMC-LOG'!A101&lt;&gt;"",TRIM('AMC-LOG'!A101),IF('AMC-LOG'!B101="","",B669))</f>
        <v/>
      </c>
      <c r="C670" t="str">
        <f>IF('AMC-LOG'!B101="","",IF('AMC-LOG'!U101="","",'AMC-LOG'!U101))</f>
        <v/>
      </c>
    </row>
    <row r="671" spans="1:3" x14ac:dyDescent="0.25">
      <c r="A671">
        <v>102</v>
      </c>
      <c r="B671" t="str">
        <f>IF('AMC-LOG'!A102&lt;&gt;"",TRIM('AMC-LOG'!A102),IF('AMC-LOG'!B102="","",B670))</f>
        <v/>
      </c>
      <c r="C671" t="str">
        <f>IF('AMC-LOG'!B102="","",IF('AMC-LOG'!U102="","",'AMC-LOG'!U102))</f>
        <v/>
      </c>
    </row>
    <row r="672" spans="1:3" x14ac:dyDescent="0.25">
      <c r="A672">
        <v>103</v>
      </c>
      <c r="B672" t="str">
        <f>IF('AMC-LOG'!A103&lt;&gt;"",TRIM('AMC-LOG'!A103),IF('AMC-LOG'!B103="","",B671))</f>
        <v/>
      </c>
      <c r="C672" t="str">
        <f>IF('AMC-LOG'!B103="","",IF('AMC-LOG'!U103="","",'AMC-LOG'!U103))</f>
        <v/>
      </c>
    </row>
    <row r="673" spans="1:3" x14ac:dyDescent="0.25">
      <c r="A673">
        <v>104</v>
      </c>
      <c r="B673" t="str">
        <f>IF('AMC-LOG'!A104&lt;&gt;"",TRIM('AMC-LOG'!A104),IF('AMC-LOG'!B104="","",B672))</f>
        <v/>
      </c>
      <c r="C673" t="str">
        <f>IF('AMC-LOG'!B104="","",IF('AMC-LOG'!U104="","",'AMC-LOG'!U104))</f>
        <v/>
      </c>
    </row>
    <row r="674" spans="1:3" x14ac:dyDescent="0.25">
      <c r="A674">
        <v>105</v>
      </c>
      <c r="B674" t="str">
        <f>IF('AMC-LOG'!A105&lt;&gt;"",TRIM('AMC-LOG'!A105),IF('AMC-LOG'!B105="","",B673))</f>
        <v/>
      </c>
      <c r="C674" t="str">
        <f>IF('AMC-LOG'!B105="","",IF('AMC-LOG'!U105="","",'AMC-LOG'!U105))</f>
        <v/>
      </c>
    </row>
    <row r="675" spans="1:3" x14ac:dyDescent="0.25">
      <c r="A675">
        <v>106</v>
      </c>
      <c r="B675" t="str">
        <f>IF('AMC-LOG'!A106&lt;&gt;"",TRIM('AMC-LOG'!A106),IF('AMC-LOG'!B106="","",B674))</f>
        <v/>
      </c>
      <c r="C675" t="str">
        <f>IF('AMC-LOG'!B106="","",IF('AMC-LOG'!U106="","",'AMC-LOG'!U106))</f>
        <v/>
      </c>
    </row>
    <row r="676" spans="1:3" x14ac:dyDescent="0.25">
      <c r="A676">
        <v>107</v>
      </c>
      <c r="B676" t="str">
        <f>IF('AMC-LOG'!A107&lt;&gt;"",TRIM('AMC-LOG'!A107),IF('AMC-LOG'!B107="","",B675))</f>
        <v/>
      </c>
      <c r="C676" t="str">
        <f>IF('AMC-LOG'!B107="","",IF('AMC-LOG'!U107="","",'AMC-LOG'!U107))</f>
        <v/>
      </c>
    </row>
    <row r="677" spans="1:3" x14ac:dyDescent="0.25">
      <c r="A677">
        <v>108</v>
      </c>
      <c r="B677" t="str">
        <f>IF('AMC-LOG'!A108&lt;&gt;"",TRIM('AMC-LOG'!A108),IF('AMC-LOG'!B108="","",B676))</f>
        <v/>
      </c>
      <c r="C677" t="str">
        <f>IF('AMC-LOG'!B108="","",IF('AMC-LOG'!U108="","",'AMC-LOG'!U108))</f>
        <v/>
      </c>
    </row>
    <row r="678" spans="1:3" x14ac:dyDescent="0.25">
      <c r="A678">
        <v>109</v>
      </c>
      <c r="B678" t="str">
        <f>IF('AMC-LOG'!A109&lt;&gt;"",TRIM('AMC-LOG'!A109),IF('AMC-LOG'!B109="","",B677))</f>
        <v/>
      </c>
      <c r="C678" t="str">
        <f>IF('AMC-LOG'!B109="","",IF('AMC-LOG'!U109="","",'AMC-LOG'!U109))</f>
        <v/>
      </c>
    </row>
    <row r="679" spans="1:3" x14ac:dyDescent="0.25">
      <c r="A679">
        <v>110</v>
      </c>
      <c r="B679" t="str">
        <f>IF('AMC-LOG'!A110&lt;&gt;"",TRIM('AMC-LOG'!A110),IF('AMC-LOG'!B110="","",B678))</f>
        <v/>
      </c>
      <c r="C679" t="str">
        <f>IF('AMC-LOG'!B110="","",IF('AMC-LOG'!U110="","",'AMC-LOG'!U110))</f>
        <v/>
      </c>
    </row>
    <row r="680" spans="1:3" x14ac:dyDescent="0.25">
      <c r="A680">
        <v>111</v>
      </c>
      <c r="B680" t="str">
        <f>IF('AMC-LOG'!A111&lt;&gt;"",TRIM('AMC-LOG'!A111),IF('AMC-LOG'!B111="","",B679))</f>
        <v/>
      </c>
      <c r="C680" t="str">
        <f>IF('AMC-LOG'!B111="","",IF('AMC-LOG'!U111="","",'AMC-LOG'!U111))</f>
        <v/>
      </c>
    </row>
    <row r="681" spans="1:3" x14ac:dyDescent="0.25">
      <c r="A681">
        <v>112</v>
      </c>
      <c r="B681" t="str">
        <f>IF('AMC-LOG'!A112&lt;&gt;"",TRIM('AMC-LOG'!A112),IF('AMC-LOG'!B112="","",B680))</f>
        <v/>
      </c>
      <c r="C681" t="str">
        <f>IF('AMC-LOG'!B112="","",IF('AMC-LOG'!U112="","",'AMC-LOG'!U112))</f>
        <v/>
      </c>
    </row>
    <row r="682" spans="1:3" x14ac:dyDescent="0.25">
      <c r="A682">
        <v>113</v>
      </c>
      <c r="B682" t="str">
        <f>IF('AMC-LOG'!A113&lt;&gt;"",TRIM('AMC-LOG'!A113),IF('AMC-LOG'!B113="","",B681))</f>
        <v/>
      </c>
      <c r="C682" t="str">
        <f>IF('AMC-LOG'!B113="","",IF('AMC-LOG'!U113="","",'AMC-LOG'!U113))</f>
        <v/>
      </c>
    </row>
    <row r="683" spans="1:3" x14ac:dyDescent="0.25">
      <c r="A683">
        <v>114</v>
      </c>
      <c r="B683" t="str">
        <f>IF('AMC-LOG'!A114&lt;&gt;"",TRIM('AMC-LOG'!A114),IF('AMC-LOG'!B114="","",B682))</f>
        <v/>
      </c>
      <c r="C683" t="str">
        <f>IF('AMC-LOG'!B114="","",IF('AMC-LOG'!U114="","",'AMC-LOG'!U114))</f>
        <v/>
      </c>
    </row>
    <row r="684" spans="1:3" x14ac:dyDescent="0.25">
      <c r="A684">
        <v>115</v>
      </c>
      <c r="B684" t="str">
        <f>IF('AMC-LOG'!A115&lt;&gt;"",TRIM('AMC-LOG'!A115),IF('AMC-LOG'!B115="","",B683))</f>
        <v/>
      </c>
      <c r="C684" t="str">
        <f>IF('AMC-LOG'!B115="","",IF('AMC-LOG'!U115="","",'AMC-LOG'!U115))</f>
        <v/>
      </c>
    </row>
    <row r="685" spans="1:3" x14ac:dyDescent="0.25">
      <c r="A685">
        <v>116</v>
      </c>
      <c r="B685" t="str">
        <f>IF('AMC-LOG'!A116&lt;&gt;"",TRIM('AMC-LOG'!A116),IF('AMC-LOG'!B116="","",B684))</f>
        <v/>
      </c>
      <c r="C685" t="str">
        <f>IF('AMC-LOG'!B116="","",IF('AMC-LOG'!U116="","",'AMC-LOG'!U116))</f>
        <v/>
      </c>
    </row>
    <row r="686" spans="1:3" x14ac:dyDescent="0.25">
      <c r="A686">
        <v>117</v>
      </c>
      <c r="B686" t="str">
        <f>IF('AMC-LOG'!A117&lt;&gt;"",TRIM('AMC-LOG'!A117),IF('AMC-LOG'!B117="","",B685))</f>
        <v/>
      </c>
      <c r="C686" t="str">
        <f>IF('AMC-LOG'!B117="","",IF('AMC-LOG'!U117="","",'AMC-LOG'!U117))</f>
        <v/>
      </c>
    </row>
    <row r="687" spans="1:3" x14ac:dyDescent="0.25">
      <c r="A687">
        <v>118</v>
      </c>
      <c r="B687" t="str">
        <f>IF('AMC-LOG'!A118&lt;&gt;"",TRIM('AMC-LOG'!A118),IF('AMC-LOG'!B118="","",B686))</f>
        <v/>
      </c>
      <c r="C687" t="str">
        <f>IF('AMC-LOG'!B118="","",IF('AMC-LOG'!U118="","",'AMC-LOG'!U118))</f>
        <v/>
      </c>
    </row>
    <row r="688" spans="1:3" x14ac:dyDescent="0.25">
      <c r="A688">
        <v>119</v>
      </c>
      <c r="B688" t="str">
        <f>IF('AMC-LOG'!A119&lt;&gt;"",TRIM('AMC-LOG'!A119),IF('AMC-LOG'!B119="","",B687))</f>
        <v/>
      </c>
      <c r="C688" t="str">
        <f>IF('AMC-LOG'!B119="","",IF('AMC-LOG'!U119="","",'AMC-LOG'!U119))</f>
        <v/>
      </c>
    </row>
    <row r="689" spans="1:5" x14ac:dyDescent="0.25">
      <c r="A689">
        <v>120</v>
      </c>
      <c r="B689" t="str">
        <f>IF('AMC-LOG'!A120&lt;&gt;"",TRIM('AMC-LOG'!A120),IF('AMC-LOG'!B120="","",B688))</f>
        <v/>
      </c>
      <c r="C689" t="str">
        <f>IF('AMC-LOG'!B120="","",IF('AMC-LOG'!U120="","",'AMC-LOG'!U120))</f>
        <v/>
      </c>
    </row>
    <row r="700" spans="1:5" x14ac:dyDescent="0.25">
      <c r="A700" s="525" t="s">
        <v>719</v>
      </c>
    </row>
    <row r="701" spans="1:5" ht="25.5" x14ac:dyDescent="0.25">
      <c r="A701" s="523" t="s">
        <v>720</v>
      </c>
      <c r="B701" s="523" t="s">
        <v>36</v>
      </c>
      <c r="C701" s="523" t="s">
        <v>721</v>
      </c>
      <c r="D701" s="523" t="s">
        <v>722</v>
      </c>
      <c r="E701" s="523" t="s">
        <v>723</v>
      </c>
    </row>
    <row r="702" spans="1:5" x14ac:dyDescent="0.25">
      <c r="A702">
        <v>5</v>
      </c>
      <c r="B702" t="str">
        <f>IF('WATER TESTS'!A5&lt;&gt;"",TRIM('WATER TESTS'!A5),"")</f>
        <v>DJHSM</v>
      </c>
      <c r="C702" t="str">
        <f>IF('WATER TESTS'!C5="","",IF(OR(ISNUMBER(SEARCH("drink",'WATER TESTS'!C5)),ISNUMBER(SEARCH("RO",'WATER TESTS'!C5))),"D","S"))</f>
        <v>S</v>
      </c>
      <c r="D702">
        <f>SUMPRODUCT(--ISNUMBER('WATER TESTS'!D5:X5),--('WATER TESTS'!D5:X5&gt;'WATER TESTS'!$D$4:$X$4))+IF(ISNUMBER('WATER TESTS'!F5),IF(OR('WATER TESTS'!F5&lt;6.5,'WATER TESTS'!F5&gt;8.5),1,0),0)+IF(ISNUMBER('WATER TESTS'!G5),IF('WATER TESTS'!G5&gt;1500,1,0),0)</f>
        <v>0</v>
      </c>
      <c r="E702">
        <f>COUNT('WATER TESTS'!D5:X5)</f>
        <v>10</v>
      </c>
    </row>
    <row r="703" spans="1:5" x14ac:dyDescent="0.25">
      <c r="A703">
        <v>6</v>
      </c>
      <c r="B703" t="str">
        <f>IF('WATER TESTS'!A6&lt;&gt;"",TRIM('WATER TESTS'!A6),B702)</f>
        <v>DJHSM</v>
      </c>
      <c r="C703" t="str">
        <f>IF('WATER TESTS'!C6="","",IF(OR(ISNUMBER(SEARCH("drink",'WATER TESTS'!C6)),ISNUMBER(SEARCH("RO",'WATER TESTS'!C6))),"D","S"))</f>
        <v>D</v>
      </c>
      <c r="D703">
        <f>SUMPRODUCT(--ISNUMBER('WATER TESTS'!D6:X6),--('WATER TESTS'!D6:X6&gt;'WATER TESTS'!$D$4:$X$4))+IF(ISNUMBER('WATER TESTS'!F6),IF(OR('WATER TESTS'!F6&lt;6.5,'WATER TESTS'!F6&gt;8.5),1,0),0)+IF(ISNUMBER('WATER TESTS'!G6),IF('WATER TESTS'!G6&gt;1500,1,0),0)</f>
        <v>0</v>
      </c>
      <c r="E703">
        <f>COUNT('WATER TESTS'!D6:X6)</f>
        <v>10</v>
      </c>
    </row>
    <row r="704" spans="1:5" x14ac:dyDescent="0.25">
      <c r="A704">
        <v>7</v>
      </c>
      <c r="B704" t="str">
        <f>IF('WATER TESTS'!A7&lt;&gt;"",TRIM('WATER TESTS'!A7),B703)</f>
        <v>DJHSM</v>
      </c>
      <c r="C704" t="str">
        <f>IF('WATER TESTS'!C7="","",IF(OR(ISNUMBER(SEARCH("drink",'WATER TESTS'!C7)),ISNUMBER(SEARCH("RO",'WATER TESTS'!C7))),"D","S"))</f>
        <v>S</v>
      </c>
      <c r="D704">
        <f>SUMPRODUCT(--ISNUMBER('WATER TESTS'!D7:X7),--('WATER TESTS'!D7:X7&gt;'WATER TESTS'!$D$4:$X$4))+IF(ISNUMBER('WATER TESTS'!F7),IF(OR('WATER TESTS'!F7&lt;6.5,'WATER TESTS'!F7&gt;8.5),1,0),0)+IF(ISNUMBER('WATER TESTS'!G7),IF('WATER TESTS'!G7&gt;1500,1,0),0)</f>
        <v>0</v>
      </c>
      <c r="E704">
        <f>COUNT('WATER TESTS'!D7:X7)</f>
        <v>10</v>
      </c>
    </row>
    <row r="705" spans="1:5" x14ac:dyDescent="0.25">
      <c r="A705">
        <v>8</v>
      </c>
      <c r="B705" t="str">
        <f>IF('WATER TESTS'!A8&lt;&gt;"",TRIM('WATER TESTS'!A8),B704)</f>
        <v>DJHSM</v>
      </c>
      <c r="C705" t="str">
        <f>IF('WATER TESTS'!C8="","",IF(OR(ISNUMBER(SEARCH("drink",'WATER TESTS'!C8)),ISNUMBER(SEARCH("RO",'WATER TESTS'!C8))),"D","S"))</f>
        <v>D</v>
      </c>
      <c r="D705">
        <f>SUMPRODUCT(--ISNUMBER('WATER TESTS'!D8:X8),--('WATER TESTS'!D8:X8&gt;'WATER TESTS'!$D$4:$X$4))+IF(ISNUMBER('WATER TESTS'!F8),IF(OR('WATER TESTS'!F8&lt;6.5,'WATER TESTS'!F8&gt;8.5),1,0),0)+IF(ISNUMBER('WATER TESTS'!G8),IF('WATER TESTS'!G8&gt;1500,1,0),0)</f>
        <v>0</v>
      </c>
      <c r="E705">
        <f>COUNT('WATER TESTS'!D8:X8)</f>
        <v>10</v>
      </c>
    </row>
    <row r="706" spans="1:5" x14ac:dyDescent="0.25">
      <c r="A706">
        <v>9</v>
      </c>
      <c r="B706" t="str">
        <f>IF('WATER TESTS'!A9&lt;&gt;"",TRIM('WATER TESTS'!A9),B705)</f>
        <v>DJHSM</v>
      </c>
      <c r="C706" t="str">
        <f>IF('WATER TESTS'!C9="","",IF(OR(ISNUMBER(SEARCH("drink",'WATER TESTS'!C9)),ISNUMBER(SEARCH("RO",'WATER TESTS'!C9))),"D","S"))</f>
        <v>S</v>
      </c>
      <c r="D706">
        <f>SUMPRODUCT(--ISNUMBER('WATER TESTS'!D9:X9),--('WATER TESTS'!D9:X9&gt;'WATER TESTS'!$D$4:$X$4))+IF(ISNUMBER('WATER TESTS'!F9),IF(OR('WATER TESTS'!F9&lt;6.5,'WATER TESTS'!F9&gt;8.5),1,0),0)+IF(ISNUMBER('WATER TESTS'!G9),IF('WATER TESTS'!G9&gt;1500,1,0),0)</f>
        <v>0</v>
      </c>
      <c r="E706">
        <f>COUNT('WATER TESTS'!D9:X9)</f>
        <v>0</v>
      </c>
    </row>
    <row r="707" spans="1:5" x14ac:dyDescent="0.25">
      <c r="A707">
        <v>10</v>
      </c>
      <c r="B707" t="str">
        <f>IF('WATER TESTS'!A10&lt;&gt;"",TRIM('WATER TESTS'!A10),B706)</f>
        <v>DJHSM</v>
      </c>
      <c r="C707" t="str">
        <f>IF('WATER TESTS'!C10="","",IF(OR(ISNUMBER(SEARCH("drink",'WATER TESTS'!C10)),ISNUMBER(SEARCH("RO",'WATER TESTS'!C10))),"D","S"))</f>
        <v>D</v>
      </c>
      <c r="D707">
        <f>SUMPRODUCT(--ISNUMBER('WATER TESTS'!D10:X10),--('WATER TESTS'!D10:X10&gt;'WATER TESTS'!$D$4:$X$4))+IF(ISNUMBER('WATER TESTS'!F10),IF(OR('WATER TESTS'!F10&lt;6.5,'WATER TESTS'!F10&gt;8.5),1,0),0)+IF(ISNUMBER('WATER TESTS'!G10),IF('WATER TESTS'!G10&gt;1500,1,0),0)</f>
        <v>0</v>
      </c>
      <c r="E707">
        <f>COUNT('WATER TESTS'!D10:X10)</f>
        <v>0</v>
      </c>
    </row>
    <row r="708" spans="1:5" x14ac:dyDescent="0.25">
      <c r="A708">
        <v>11</v>
      </c>
      <c r="B708" t="str">
        <f>IF('WATER TESTS'!A11&lt;&gt;"",TRIM('WATER TESTS'!A11),B707)</f>
        <v>DJHSM</v>
      </c>
      <c r="C708" t="str">
        <f>IF('WATER TESTS'!C11="","",IF(OR(ISNUMBER(SEARCH("drink",'WATER TESTS'!C11)),ISNUMBER(SEARCH("RO",'WATER TESTS'!C11))),"D","S"))</f>
        <v>S</v>
      </c>
      <c r="D708">
        <f>SUMPRODUCT(--ISNUMBER('WATER TESTS'!D11:X11),--('WATER TESTS'!D11:X11&gt;'WATER TESTS'!$D$4:$X$4))+IF(ISNUMBER('WATER TESTS'!F11),IF(OR('WATER TESTS'!F11&lt;6.5,'WATER TESTS'!F11&gt;8.5),1,0),0)+IF(ISNUMBER('WATER TESTS'!G11),IF('WATER TESTS'!G11&gt;1500,1,0),0)</f>
        <v>0</v>
      </c>
      <c r="E708">
        <f>COUNT('WATER TESTS'!D11:X11)</f>
        <v>0</v>
      </c>
    </row>
    <row r="709" spans="1:5" x14ac:dyDescent="0.25">
      <c r="A709">
        <v>12</v>
      </c>
      <c r="B709" t="str">
        <f>IF('WATER TESTS'!A12&lt;&gt;"",TRIM('WATER TESTS'!A12),B708)</f>
        <v>DJHSM</v>
      </c>
      <c r="C709" t="str">
        <f>IF('WATER TESTS'!C12="","",IF(OR(ISNUMBER(SEARCH("drink",'WATER TESTS'!C12)),ISNUMBER(SEARCH("RO",'WATER TESTS'!C12))),"D","S"))</f>
        <v>D</v>
      </c>
      <c r="D709">
        <f>SUMPRODUCT(--ISNUMBER('WATER TESTS'!D12:X12),--('WATER TESTS'!D12:X12&gt;'WATER TESTS'!$D$4:$X$4))+IF(ISNUMBER('WATER TESTS'!F12),IF(OR('WATER TESTS'!F12&lt;6.5,'WATER TESTS'!F12&gt;8.5),1,0),0)+IF(ISNUMBER('WATER TESTS'!G12),IF('WATER TESTS'!G12&gt;1500,1,0),0)</f>
        <v>0</v>
      </c>
      <c r="E709">
        <f>COUNT('WATER TESTS'!D12:X12)</f>
        <v>0</v>
      </c>
    </row>
    <row r="710" spans="1:5" x14ac:dyDescent="0.25">
      <c r="A710">
        <v>13</v>
      </c>
      <c r="B710" t="str">
        <f>IF('WATER TESTS'!A13&lt;&gt;"",TRIM('WATER TESTS'!A13),B709)</f>
        <v>DJG</v>
      </c>
      <c r="C710" t="str">
        <f>IF('WATER TESTS'!C13="","",IF(OR(ISNUMBER(SEARCH("drink",'WATER TESTS'!C13)),ISNUMBER(SEARCH("RO",'WATER TESTS'!C13))),"D","S"))</f>
        <v>S</v>
      </c>
      <c r="D710">
        <f>SUMPRODUCT(--ISNUMBER('WATER TESTS'!D13:X13),--('WATER TESTS'!D13:X13&gt;'WATER TESTS'!$D$4:$X$4))+IF(ISNUMBER('WATER TESTS'!F13),IF(OR('WATER TESTS'!F13&lt;6.5,'WATER TESTS'!F13&gt;8.5),1,0),0)+IF(ISNUMBER('WATER TESTS'!G13),IF('WATER TESTS'!G13&gt;1500,1,0),0)</f>
        <v>0</v>
      </c>
      <c r="E710">
        <f>COUNT('WATER TESTS'!D13:X13)</f>
        <v>10</v>
      </c>
    </row>
    <row r="711" spans="1:5" x14ac:dyDescent="0.25">
      <c r="A711">
        <v>14</v>
      </c>
      <c r="B711" t="str">
        <f>IF('WATER TESTS'!A14&lt;&gt;"",TRIM('WATER TESTS'!A14),B710)</f>
        <v>DJG</v>
      </c>
      <c r="C711" t="str">
        <f>IF('WATER TESTS'!C14="","",IF(OR(ISNUMBER(SEARCH("drink",'WATER TESTS'!C14)),ISNUMBER(SEARCH("RO",'WATER TESTS'!C14))),"D","S"))</f>
        <v>D</v>
      </c>
      <c r="D711">
        <f>SUMPRODUCT(--ISNUMBER('WATER TESTS'!D14:X14),--('WATER TESTS'!D14:X14&gt;'WATER TESTS'!$D$4:$X$4))+IF(ISNUMBER('WATER TESTS'!F14),IF(OR('WATER TESTS'!F14&lt;6.5,'WATER TESTS'!F14&gt;8.5),1,0),0)+IF(ISNUMBER('WATER TESTS'!G14),IF('WATER TESTS'!G14&gt;1500,1,0),0)</f>
        <v>0</v>
      </c>
      <c r="E711">
        <f>COUNT('WATER TESTS'!D14:X14)</f>
        <v>10</v>
      </c>
    </row>
    <row r="712" spans="1:5" x14ac:dyDescent="0.25">
      <c r="A712">
        <v>15</v>
      </c>
      <c r="B712" t="str">
        <f>IF('WATER TESTS'!A15&lt;&gt;"",TRIM('WATER TESTS'!A15),B711)</f>
        <v>DJG</v>
      </c>
      <c r="C712" t="str">
        <f>IF('WATER TESTS'!C15="","",IF(OR(ISNUMBER(SEARCH("drink",'WATER TESTS'!C15)),ISNUMBER(SEARCH("RO",'WATER TESTS'!C15))),"D","S"))</f>
        <v>S</v>
      </c>
      <c r="D712">
        <f>SUMPRODUCT(--ISNUMBER('WATER TESTS'!D15:X15),--('WATER TESTS'!D15:X15&gt;'WATER TESTS'!$D$4:$X$4))+IF(ISNUMBER('WATER TESTS'!F15),IF(OR('WATER TESTS'!F15&lt;6.5,'WATER TESTS'!F15&gt;8.5),1,0),0)+IF(ISNUMBER('WATER TESTS'!G15),IF('WATER TESTS'!G15&gt;1500,1,0),0)</f>
        <v>0</v>
      </c>
      <c r="E712">
        <f>COUNT('WATER TESTS'!D15:X15)</f>
        <v>10</v>
      </c>
    </row>
    <row r="713" spans="1:5" x14ac:dyDescent="0.25">
      <c r="A713">
        <v>16</v>
      </c>
      <c r="B713" t="str">
        <f>IF('WATER TESTS'!A16&lt;&gt;"",TRIM('WATER TESTS'!A16),B712)</f>
        <v>DJG</v>
      </c>
      <c r="C713" t="str">
        <f>IF('WATER TESTS'!C16="","",IF(OR(ISNUMBER(SEARCH("drink",'WATER TESTS'!C16)),ISNUMBER(SEARCH("RO",'WATER TESTS'!C16))),"D","S"))</f>
        <v>D</v>
      </c>
      <c r="D713">
        <f>SUMPRODUCT(--ISNUMBER('WATER TESTS'!D16:X16),--('WATER TESTS'!D16:X16&gt;'WATER TESTS'!$D$4:$X$4))+IF(ISNUMBER('WATER TESTS'!F16),IF(OR('WATER TESTS'!F16&lt;6.5,'WATER TESTS'!F16&gt;8.5),1,0),0)+IF(ISNUMBER('WATER TESTS'!G16),IF('WATER TESTS'!G16&gt;1500,1,0),0)</f>
        <v>0</v>
      </c>
      <c r="E713">
        <f>COUNT('WATER TESTS'!D16:X16)</f>
        <v>10</v>
      </c>
    </row>
    <row r="714" spans="1:5" x14ac:dyDescent="0.25">
      <c r="A714">
        <v>17</v>
      </c>
      <c r="B714" t="str">
        <f>IF('WATER TESTS'!A17&lt;&gt;"",TRIM('WATER TESTS'!A17),B713)</f>
        <v>DJG</v>
      </c>
      <c r="C714" t="str">
        <f>IF('WATER TESTS'!C17="","",IF(OR(ISNUMBER(SEARCH("drink",'WATER TESTS'!C17)),ISNUMBER(SEARCH("RO",'WATER TESTS'!C17))),"D","S"))</f>
        <v>S</v>
      </c>
      <c r="D714">
        <f>SUMPRODUCT(--ISNUMBER('WATER TESTS'!D17:X17),--('WATER TESTS'!D17:X17&gt;'WATER TESTS'!$D$4:$X$4))+IF(ISNUMBER('WATER TESTS'!F17),IF(OR('WATER TESTS'!F17&lt;6.5,'WATER TESTS'!F17&gt;8.5),1,0),0)+IF(ISNUMBER('WATER TESTS'!G17),IF('WATER TESTS'!G17&gt;1500,1,0),0)</f>
        <v>0</v>
      </c>
      <c r="E714">
        <f>COUNT('WATER TESTS'!D17:X17)</f>
        <v>0</v>
      </c>
    </row>
    <row r="715" spans="1:5" x14ac:dyDescent="0.25">
      <c r="A715">
        <v>18</v>
      </c>
      <c r="B715" t="str">
        <f>IF('WATER TESTS'!A18&lt;&gt;"",TRIM('WATER TESTS'!A18),B714)</f>
        <v>DJG</v>
      </c>
      <c r="C715" t="str">
        <f>IF('WATER TESTS'!C18="","",IF(OR(ISNUMBER(SEARCH("drink",'WATER TESTS'!C18)),ISNUMBER(SEARCH("RO",'WATER TESTS'!C18))),"D","S"))</f>
        <v>D</v>
      </c>
      <c r="D715">
        <f>SUMPRODUCT(--ISNUMBER('WATER TESTS'!D18:X18),--('WATER TESTS'!D18:X18&gt;'WATER TESTS'!$D$4:$X$4))+IF(ISNUMBER('WATER TESTS'!F18),IF(OR('WATER TESTS'!F18&lt;6.5,'WATER TESTS'!F18&gt;8.5),1,0),0)+IF(ISNUMBER('WATER TESTS'!G18),IF('WATER TESTS'!G18&gt;1500,1,0),0)</f>
        <v>0</v>
      </c>
      <c r="E715">
        <f>COUNT('WATER TESTS'!D18:X18)</f>
        <v>0</v>
      </c>
    </row>
    <row r="716" spans="1:5" x14ac:dyDescent="0.25">
      <c r="A716">
        <v>19</v>
      </c>
      <c r="B716" t="str">
        <f>IF('WATER TESTS'!A19&lt;&gt;"",TRIM('WATER TESTS'!A19),B715)</f>
        <v>DJG</v>
      </c>
      <c r="C716" t="str">
        <f>IF('WATER TESTS'!C19="","",IF(OR(ISNUMBER(SEARCH("drink",'WATER TESTS'!C19)),ISNUMBER(SEARCH("RO",'WATER TESTS'!C19))),"D","S"))</f>
        <v>S</v>
      </c>
      <c r="D716">
        <f>SUMPRODUCT(--ISNUMBER('WATER TESTS'!D19:X19),--('WATER TESTS'!D19:X19&gt;'WATER TESTS'!$D$4:$X$4))+IF(ISNUMBER('WATER TESTS'!F19),IF(OR('WATER TESTS'!F19&lt;6.5,'WATER TESTS'!F19&gt;8.5),1,0),0)+IF(ISNUMBER('WATER TESTS'!G19),IF('WATER TESTS'!G19&gt;1500,1,0),0)</f>
        <v>0</v>
      </c>
      <c r="E716">
        <f>COUNT('WATER TESTS'!D19:X19)</f>
        <v>0</v>
      </c>
    </row>
    <row r="717" spans="1:5" x14ac:dyDescent="0.25">
      <c r="A717">
        <v>20</v>
      </c>
      <c r="B717" t="str">
        <f>IF('WATER TESTS'!A20&lt;&gt;"",TRIM('WATER TESTS'!A20),B716)</f>
        <v>DJG</v>
      </c>
      <c r="C717" t="str">
        <f>IF('WATER TESTS'!C20="","",IF(OR(ISNUMBER(SEARCH("drink",'WATER TESTS'!C20)),ISNUMBER(SEARCH("RO",'WATER TESTS'!C20))),"D","S"))</f>
        <v>D</v>
      </c>
      <c r="D717">
        <f>SUMPRODUCT(--ISNUMBER('WATER TESTS'!D20:X20),--('WATER TESTS'!D20:X20&gt;'WATER TESTS'!$D$4:$X$4))+IF(ISNUMBER('WATER TESTS'!F20),IF(OR('WATER TESTS'!F20&lt;6.5,'WATER TESTS'!F20&gt;8.5),1,0),0)+IF(ISNUMBER('WATER TESTS'!G20),IF('WATER TESTS'!G20&gt;1500,1,0),0)</f>
        <v>0</v>
      </c>
      <c r="E717">
        <f>COUNT('WATER TESTS'!D20:X20)</f>
        <v>0</v>
      </c>
    </row>
    <row r="718" spans="1:5" x14ac:dyDescent="0.25">
      <c r="A718">
        <v>21</v>
      </c>
      <c r="B718" t="str">
        <f>IF('WATER TESTS'!A21&lt;&gt;"",TRIM('WATER TESTS'!A21),B717)</f>
        <v>AKSS</v>
      </c>
      <c r="C718" t="str">
        <f>IF('WATER TESTS'!C21="","",IF(OR(ISNUMBER(SEARCH("drink",'WATER TESTS'!C21)),ISNUMBER(SEARCH("RO",'WATER TESTS'!C21))),"D","S"))</f>
        <v>S</v>
      </c>
      <c r="D718">
        <f>SUMPRODUCT(--ISNUMBER('WATER TESTS'!D21:X21),--('WATER TESTS'!D21:X21&gt;'WATER TESTS'!$D$4:$X$4))+IF(ISNUMBER('WATER TESTS'!F21),IF(OR('WATER TESTS'!F21&lt;6.5,'WATER TESTS'!F21&gt;8.5),1,0),0)+IF(ISNUMBER('WATER TESTS'!G21),IF('WATER TESTS'!G21&gt;1500,1,0),0)</f>
        <v>6</v>
      </c>
      <c r="E718">
        <f>COUNT('WATER TESTS'!D21:X21)</f>
        <v>12</v>
      </c>
    </row>
    <row r="719" spans="1:5" x14ac:dyDescent="0.25">
      <c r="A719">
        <v>22</v>
      </c>
      <c r="B719" t="str">
        <f>IF('WATER TESTS'!A22&lt;&gt;"",TRIM('WATER TESTS'!A22),B718)</f>
        <v>AKSS</v>
      </c>
      <c r="C719" t="str">
        <f>IF('WATER TESTS'!C22="","",IF(OR(ISNUMBER(SEARCH("drink",'WATER TESTS'!C22)),ISNUMBER(SEARCH("RO",'WATER TESTS'!C22))),"D","S"))</f>
        <v>D</v>
      </c>
      <c r="D719">
        <f>SUMPRODUCT(--ISNUMBER('WATER TESTS'!D22:X22),--('WATER TESTS'!D22:X22&gt;'WATER TESTS'!$D$4:$X$4))+IF(ISNUMBER('WATER TESTS'!F22),IF(OR('WATER TESTS'!F22&lt;6.5,'WATER TESTS'!F22&gt;8.5),1,0),0)+IF(ISNUMBER('WATER TESTS'!G22),IF('WATER TESTS'!G22&gt;1500,1,0),0)</f>
        <v>0</v>
      </c>
      <c r="E719">
        <f>COUNT('WATER TESTS'!D22:X22)</f>
        <v>12</v>
      </c>
    </row>
    <row r="720" spans="1:5" x14ac:dyDescent="0.25">
      <c r="A720">
        <v>23</v>
      </c>
      <c r="B720" t="str">
        <f>IF('WATER TESTS'!A23&lt;&gt;"",TRIM('WATER TESTS'!A23),B719)</f>
        <v>AKSS</v>
      </c>
      <c r="C720" t="str">
        <f>IF('WATER TESTS'!C23="","",IF(OR(ISNUMBER(SEARCH("drink",'WATER TESTS'!C23)),ISNUMBER(SEARCH("RO",'WATER TESTS'!C23))),"D","S"))</f>
        <v>S</v>
      </c>
      <c r="D720">
        <f>SUMPRODUCT(--ISNUMBER('WATER TESTS'!D23:X23),--('WATER TESTS'!D23:X23&gt;'WATER TESTS'!$D$4:$X$4))+IF(ISNUMBER('WATER TESTS'!F23),IF(OR('WATER TESTS'!F23&lt;6.5,'WATER TESTS'!F23&gt;8.5),1,0),0)+IF(ISNUMBER('WATER TESTS'!G23),IF('WATER TESTS'!G23&gt;1500,1,0),0)</f>
        <v>7</v>
      </c>
      <c r="E720">
        <f>COUNT('WATER TESTS'!D23:X23)</f>
        <v>12</v>
      </c>
    </row>
    <row r="721" spans="1:5" x14ac:dyDescent="0.25">
      <c r="A721">
        <v>24</v>
      </c>
      <c r="B721" t="str">
        <f>IF('WATER TESTS'!A24&lt;&gt;"",TRIM('WATER TESTS'!A24),B720)</f>
        <v>AKSS</v>
      </c>
      <c r="C721" t="str">
        <f>IF('WATER TESTS'!C24="","",IF(OR(ISNUMBER(SEARCH("drink",'WATER TESTS'!C24)),ISNUMBER(SEARCH("RO",'WATER TESTS'!C24))),"D","S"))</f>
        <v>D</v>
      </c>
      <c r="D721">
        <f>SUMPRODUCT(--ISNUMBER('WATER TESTS'!D24:X24),--('WATER TESTS'!D24:X24&gt;'WATER TESTS'!$D$4:$X$4))+IF(ISNUMBER('WATER TESTS'!F24),IF(OR('WATER TESTS'!F24&lt;6.5,'WATER TESTS'!F24&gt;8.5),1,0),0)+IF(ISNUMBER('WATER TESTS'!G24),IF('WATER TESTS'!G24&gt;1500,1,0),0)</f>
        <v>2</v>
      </c>
      <c r="E721">
        <f>COUNT('WATER TESTS'!D24:X24)</f>
        <v>12</v>
      </c>
    </row>
    <row r="722" spans="1:5" x14ac:dyDescent="0.25">
      <c r="A722">
        <v>25</v>
      </c>
      <c r="B722" t="str">
        <f>IF('WATER TESTS'!A25&lt;&gt;"",TRIM('WATER TESTS'!A25),B721)</f>
        <v>AKSS</v>
      </c>
      <c r="C722" t="str">
        <f>IF('WATER TESTS'!C25="","",IF(OR(ISNUMBER(SEARCH("drink",'WATER TESTS'!C25)),ISNUMBER(SEARCH("RO",'WATER TESTS'!C25))),"D","S"))</f>
        <v>S</v>
      </c>
      <c r="D722">
        <f>SUMPRODUCT(--ISNUMBER('WATER TESTS'!D25:X25),--('WATER TESTS'!D25:X25&gt;'WATER TESTS'!$D$4:$X$4))+IF(ISNUMBER('WATER TESTS'!F25),IF(OR('WATER TESTS'!F25&lt;6.5,'WATER TESTS'!F25&gt;8.5),1,0),0)+IF(ISNUMBER('WATER TESTS'!G25),IF('WATER TESTS'!G25&gt;1500,1,0),0)</f>
        <v>0</v>
      </c>
      <c r="E722">
        <f>COUNT('WATER TESTS'!D25:X25)</f>
        <v>0</v>
      </c>
    </row>
    <row r="723" spans="1:5" x14ac:dyDescent="0.25">
      <c r="A723">
        <v>26</v>
      </c>
      <c r="B723" t="str">
        <f>IF('WATER TESTS'!A26&lt;&gt;"",TRIM('WATER TESTS'!A26),B722)</f>
        <v>AKSS</v>
      </c>
      <c r="C723" t="str">
        <f>IF('WATER TESTS'!C26="","",IF(OR(ISNUMBER(SEARCH("drink",'WATER TESTS'!C26)),ISNUMBER(SEARCH("RO",'WATER TESTS'!C26))),"D","S"))</f>
        <v>D</v>
      </c>
      <c r="D723">
        <f>SUMPRODUCT(--ISNUMBER('WATER TESTS'!D26:X26),--('WATER TESTS'!D26:X26&gt;'WATER TESTS'!$D$4:$X$4))+IF(ISNUMBER('WATER TESTS'!F26),IF(OR('WATER TESTS'!F26&lt;6.5,'WATER TESTS'!F26&gt;8.5),1,0),0)+IF(ISNUMBER('WATER TESTS'!G26),IF('WATER TESTS'!G26&gt;1500,1,0),0)</f>
        <v>0</v>
      </c>
      <c r="E723">
        <f>COUNT('WATER TESTS'!D26:X26)</f>
        <v>0</v>
      </c>
    </row>
    <row r="724" spans="1:5" x14ac:dyDescent="0.25">
      <c r="A724">
        <v>27</v>
      </c>
      <c r="B724" t="str">
        <f>IF('WATER TESTS'!A27&lt;&gt;"",TRIM('WATER TESTS'!A27),B723)</f>
        <v>AKSS</v>
      </c>
      <c r="C724" t="str">
        <f>IF('WATER TESTS'!C27="","",IF(OR(ISNUMBER(SEARCH("drink",'WATER TESTS'!C27)),ISNUMBER(SEARCH("RO",'WATER TESTS'!C27))),"D","S"))</f>
        <v>S</v>
      </c>
      <c r="D724">
        <f>SUMPRODUCT(--ISNUMBER('WATER TESTS'!D27:X27),--('WATER TESTS'!D27:X27&gt;'WATER TESTS'!$D$4:$X$4))+IF(ISNUMBER('WATER TESTS'!F27),IF(OR('WATER TESTS'!F27&lt;6.5,'WATER TESTS'!F27&gt;8.5),1,0),0)+IF(ISNUMBER('WATER TESTS'!G27),IF('WATER TESTS'!G27&gt;1500,1,0),0)</f>
        <v>0</v>
      </c>
      <c r="E724">
        <f>COUNT('WATER TESTS'!D27:X27)</f>
        <v>0</v>
      </c>
    </row>
    <row r="725" spans="1:5" x14ac:dyDescent="0.25">
      <c r="A725">
        <v>28</v>
      </c>
      <c r="B725" t="str">
        <f>IF('WATER TESTS'!A28&lt;&gt;"",TRIM('WATER TESTS'!A28),B724)</f>
        <v>AKSS</v>
      </c>
      <c r="C725" t="str">
        <f>IF('WATER TESTS'!C28="","",IF(OR(ISNUMBER(SEARCH("drink",'WATER TESTS'!C28)),ISNUMBER(SEARCH("RO",'WATER TESTS'!C28))),"D","S"))</f>
        <v>D</v>
      </c>
      <c r="D725">
        <f>SUMPRODUCT(--ISNUMBER('WATER TESTS'!D28:X28),--('WATER TESTS'!D28:X28&gt;'WATER TESTS'!$D$4:$X$4))+IF(ISNUMBER('WATER TESTS'!F28),IF(OR('WATER TESTS'!F28&lt;6.5,'WATER TESTS'!F28&gt;8.5),1,0),0)+IF(ISNUMBER('WATER TESTS'!G28),IF('WATER TESTS'!G28&gt;1500,1,0),0)</f>
        <v>0</v>
      </c>
      <c r="E725">
        <f>COUNT('WATER TESTS'!D28:X28)</f>
        <v>0</v>
      </c>
    </row>
    <row r="726" spans="1:5" x14ac:dyDescent="0.25">
      <c r="A726">
        <v>29</v>
      </c>
      <c r="B726" t="str">
        <f>IF('WATER TESTS'!A29&lt;&gt;"",TRIM('WATER TESTS'!A29),B725)</f>
        <v>AKSC</v>
      </c>
      <c r="C726" t="str">
        <f>IF('WATER TESTS'!C29="","",IF(OR(ISNUMBER(SEARCH("drink",'WATER TESTS'!C29)),ISNUMBER(SEARCH("RO",'WATER TESTS'!C29))),"D","S"))</f>
        <v>S</v>
      </c>
      <c r="D726">
        <f>SUMPRODUCT(--ISNUMBER('WATER TESTS'!D29:X29),--('WATER TESTS'!D29:X29&gt;'WATER TESTS'!$D$4:$X$4))+IF(ISNUMBER('WATER TESTS'!F29),IF(OR('WATER TESTS'!F29&lt;6.5,'WATER TESTS'!F29&gt;8.5),1,0),0)+IF(ISNUMBER('WATER TESTS'!G29),IF('WATER TESTS'!G29&gt;1500,1,0),0)</f>
        <v>0</v>
      </c>
      <c r="E726">
        <f>COUNT('WATER TESTS'!D29:X29)</f>
        <v>0</v>
      </c>
    </row>
    <row r="727" spans="1:5" x14ac:dyDescent="0.25">
      <c r="A727">
        <v>30</v>
      </c>
      <c r="B727" t="str">
        <f>IF('WATER TESTS'!A30&lt;&gt;"",TRIM('WATER TESTS'!A30),B726)</f>
        <v>AKSC</v>
      </c>
      <c r="C727" t="str">
        <f>IF('WATER TESTS'!C30="","",IF(OR(ISNUMBER(SEARCH("drink",'WATER TESTS'!C30)),ISNUMBER(SEARCH("RO",'WATER TESTS'!C30))),"D","S"))</f>
        <v>D</v>
      </c>
      <c r="D727">
        <f>SUMPRODUCT(--ISNUMBER('WATER TESTS'!D30:X30),--('WATER TESTS'!D30:X30&gt;'WATER TESTS'!$D$4:$X$4))+IF(ISNUMBER('WATER TESTS'!F30),IF(OR('WATER TESTS'!F30&lt;6.5,'WATER TESTS'!F30&gt;8.5),1,0),0)+IF(ISNUMBER('WATER TESTS'!G30),IF('WATER TESTS'!G30&gt;1500,1,0),0)</f>
        <v>0</v>
      </c>
      <c r="E727">
        <f>COUNT('WATER TESTS'!D30:X30)</f>
        <v>0</v>
      </c>
    </row>
    <row r="728" spans="1:5" x14ac:dyDescent="0.25">
      <c r="A728">
        <v>31</v>
      </c>
      <c r="B728" t="str">
        <f>IF('WATER TESTS'!A31&lt;&gt;"",TRIM('WATER TESTS'!A31),B727)</f>
        <v>AKSC</v>
      </c>
      <c r="C728" t="str">
        <f>IF('WATER TESTS'!C31="","",IF(OR(ISNUMBER(SEARCH("drink",'WATER TESTS'!C31)),ISNUMBER(SEARCH("RO",'WATER TESTS'!C31))),"D","S"))</f>
        <v>S</v>
      </c>
      <c r="D728">
        <f>SUMPRODUCT(--ISNUMBER('WATER TESTS'!D31:X31),--('WATER TESTS'!D31:X31&gt;'WATER TESTS'!$D$4:$X$4))+IF(ISNUMBER('WATER TESTS'!F31),IF(OR('WATER TESTS'!F31&lt;6.5,'WATER TESTS'!F31&gt;8.5),1,0),0)+IF(ISNUMBER('WATER TESTS'!G31),IF('WATER TESTS'!G31&gt;1500,1,0),0)</f>
        <v>0</v>
      </c>
      <c r="E728">
        <f>COUNT('WATER TESTS'!D31:X31)</f>
        <v>0</v>
      </c>
    </row>
    <row r="729" spans="1:5" x14ac:dyDescent="0.25">
      <c r="A729">
        <v>32</v>
      </c>
      <c r="B729" t="str">
        <f>IF('WATER TESTS'!A32&lt;&gt;"",TRIM('WATER TESTS'!A32),B728)</f>
        <v>AKSC</v>
      </c>
      <c r="C729" t="str">
        <f>IF('WATER TESTS'!C32="","",IF(OR(ISNUMBER(SEARCH("drink",'WATER TESTS'!C32)),ISNUMBER(SEARCH("RO",'WATER TESTS'!C32))),"D","S"))</f>
        <v>D</v>
      </c>
      <c r="D729">
        <f>SUMPRODUCT(--ISNUMBER('WATER TESTS'!D32:X32),--('WATER TESTS'!D32:X32&gt;'WATER TESTS'!$D$4:$X$4))+IF(ISNUMBER('WATER TESTS'!F32),IF(OR('WATER TESTS'!F32&lt;6.5,'WATER TESTS'!F32&gt;8.5),1,0),0)+IF(ISNUMBER('WATER TESTS'!G32),IF('WATER TESTS'!G32&gt;1500,1,0),0)</f>
        <v>0</v>
      </c>
      <c r="E729">
        <f>COUNT('WATER TESTS'!D32:X32)</f>
        <v>0</v>
      </c>
    </row>
    <row r="730" spans="1:5" x14ac:dyDescent="0.25">
      <c r="A730">
        <v>33</v>
      </c>
      <c r="B730" t="str">
        <f>IF('WATER TESTS'!A33&lt;&gt;"",TRIM('WATER TESTS'!A33),B729)</f>
        <v>AKSC</v>
      </c>
      <c r="C730" t="str">
        <f>IF('WATER TESTS'!C33="","",IF(OR(ISNUMBER(SEARCH("drink",'WATER TESTS'!C33)),ISNUMBER(SEARCH("RO",'WATER TESTS'!C33))),"D","S"))</f>
        <v>S</v>
      </c>
      <c r="D730">
        <f>SUMPRODUCT(--ISNUMBER('WATER TESTS'!D33:X33),--('WATER TESTS'!D33:X33&gt;'WATER TESTS'!$D$4:$X$4))+IF(ISNUMBER('WATER TESTS'!F33),IF(OR('WATER TESTS'!F33&lt;6.5,'WATER TESTS'!F33&gt;8.5),1,0),0)+IF(ISNUMBER('WATER TESTS'!G33),IF('WATER TESTS'!G33&gt;1500,1,0),0)</f>
        <v>0</v>
      </c>
      <c r="E730">
        <f>COUNT('WATER TESTS'!D33:X33)</f>
        <v>0</v>
      </c>
    </row>
    <row r="731" spans="1:5" x14ac:dyDescent="0.25">
      <c r="A731">
        <v>34</v>
      </c>
      <c r="B731" t="str">
        <f>IF('WATER TESTS'!A34&lt;&gt;"",TRIM('WATER TESTS'!A34),B730)</f>
        <v>AKSC</v>
      </c>
      <c r="C731" t="str">
        <f>IF('WATER TESTS'!C34="","",IF(OR(ISNUMBER(SEARCH("drink",'WATER TESTS'!C34)),ISNUMBER(SEARCH("RO",'WATER TESTS'!C34))),"D","S"))</f>
        <v>D</v>
      </c>
      <c r="D731">
        <f>SUMPRODUCT(--ISNUMBER('WATER TESTS'!D34:X34),--('WATER TESTS'!D34:X34&gt;'WATER TESTS'!$D$4:$X$4))+IF(ISNUMBER('WATER TESTS'!F34),IF(OR('WATER TESTS'!F34&lt;6.5,'WATER TESTS'!F34&gt;8.5),1,0),0)+IF(ISNUMBER('WATER TESTS'!G34),IF('WATER TESTS'!G34&gt;1500,1,0),0)</f>
        <v>0</v>
      </c>
      <c r="E731">
        <f>COUNT('WATER TESTS'!D34:X34)</f>
        <v>0</v>
      </c>
    </row>
    <row r="732" spans="1:5" x14ac:dyDescent="0.25">
      <c r="A732">
        <v>35</v>
      </c>
      <c r="B732" t="str">
        <f>IF('WATER TESTS'!A35&lt;&gt;"",TRIM('WATER TESTS'!A35),B731)</f>
        <v>AKSC</v>
      </c>
      <c r="C732" t="str">
        <f>IF('WATER TESTS'!C35="","",IF(OR(ISNUMBER(SEARCH("drink",'WATER TESTS'!C35)),ISNUMBER(SEARCH("RO",'WATER TESTS'!C35))),"D","S"))</f>
        <v>S</v>
      </c>
      <c r="D732">
        <f>SUMPRODUCT(--ISNUMBER('WATER TESTS'!D35:X35),--('WATER TESTS'!D35:X35&gt;'WATER TESTS'!$D$4:$X$4))+IF(ISNUMBER('WATER TESTS'!F35),IF(OR('WATER TESTS'!F35&lt;6.5,'WATER TESTS'!F35&gt;8.5),1,0),0)+IF(ISNUMBER('WATER TESTS'!G35),IF('WATER TESTS'!G35&gt;1500,1,0),0)</f>
        <v>0</v>
      </c>
      <c r="E732">
        <f>COUNT('WATER TESTS'!D35:X35)</f>
        <v>0</v>
      </c>
    </row>
    <row r="733" spans="1:5" x14ac:dyDescent="0.25">
      <c r="A733">
        <v>36</v>
      </c>
      <c r="B733" t="str">
        <f>IF('WATER TESTS'!A36&lt;&gt;"",TRIM('WATER TESTS'!A36),B732)</f>
        <v>AKSC</v>
      </c>
      <c r="C733" t="str">
        <f>IF('WATER TESTS'!C36="","",IF(OR(ISNUMBER(SEARCH("drink",'WATER TESTS'!C36)),ISNUMBER(SEARCH("RO",'WATER TESTS'!C36))),"D","S"))</f>
        <v>D</v>
      </c>
      <c r="D733">
        <f>SUMPRODUCT(--ISNUMBER('WATER TESTS'!D36:X36),--('WATER TESTS'!D36:X36&gt;'WATER TESTS'!$D$4:$X$4))+IF(ISNUMBER('WATER TESTS'!F36),IF(OR('WATER TESTS'!F36&lt;6.5,'WATER TESTS'!F36&gt;8.5),1,0),0)+IF(ISNUMBER('WATER TESTS'!G36),IF('WATER TESTS'!G36&gt;1500,1,0),0)</f>
        <v>0</v>
      </c>
      <c r="E733">
        <f>COUNT('WATER TESTS'!D36:X36)</f>
        <v>0</v>
      </c>
    </row>
    <row r="734" spans="1:5" x14ac:dyDescent="0.25">
      <c r="A734">
        <v>37</v>
      </c>
      <c r="B734" t="str">
        <f>IF('WATER TESTS'!A37&lt;&gt;"",TRIM('WATER TESTS'!A37),B733)</f>
        <v>AKSM</v>
      </c>
      <c r="C734" t="str">
        <f>IF('WATER TESTS'!C37="","",IF(OR(ISNUMBER(SEARCH("drink",'WATER TESTS'!C37)),ISNUMBER(SEARCH("RO",'WATER TESTS'!C37))),"D","S"))</f>
        <v>S</v>
      </c>
      <c r="D734">
        <f>SUMPRODUCT(--ISNUMBER('WATER TESTS'!D37:X37),--('WATER TESTS'!D37:X37&gt;'WATER TESTS'!$D$4:$X$4))+IF(ISNUMBER('WATER TESTS'!F37),IF(OR('WATER TESTS'!F37&lt;6.5,'WATER TESTS'!F37&gt;8.5),1,0),0)+IF(ISNUMBER('WATER TESTS'!G37),IF('WATER TESTS'!G37&gt;1500,1,0),0)</f>
        <v>7</v>
      </c>
      <c r="E734">
        <f>COUNT('WATER TESTS'!D37:X37)</f>
        <v>18</v>
      </c>
    </row>
    <row r="735" spans="1:5" x14ac:dyDescent="0.25">
      <c r="A735">
        <v>38</v>
      </c>
      <c r="B735" t="str">
        <f>IF('WATER TESTS'!A38&lt;&gt;"",TRIM('WATER TESTS'!A38),B734)</f>
        <v>AKSM</v>
      </c>
      <c r="C735" t="str">
        <f>IF('WATER TESTS'!C38="","",IF(OR(ISNUMBER(SEARCH("drink",'WATER TESTS'!C38)),ISNUMBER(SEARCH("RO",'WATER TESTS'!C38))),"D","S"))</f>
        <v>S</v>
      </c>
      <c r="D735">
        <f>SUMPRODUCT(--ISNUMBER('WATER TESTS'!D38:X38),--('WATER TESTS'!D38:X38&gt;'WATER TESTS'!$D$4:$X$4))+IF(ISNUMBER('WATER TESTS'!F38),IF(OR('WATER TESTS'!F38&lt;6.5,'WATER TESTS'!F38&gt;8.5),1,0),0)+IF(ISNUMBER('WATER TESTS'!G38),IF('WATER TESTS'!G38&gt;1500,1,0),0)</f>
        <v>7</v>
      </c>
      <c r="E735">
        <f>COUNT('WATER TESTS'!D38:X38)</f>
        <v>18</v>
      </c>
    </row>
    <row r="736" spans="1:5" x14ac:dyDescent="0.25">
      <c r="A736">
        <v>39</v>
      </c>
      <c r="B736" t="str">
        <f>IF('WATER TESTS'!A39&lt;&gt;"",TRIM('WATER TESTS'!A39),B735)</f>
        <v>AKSM</v>
      </c>
      <c r="C736" t="str">
        <f>IF('WATER TESTS'!C39="","",IF(OR(ISNUMBER(SEARCH("drink",'WATER TESTS'!C39)),ISNUMBER(SEARCH("RO",'WATER TESTS'!C39))),"D","S"))</f>
        <v>D</v>
      </c>
      <c r="D736">
        <f>SUMPRODUCT(--ISNUMBER('WATER TESTS'!D39:X39),--('WATER TESTS'!D39:X39&gt;'WATER TESTS'!$D$4:$X$4))+IF(ISNUMBER('WATER TESTS'!F39),IF(OR('WATER TESTS'!F39&lt;6.5,'WATER TESTS'!F39&gt;8.5),1,0),0)+IF(ISNUMBER('WATER TESTS'!G39),IF('WATER TESTS'!G39&gt;1500,1,0),0)</f>
        <v>0</v>
      </c>
      <c r="E736">
        <f>COUNT('WATER TESTS'!D39:X39)</f>
        <v>18</v>
      </c>
    </row>
    <row r="737" spans="1:5" x14ac:dyDescent="0.25">
      <c r="A737">
        <v>40</v>
      </c>
      <c r="B737" t="str">
        <f>IF('WATER TESTS'!A40&lt;&gt;"",TRIM('WATER TESTS'!A40),B736)</f>
        <v>AKSM</v>
      </c>
      <c r="C737" t="str">
        <f>IF('WATER TESTS'!C40="","",IF(OR(ISNUMBER(SEARCH("drink",'WATER TESTS'!C40)),ISNUMBER(SEARCH("RO",'WATER TESTS'!C40))),"D","S"))</f>
        <v>S</v>
      </c>
      <c r="D737">
        <f>SUMPRODUCT(--ISNUMBER('WATER TESTS'!D40:X40),--('WATER TESTS'!D40:X40&gt;'WATER TESTS'!$D$4:$X$4))+IF(ISNUMBER('WATER TESTS'!F40),IF(OR('WATER TESTS'!F40&lt;6.5,'WATER TESTS'!F40&gt;8.5),1,0),0)+IF(ISNUMBER('WATER TESTS'!G40),IF('WATER TESTS'!G40&gt;1500,1,0),0)</f>
        <v>0</v>
      </c>
      <c r="E737">
        <f>COUNT('WATER TESTS'!D40:X40)</f>
        <v>0</v>
      </c>
    </row>
    <row r="738" spans="1:5" x14ac:dyDescent="0.25">
      <c r="A738">
        <v>41</v>
      </c>
      <c r="B738" t="str">
        <f>IF('WATER TESTS'!A41&lt;&gt;"",TRIM('WATER TESTS'!A41),B737)</f>
        <v>AKSM</v>
      </c>
      <c r="C738" t="str">
        <f>IF('WATER TESTS'!C41="","",IF(OR(ISNUMBER(SEARCH("drink",'WATER TESTS'!C41)),ISNUMBER(SEARCH("RO",'WATER TESTS'!C41))),"D","S"))</f>
        <v>S</v>
      </c>
      <c r="D738">
        <f>SUMPRODUCT(--ISNUMBER('WATER TESTS'!D41:X41),--('WATER TESTS'!D41:X41&gt;'WATER TESTS'!$D$4:$X$4))+IF(ISNUMBER('WATER TESTS'!F41),IF(OR('WATER TESTS'!F41&lt;6.5,'WATER TESTS'!F41&gt;8.5),1,0),0)+IF(ISNUMBER('WATER TESTS'!G41),IF('WATER TESTS'!G41&gt;1500,1,0),0)</f>
        <v>6</v>
      </c>
      <c r="E738">
        <f>COUNT('WATER TESTS'!D41:X41)</f>
        <v>18</v>
      </c>
    </row>
    <row r="739" spans="1:5" x14ac:dyDescent="0.25">
      <c r="A739">
        <v>42</v>
      </c>
      <c r="B739" t="str">
        <f>IF('WATER TESTS'!A42&lt;&gt;"",TRIM('WATER TESTS'!A42),B738)</f>
        <v>AKSM</v>
      </c>
      <c r="C739" t="str">
        <f>IF('WATER TESTS'!C42="","",IF(OR(ISNUMBER(SEARCH("drink",'WATER TESTS'!C42)),ISNUMBER(SEARCH("RO",'WATER TESTS'!C42))),"D","S"))</f>
        <v>S</v>
      </c>
      <c r="D739">
        <f>SUMPRODUCT(--ISNUMBER('WATER TESTS'!D42:X42),--('WATER TESTS'!D42:X42&gt;'WATER TESTS'!$D$4:$X$4))+IF(ISNUMBER('WATER TESTS'!F42),IF(OR('WATER TESTS'!F42&lt;6.5,'WATER TESTS'!F42&gt;8.5),1,0),0)+IF(ISNUMBER('WATER TESTS'!G42),IF('WATER TESTS'!G42&gt;1500,1,0),0)</f>
        <v>0</v>
      </c>
      <c r="E739">
        <f>COUNT('WATER TESTS'!D42:X42)</f>
        <v>18</v>
      </c>
    </row>
    <row r="740" spans="1:5" x14ac:dyDescent="0.25">
      <c r="A740">
        <v>43</v>
      </c>
      <c r="B740" t="str">
        <f>IF('WATER TESTS'!A43&lt;&gt;"",TRIM('WATER TESTS'!A43),B739)</f>
        <v>AKSM</v>
      </c>
      <c r="C740" t="str">
        <f>IF('WATER TESTS'!C43="","",IF(OR(ISNUMBER(SEARCH("drink",'WATER TESTS'!C43)),ISNUMBER(SEARCH("RO",'WATER TESTS'!C43))),"D","S"))</f>
        <v>D</v>
      </c>
      <c r="D740">
        <f>SUMPRODUCT(--ISNUMBER('WATER TESTS'!D43:X43),--('WATER TESTS'!D43:X43&gt;'WATER TESTS'!$D$4:$X$4))+IF(ISNUMBER('WATER TESTS'!F43),IF(OR('WATER TESTS'!F43&lt;6.5,'WATER TESTS'!F43&gt;8.5),1,0),0)+IF(ISNUMBER('WATER TESTS'!G43),IF('WATER TESTS'!G43&gt;1500,1,0),0)</f>
        <v>0</v>
      </c>
      <c r="E740">
        <f>COUNT('WATER TESTS'!D43:X43)</f>
        <v>18</v>
      </c>
    </row>
    <row r="741" spans="1:5" x14ac:dyDescent="0.25">
      <c r="A741">
        <v>44</v>
      </c>
      <c r="B741" t="str">
        <f>IF('WATER TESTS'!A44&lt;&gt;"",TRIM('WATER TESTS'!A44),B740)</f>
        <v>AKSM</v>
      </c>
      <c r="C741" t="str">
        <f>IF('WATER TESTS'!C44="","",IF(OR(ISNUMBER(SEARCH("drink",'WATER TESTS'!C44)),ISNUMBER(SEARCH("RO",'WATER TESTS'!C44))),"D","S"))</f>
        <v>S</v>
      </c>
      <c r="D741">
        <f>SUMPRODUCT(--ISNUMBER('WATER TESTS'!D44:X44),--('WATER TESTS'!D44:X44&gt;'WATER TESTS'!$D$4:$X$4))+IF(ISNUMBER('WATER TESTS'!F44),IF(OR('WATER TESTS'!F44&lt;6.5,'WATER TESTS'!F44&gt;8.5),1,0),0)+IF(ISNUMBER('WATER TESTS'!G44),IF('WATER TESTS'!G44&gt;1500,1,0),0)</f>
        <v>0</v>
      </c>
      <c r="E741">
        <f>COUNT('WATER TESTS'!D44:X44)</f>
        <v>0</v>
      </c>
    </row>
    <row r="742" spans="1:5" x14ac:dyDescent="0.25">
      <c r="A742">
        <v>45</v>
      </c>
      <c r="B742" t="str">
        <f>IF('WATER TESTS'!A45&lt;&gt;"",TRIM('WATER TESTS'!A45),B741)</f>
        <v>AKSM</v>
      </c>
      <c r="C742" t="str">
        <f>IF('WATER TESTS'!C45="","",IF(OR(ISNUMBER(SEARCH("drink",'WATER TESTS'!C45)),ISNUMBER(SEARCH("RO",'WATER TESTS'!C45))),"D","S"))</f>
        <v>D</v>
      </c>
      <c r="D742">
        <f>SUMPRODUCT(--ISNUMBER('WATER TESTS'!D45:X45),--('WATER TESTS'!D45:X45&gt;'WATER TESTS'!$D$4:$X$4))+IF(ISNUMBER('WATER TESTS'!F45),IF(OR('WATER TESTS'!F45&lt;6.5,'WATER TESTS'!F45&gt;8.5),1,0),0)+IF(ISNUMBER('WATER TESTS'!G45),IF('WATER TESTS'!G45&gt;1500,1,0),0)</f>
        <v>0</v>
      </c>
      <c r="E742">
        <f>COUNT('WATER TESTS'!D45:X45)</f>
        <v>0</v>
      </c>
    </row>
    <row r="743" spans="1:5" x14ac:dyDescent="0.25">
      <c r="A743">
        <v>46</v>
      </c>
      <c r="B743" t="str">
        <f>IF('WATER TESTS'!A46&lt;&gt;"",TRIM('WATER TESTS'!A46),B742)</f>
        <v>AKSM</v>
      </c>
      <c r="C743" t="str">
        <f>IF('WATER TESTS'!C46="","",IF(OR(ISNUMBER(SEARCH("drink",'WATER TESTS'!C46)),ISNUMBER(SEARCH("RO",'WATER TESTS'!C46))),"D","S"))</f>
        <v>S</v>
      </c>
      <c r="D743">
        <f>SUMPRODUCT(--ISNUMBER('WATER TESTS'!D46:X46),--('WATER TESTS'!D46:X46&gt;'WATER TESTS'!$D$4:$X$4))+IF(ISNUMBER('WATER TESTS'!F46),IF(OR('WATER TESTS'!F46&lt;6.5,'WATER TESTS'!F46&gt;8.5),1,0),0)+IF(ISNUMBER('WATER TESTS'!G46),IF('WATER TESTS'!G46&gt;1500,1,0),0)</f>
        <v>0</v>
      </c>
      <c r="E743">
        <f>COUNT('WATER TESTS'!D46:X46)</f>
        <v>0</v>
      </c>
    </row>
    <row r="744" spans="1:5" x14ac:dyDescent="0.25">
      <c r="A744">
        <v>47</v>
      </c>
      <c r="B744" t="str">
        <f>IF('WATER TESTS'!A47&lt;&gt;"",TRIM('WATER TESTS'!A47),B743)</f>
        <v>AKSM</v>
      </c>
      <c r="C744" t="str">
        <f>IF('WATER TESTS'!C47="","",IF(OR(ISNUMBER(SEARCH("drink",'WATER TESTS'!C47)),ISNUMBER(SEARCH("RO",'WATER TESTS'!C47))),"D","S"))</f>
        <v>S</v>
      </c>
      <c r="D744">
        <f>SUMPRODUCT(--ISNUMBER('WATER TESTS'!D47:X47),--('WATER TESTS'!D47:X47&gt;'WATER TESTS'!$D$4:$X$4))+IF(ISNUMBER('WATER TESTS'!F47),IF(OR('WATER TESTS'!F47&lt;6.5,'WATER TESTS'!F47&gt;8.5),1,0),0)+IF(ISNUMBER('WATER TESTS'!G47),IF('WATER TESTS'!G47&gt;1500,1,0),0)</f>
        <v>0</v>
      </c>
      <c r="E744">
        <f>COUNT('WATER TESTS'!D47:X47)</f>
        <v>0</v>
      </c>
    </row>
    <row r="745" spans="1:5" x14ac:dyDescent="0.25">
      <c r="A745">
        <v>48</v>
      </c>
      <c r="B745" t="str">
        <f>IF('WATER TESTS'!A48&lt;&gt;"",TRIM('WATER TESTS'!A48),B744)</f>
        <v>AKSM</v>
      </c>
      <c r="C745" t="str">
        <f>IF('WATER TESTS'!C48="","",IF(OR(ISNUMBER(SEARCH("drink",'WATER TESTS'!C48)),ISNUMBER(SEARCH("RO",'WATER TESTS'!C48))),"D","S"))</f>
        <v>D</v>
      </c>
      <c r="D745">
        <f>SUMPRODUCT(--ISNUMBER('WATER TESTS'!D48:X48),--('WATER TESTS'!D48:X48&gt;'WATER TESTS'!$D$4:$X$4))+IF(ISNUMBER('WATER TESTS'!F48),IF(OR('WATER TESTS'!F48&lt;6.5,'WATER TESTS'!F48&gt;8.5),1,0),0)+IF(ISNUMBER('WATER TESTS'!G48),IF('WATER TESTS'!G48&gt;1500,1,0),0)</f>
        <v>0</v>
      </c>
      <c r="E745">
        <f>COUNT('WATER TESTS'!D48:X48)</f>
        <v>0</v>
      </c>
    </row>
    <row r="746" spans="1:5" x14ac:dyDescent="0.25">
      <c r="A746">
        <v>49</v>
      </c>
      <c r="B746" t="str">
        <f>IF('WATER TESTS'!A49&lt;&gt;"",TRIM('WATER TESTS'!A49),B745)</f>
        <v>PJHSW</v>
      </c>
      <c r="C746" t="str">
        <f>IF('WATER TESTS'!C49="","",IF(OR(ISNUMBER(SEARCH("drink",'WATER TESTS'!C49)),ISNUMBER(SEARCH("RO",'WATER TESTS'!C49))),"D","S"))</f>
        <v>S</v>
      </c>
      <c r="D746">
        <f>SUMPRODUCT(--ISNUMBER('WATER TESTS'!D49:X49),--('WATER TESTS'!D49:X49&gt;'WATER TESTS'!$D$4:$X$4))+IF(ISNUMBER('WATER TESTS'!F49),IF(OR('WATER TESTS'!F49&lt;6.5,'WATER TESTS'!F49&gt;8.5),1,0),0)+IF(ISNUMBER('WATER TESTS'!G49),IF('WATER TESTS'!G49&gt;1500,1,0),0)</f>
        <v>4</v>
      </c>
      <c r="E746">
        <f>COUNT('WATER TESTS'!D49:X49)</f>
        <v>8</v>
      </c>
    </row>
    <row r="747" spans="1:5" x14ac:dyDescent="0.25">
      <c r="A747">
        <v>50</v>
      </c>
      <c r="B747" t="str">
        <f>IF('WATER TESTS'!A50&lt;&gt;"",TRIM('WATER TESTS'!A50),B746)</f>
        <v>PJHSW</v>
      </c>
      <c r="C747" t="str">
        <f>IF('WATER TESTS'!C50="","",IF(OR(ISNUMBER(SEARCH("drink",'WATER TESTS'!C50)),ISNUMBER(SEARCH("RO",'WATER TESTS'!C50))),"D","S"))</f>
        <v>S</v>
      </c>
      <c r="D747">
        <f>SUMPRODUCT(--ISNUMBER('WATER TESTS'!D50:X50),--('WATER TESTS'!D50:X50&gt;'WATER TESTS'!$D$4:$X$4))+IF(ISNUMBER('WATER TESTS'!F50),IF(OR('WATER TESTS'!F50&lt;6.5,'WATER TESTS'!F50&gt;8.5),1,0),0)+IF(ISNUMBER('WATER TESTS'!G50),IF('WATER TESTS'!G50&gt;1500,1,0),0)</f>
        <v>4</v>
      </c>
      <c r="E747">
        <f>COUNT('WATER TESTS'!D50:X50)</f>
        <v>8</v>
      </c>
    </row>
    <row r="748" spans="1:5" x14ac:dyDescent="0.25">
      <c r="A748">
        <v>51</v>
      </c>
      <c r="B748" t="str">
        <f>IF('WATER TESTS'!A51&lt;&gt;"",TRIM('WATER TESTS'!A51),B747)</f>
        <v>PJHSW</v>
      </c>
      <c r="C748" t="str">
        <f>IF('WATER TESTS'!C51="","",IF(OR(ISNUMBER(SEARCH("drink",'WATER TESTS'!C51)),ISNUMBER(SEARCH("RO",'WATER TESTS'!C51))),"D","S"))</f>
        <v>S</v>
      </c>
      <c r="D748">
        <f>SUMPRODUCT(--ISNUMBER('WATER TESTS'!D51:X51),--('WATER TESTS'!D51:X51&gt;'WATER TESTS'!$D$4:$X$4))+IF(ISNUMBER('WATER TESTS'!F51),IF(OR('WATER TESTS'!F51&lt;6.5,'WATER TESTS'!F51&gt;8.5),1,0),0)+IF(ISNUMBER('WATER TESTS'!G51),IF('WATER TESTS'!G51&gt;1500,1,0),0)</f>
        <v>5</v>
      </c>
      <c r="E748">
        <f>COUNT('WATER TESTS'!D51:X51)</f>
        <v>8</v>
      </c>
    </row>
    <row r="749" spans="1:5" x14ac:dyDescent="0.25">
      <c r="A749">
        <v>52</v>
      </c>
      <c r="B749" t="str">
        <f>IF('WATER TESTS'!A52&lt;&gt;"",TRIM('WATER TESTS'!A52),B748)</f>
        <v>PJHSW</v>
      </c>
      <c r="C749" t="str">
        <f>IF('WATER TESTS'!C52="","",IF(OR(ISNUMBER(SEARCH("drink",'WATER TESTS'!C52)),ISNUMBER(SEARCH("RO",'WATER TESTS'!C52))),"D","S"))</f>
        <v>D</v>
      </c>
      <c r="D749">
        <f>SUMPRODUCT(--ISNUMBER('WATER TESTS'!D52:X52),--('WATER TESTS'!D52:X52&gt;'WATER TESTS'!$D$4:$X$4))+IF(ISNUMBER('WATER TESTS'!F52),IF(OR('WATER TESTS'!F52&lt;6.5,'WATER TESTS'!F52&gt;8.5),1,0),0)+IF(ISNUMBER('WATER TESTS'!G52),IF('WATER TESTS'!G52&gt;1500,1,0),0)</f>
        <v>0</v>
      </c>
      <c r="E749">
        <f>COUNT('WATER TESTS'!D52:X52)</f>
        <v>8</v>
      </c>
    </row>
    <row r="750" spans="1:5" x14ac:dyDescent="0.25">
      <c r="A750">
        <v>53</v>
      </c>
      <c r="B750" t="str">
        <f>IF('WATER TESTS'!A53&lt;&gt;"",TRIM('WATER TESTS'!A53),B749)</f>
        <v>PJHSW</v>
      </c>
      <c r="C750" t="str">
        <f>IF('WATER TESTS'!C53="","",IF(OR(ISNUMBER(SEARCH("drink",'WATER TESTS'!C53)),ISNUMBER(SEARCH("RO",'WATER TESTS'!C53))),"D","S"))</f>
        <v>S</v>
      </c>
      <c r="D750">
        <f>SUMPRODUCT(--ISNUMBER('WATER TESTS'!D53:X53),--('WATER TESTS'!D53:X53&gt;'WATER TESTS'!$D$4:$X$4))+IF(ISNUMBER('WATER TESTS'!F53),IF(OR('WATER TESTS'!F53&lt;6.5,'WATER TESTS'!F53&gt;8.5),1,0),0)+IF(ISNUMBER('WATER TESTS'!G53),IF('WATER TESTS'!G53&gt;1500,1,0),0)</f>
        <v>3</v>
      </c>
      <c r="E750">
        <f>COUNT('WATER TESTS'!D53:X53)</f>
        <v>9</v>
      </c>
    </row>
    <row r="751" spans="1:5" x14ac:dyDescent="0.25">
      <c r="A751">
        <v>54</v>
      </c>
      <c r="B751" t="str">
        <f>IF('WATER TESTS'!A54&lt;&gt;"",TRIM('WATER TESTS'!A54),B750)</f>
        <v>PJHSW</v>
      </c>
      <c r="C751" t="str">
        <f>IF('WATER TESTS'!C54="","",IF(OR(ISNUMBER(SEARCH("drink",'WATER TESTS'!C54)),ISNUMBER(SEARCH("RO",'WATER TESTS'!C54))),"D","S"))</f>
        <v>S</v>
      </c>
      <c r="D751">
        <f>SUMPRODUCT(--ISNUMBER('WATER TESTS'!D54:X54),--('WATER TESTS'!D54:X54&gt;'WATER TESTS'!$D$4:$X$4))+IF(ISNUMBER('WATER TESTS'!F54),IF(OR('WATER TESTS'!F54&lt;6.5,'WATER TESTS'!F54&gt;8.5),1,0),0)+IF(ISNUMBER('WATER TESTS'!G54),IF('WATER TESTS'!G54&gt;1500,1,0),0)</f>
        <v>3</v>
      </c>
      <c r="E751">
        <f>COUNT('WATER TESTS'!D54:X54)</f>
        <v>9</v>
      </c>
    </row>
    <row r="752" spans="1:5" x14ac:dyDescent="0.25">
      <c r="A752">
        <v>55</v>
      </c>
      <c r="B752" t="str">
        <f>IF('WATER TESTS'!A55&lt;&gt;"",TRIM('WATER TESTS'!A55),B751)</f>
        <v>PJHSW</v>
      </c>
      <c r="C752" t="str">
        <f>IF('WATER TESTS'!C55="","",IF(OR(ISNUMBER(SEARCH("drink",'WATER TESTS'!C55)),ISNUMBER(SEARCH("RO",'WATER TESTS'!C55))),"D","S"))</f>
        <v>S</v>
      </c>
      <c r="D752">
        <f>SUMPRODUCT(--ISNUMBER('WATER TESTS'!D55:X55),--('WATER TESTS'!D55:X55&gt;'WATER TESTS'!$D$4:$X$4))+IF(ISNUMBER('WATER TESTS'!F55),IF(OR('WATER TESTS'!F55&lt;6.5,'WATER TESTS'!F55&gt;8.5),1,0),0)+IF(ISNUMBER('WATER TESTS'!G55),IF('WATER TESTS'!G55&gt;1500,1,0),0)</f>
        <v>2</v>
      </c>
      <c r="E752">
        <f>COUNT('WATER TESTS'!D55:X55)</f>
        <v>9</v>
      </c>
    </row>
    <row r="753" spans="1:5" x14ac:dyDescent="0.25">
      <c r="A753">
        <v>56</v>
      </c>
      <c r="B753" t="str">
        <f>IF('WATER TESTS'!A56&lt;&gt;"",TRIM('WATER TESTS'!A56),B752)</f>
        <v>PJHSW</v>
      </c>
      <c r="C753" t="str">
        <f>IF('WATER TESTS'!C56="","",IF(OR(ISNUMBER(SEARCH("drink",'WATER TESTS'!C56)),ISNUMBER(SEARCH("RO",'WATER TESTS'!C56))),"D","S"))</f>
        <v>D</v>
      </c>
      <c r="D753">
        <f>SUMPRODUCT(--ISNUMBER('WATER TESTS'!D56:X56),--('WATER TESTS'!D56:X56&gt;'WATER TESTS'!$D$4:$X$4))+IF(ISNUMBER('WATER TESTS'!F56),IF(OR('WATER TESTS'!F56&lt;6.5,'WATER TESTS'!F56&gt;8.5),1,0),0)+IF(ISNUMBER('WATER TESTS'!G56),IF('WATER TESTS'!G56&gt;1500,1,0),0)</f>
        <v>1</v>
      </c>
      <c r="E753">
        <f>COUNT('WATER TESTS'!D56:X56)</f>
        <v>9</v>
      </c>
    </row>
    <row r="754" spans="1:5" x14ac:dyDescent="0.25">
      <c r="A754">
        <v>57</v>
      </c>
      <c r="B754" t="str">
        <f>IF('WATER TESTS'!A57&lt;&gt;"",TRIM('WATER TESTS'!A57),B753)</f>
        <v>PJHSW</v>
      </c>
      <c r="C754" t="str">
        <f>IF('WATER TESTS'!C57="","",IF(OR(ISNUMBER(SEARCH("drink",'WATER TESTS'!C57)),ISNUMBER(SEARCH("RO",'WATER TESTS'!C57))),"D","S"))</f>
        <v>S</v>
      </c>
      <c r="D754">
        <f>SUMPRODUCT(--ISNUMBER('WATER TESTS'!D57:X57),--('WATER TESTS'!D57:X57&gt;'WATER TESTS'!$D$4:$X$4))+IF(ISNUMBER('WATER TESTS'!F57),IF(OR('WATER TESTS'!F57&lt;6.5,'WATER TESTS'!F57&gt;8.5),1,0),0)+IF(ISNUMBER('WATER TESTS'!G57),IF('WATER TESTS'!G57&gt;1500,1,0),0)</f>
        <v>0</v>
      </c>
      <c r="E754">
        <f>COUNT('WATER TESTS'!D57:X57)</f>
        <v>0</v>
      </c>
    </row>
    <row r="755" spans="1:5" x14ac:dyDescent="0.25">
      <c r="A755">
        <v>58</v>
      </c>
      <c r="B755" t="str">
        <f>IF('WATER TESTS'!A58&lt;&gt;"",TRIM('WATER TESTS'!A58),B754)</f>
        <v>PJHSW</v>
      </c>
      <c r="C755" t="str">
        <f>IF('WATER TESTS'!C58="","",IF(OR(ISNUMBER(SEARCH("drink",'WATER TESTS'!C58)),ISNUMBER(SEARCH("RO",'WATER TESTS'!C58))),"D","S"))</f>
        <v>S</v>
      </c>
      <c r="D755">
        <f>SUMPRODUCT(--ISNUMBER('WATER TESTS'!D58:X58),--('WATER TESTS'!D58:X58&gt;'WATER TESTS'!$D$4:$X$4))+IF(ISNUMBER('WATER TESTS'!F58),IF(OR('WATER TESTS'!F58&lt;6.5,'WATER TESTS'!F58&gt;8.5),1,0),0)+IF(ISNUMBER('WATER TESTS'!G58),IF('WATER TESTS'!G58&gt;1500,1,0),0)</f>
        <v>0</v>
      </c>
      <c r="E755">
        <f>COUNT('WATER TESTS'!D58:X58)</f>
        <v>0</v>
      </c>
    </row>
    <row r="756" spans="1:5" x14ac:dyDescent="0.25">
      <c r="A756">
        <v>59</v>
      </c>
      <c r="B756" t="str">
        <f>IF('WATER TESTS'!A59&lt;&gt;"",TRIM('WATER TESTS'!A59),B755)</f>
        <v>PJHSW</v>
      </c>
      <c r="C756" t="str">
        <f>IF('WATER TESTS'!C59="","",IF(OR(ISNUMBER(SEARCH("drink",'WATER TESTS'!C59)),ISNUMBER(SEARCH("RO",'WATER TESTS'!C59))),"D","S"))</f>
        <v>S</v>
      </c>
      <c r="D756">
        <f>SUMPRODUCT(--ISNUMBER('WATER TESTS'!D59:X59),--('WATER TESTS'!D59:X59&gt;'WATER TESTS'!$D$4:$X$4))+IF(ISNUMBER('WATER TESTS'!F59),IF(OR('WATER TESTS'!F59&lt;6.5,'WATER TESTS'!F59&gt;8.5),1,0),0)+IF(ISNUMBER('WATER TESTS'!G59),IF('WATER TESTS'!G59&gt;1500,1,0),0)</f>
        <v>0</v>
      </c>
      <c r="E756">
        <f>COUNT('WATER TESTS'!D59:X59)</f>
        <v>0</v>
      </c>
    </row>
    <row r="757" spans="1:5" x14ac:dyDescent="0.25">
      <c r="A757">
        <v>60</v>
      </c>
      <c r="B757" t="str">
        <f>IF('WATER TESTS'!A60&lt;&gt;"",TRIM('WATER TESTS'!A60),B756)</f>
        <v>PJHSW</v>
      </c>
      <c r="C757" t="str">
        <f>IF('WATER TESTS'!C60="","",IF(OR(ISNUMBER(SEARCH("drink",'WATER TESTS'!C60)),ISNUMBER(SEARCH("RO",'WATER TESTS'!C60))),"D","S"))</f>
        <v>D</v>
      </c>
      <c r="D757">
        <f>SUMPRODUCT(--ISNUMBER('WATER TESTS'!D60:X60),--('WATER TESTS'!D60:X60&gt;'WATER TESTS'!$D$4:$X$4))+IF(ISNUMBER('WATER TESTS'!F60),IF(OR('WATER TESTS'!F60&lt;6.5,'WATER TESTS'!F60&gt;8.5),1,0),0)+IF(ISNUMBER('WATER TESTS'!G60),IF('WATER TESTS'!G60&gt;1500,1,0),0)</f>
        <v>0</v>
      </c>
      <c r="E757">
        <f>COUNT('WATER TESTS'!D60:X60)</f>
        <v>0</v>
      </c>
    </row>
    <row r="758" spans="1:5" x14ac:dyDescent="0.25">
      <c r="A758">
        <v>61</v>
      </c>
      <c r="B758" t="str">
        <f>IF('WATER TESTS'!A61&lt;&gt;"",TRIM('WATER TESTS'!A61),B757)</f>
        <v>PJHSW</v>
      </c>
      <c r="C758" t="str">
        <f>IF('WATER TESTS'!C61="","",IF(OR(ISNUMBER(SEARCH("drink",'WATER TESTS'!C61)),ISNUMBER(SEARCH("RO",'WATER TESTS'!C61))),"D","S"))</f>
        <v>S</v>
      </c>
      <c r="D758">
        <f>SUMPRODUCT(--ISNUMBER('WATER TESTS'!D61:X61),--('WATER TESTS'!D61:X61&gt;'WATER TESTS'!$D$4:$X$4))+IF(ISNUMBER('WATER TESTS'!F61),IF(OR('WATER TESTS'!F61&lt;6.5,'WATER TESTS'!F61&gt;8.5),1,0),0)+IF(ISNUMBER('WATER TESTS'!G61),IF('WATER TESTS'!G61&gt;1500,1,0),0)</f>
        <v>0</v>
      </c>
      <c r="E758">
        <f>COUNT('WATER TESTS'!D61:X61)</f>
        <v>0</v>
      </c>
    </row>
    <row r="759" spans="1:5" x14ac:dyDescent="0.25">
      <c r="A759">
        <v>62</v>
      </c>
      <c r="B759" t="str">
        <f>IF('WATER TESTS'!A62&lt;&gt;"",TRIM('WATER TESTS'!A62),B758)</f>
        <v>PJHSW</v>
      </c>
      <c r="C759" t="str">
        <f>IF('WATER TESTS'!C62="","",IF(OR(ISNUMBER(SEARCH("drink",'WATER TESTS'!C62)),ISNUMBER(SEARCH("RO",'WATER TESTS'!C62))),"D","S"))</f>
        <v>S</v>
      </c>
      <c r="D759">
        <f>SUMPRODUCT(--ISNUMBER('WATER TESTS'!D62:X62),--('WATER TESTS'!D62:X62&gt;'WATER TESTS'!$D$4:$X$4))+IF(ISNUMBER('WATER TESTS'!F62),IF(OR('WATER TESTS'!F62&lt;6.5,'WATER TESTS'!F62&gt;8.5),1,0),0)+IF(ISNUMBER('WATER TESTS'!G62),IF('WATER TESTS'!G62&gt;1500,1,0),0)</f>
        <v>0</v>
      </c>
      <c r="E759">
        <f>COUNT('WATER TESTS'!D62:X62)</f>
        <v>0</v>
      </c>
    </row>
    <row r="760" spans="1:5" x14ac:dyDescent="0.25">
      <c r="A760">
        <v>63</v>
      </c>
      <c r="B760" t="str">
        <f>IF('WATER TESTS'!A63&lt;&gt;"",TRIM('WATER TESTS'!A63),B759)</f>
        <v>PJHSW</v>
      </c>
      <c r="C760" t="str">
        <f>IF('WATER TESTS'!C63="","",IF(OR(ISNUMBER(SEARCH("drink",'WATER TESTS'!C63)),ISNUMBER(SEARCH("RO",'WATER TESTS'!C63))),"D","S"))</f>
        <v>S</v>
      </c>
      <c r="D760">
        <f>SUMPRODUCT(--ISNUMBER('WATER TESTS'!D63:X63),--('WATER TESTS'!D63:X63&gt;'WATER TESTS'!$D$4:$X$4))+IF(ISNUMBER('WATER TESTS'!F63),IF(OR('WATER TESTS'!F63&lt;6.5,'WATER TESTS'!F63&gt;8.5),1,0),0)+IF(ISNUMBER('WATER TESTS'!G63),IF('WATER TESTS'!G63&gt;1500,1,0),0)</f>
        <v>0</v>
      </c>
      <c r="E760">
        <f>COUNT('WATER TESTS'!D63:X63)</f>
        <v>0</v>
      </c>
    </row>
    <row r="761" spans="1:5" x14ac:dyDescent="0.25">
      <c r="A761">
        <v>64</v>
      </c>
      <c r="B761" t="str">
        <f>IF('WATER TESTS'!A64&lt;&gt;"",TRIM('WATER TESTS'!A64),B760)</f>
        <v>PJHSW</v>
      </c>
      <c r="C761" t="str">
        <f>IF('WATER TESTS'!C64="","",IF(OR(ISNUMBER(SEARCH("drink",'WATER TESTS'!C64)),ISNUMBER(SEARCH("RO",'WATER TESTS'!C64))),"D","S"))</f>
        <v>D</v>
      </c>
      <c r="D761">
        <f>SUMPRODUCT(--ISNUMBER('WATER TESTS'!D64:X64),--('WATER TESTS'!D64:X64&gt;'WATER TESTS'!$D$4:$X$4))+IF(ISNUMBER('WATER TESTS'!F64),IF(OR('WATER TESTS'!F64&lt;6.5,'WATER TESTS'!F64&gt;8.5),1,0),0)+IF(ISNUMBER('WATER TESTS'!G64),IF('WATER TESTS'!G64&gt;1500,1,0),0)</f>
        <v>0</v>
      </c>
      <c r="E761">
        <f>COUNT('WATER TESTS'!D64:X64)</f>
        <v>0</v>
      </c>
    </row>
    <row r="762" spans="1:5" x14ac:dyDescent="0.25">
      <c r="A762">
        <v>65</v>
      </c>
      <c r="B762" t="str">
        <f>IF('WATER TESTS'!A65&lt;&gt;"",TRIM('WATER TESTS'!A65),B761)</f>
        <v>LSHSA</v>
      </c>
      <c r="C762" t="str">
        <f>IF('WATER TESTS'!C65="","",IF(OR(ISNUMBER(SEARCH("drink",'WATER TESTS'!C65)),ISNUMBER(SEARCH("RO",'WATER TESTS'!C65))),"D","S"))</f>
        <v>S</v>
      </c>
      <c r="D762">
        <f>SUMPRODUCT(--ISNUMBER('WATER TESTS'!D65:X65),--('WATER TESTS'!D65:X65&gt;'WATER TESTS'!$D$4:$X$4))+IF(ISNUMBER('WATER TESTS'!F65),IF(OR('WATER TESTS'!F65&lt;6.5,'WATER TESTS'!F65&gt;8.5),1,0),0)+IF(ISNUMBER('WATER TESTS'!G65),IF('WATER TESTS'!G65&gt;1500,1,0),0)</f>
        <v>5</v>
      </c>
      <c r="E762">
        <f>COUNT('WATER TESTS'!D65:X65)</f>
        <v>17</v>
      </c>
    </row>
    <row r="763" spans="1:5" x14ac:dyDescent="0.25">
      <c r="A763">
        <v>66</v>
      </c>
      <c r="B763" t="str">
        <f>IF('WATER TESTS'!A66&lt;&gt;"",TRIM('WATER TESTS'!A66),B762)</f>
        <v>LSHSA</v>
      </c>
      <c r="C763" t="str">
        <f>IF('WATER TESTS'!C66="","",IF(OR(ISNUMBER(SEARCH("drink",'WATER TESTS'!C66)),ISNUMBER(SEARCH("RO",'WATER TESTS'!C66))),"D","S"))</f>
        <v>D</v>
      </c>
      <c r="D763">
        <f>SUMPRODUCT(--ISNUMBER('WATER TESTS'!D66:X66),--('WATER TESTS'!D66:X66&gt;'WATER TESTS'!$D$4:$X$4))+IF(ISNUMBER('WATER TESTS'!F66),IF(OR('WATER TESTS'!F66&lt;6.5,'WATER TESTS'!F66&gt;8.5),1,0),0)+IF(ISNUMBER('WATER TESTS'!G66),IF('WATER TESTS'!G66&gt;1500,1,0),0)</f>
        <v>0</v>
      </c>
      <c r="E763">
        <f>COUNT('WATER TESTS'!D66:X66)</f>
        <v>15</v>
      </c>
    </row>
    <row r="764" spans="1:5" x14ac:dyDescent="0.25">
      <c r="A764">
        <v>67</v>
      </c>
      <c r="B764" t="str">
        <f>IF('WATER TESTS'!A67&lt;&gt;"",TRIM('WATER TESTS'!A67),B763)</f>
        <v>LSHSA</v>
      </c>
      <c r="C764" t="str">
        <f>IF('WATER TESTS'!C67="","",IF(OR(ISNUMBER(SEARCH("drink",'WATER TESTS'!C67)),ISNUMBER(SEARCH("RO",'WATER TESTS'!C67))),"D","S"))</f>
        <v>S</v>
      </c>
      <c r="D764">
        <f>SUMPRODUCT(--ISNUMBER('WATER TESTS'!D67:X67),--('WATER TESTS'!D67:X67&gt;'WATER TESTS'!$D$4:$X$4))+IF(ISNUMBER('WATER TESTS'!F67),IF(OR('WATER TESTS'!F67&lt;6.5,'WATER TESTS'!F67&gt;8.5),1,0),0)+IF(ISNUMBER('WATER TESTS'!G67),IF('WATER TESTS'!G67&gt;1500,1,0),0)</f>
        <v>0</v>
      </c>
      <c r="E764">
        <f>COUNT('WATER TESTS'!D67:X67)</f>
        <v>0</v>
      </c>
    </row>
    <row r="765" spans="1:5" x14ac:dyDescent="0.25">
      <c r="A765">
        <v>68</v>
      </c>
      <c r="B765" t="str">
        <f>IF('WATER TESTS'!A68&lt;&gt;"",TRIM('WATER TESTS'!A68),B764)</f>
        <v>LSHSA</v>
      </c>
      <c r="C765" t="str">
        <f>IF('WATER TESTS'!C68="","",IF(OR(ISNUMBER(SEARCH("drink",'WATER TESTS'!C68)),ISNUMBER(SEARCH("RO",'WATER TESTS'!C68))),"D","S"))</f>
        <v>D</v>
      </c>
      <c r="D765">
        <f>SUMPRODUCT(--ISNUMBER('WATER TESTS'!D68:X68),--('WATER TESTS'!D68:X68&gt;'WATER TESTS'!$D$4:$X$4))+IF(ISNUMBER('WATER TESTS'!F68),IF(OR('WATER TESTS'!F68&lt;6.5,'WATER TESTS'!F68&gt;8.5),1,0),0)+IF(ISNUMBER('WATER TESTS'!G68),IF('WATER TESTS'!G68&gt;1500,1,0),0)</f>
        <v>0</v>
      </c>
      <c r="E765">
        <f>COUNT('WATER TESTS'!D68:X68)</f>
        <v>0</v>
      </c>
    </row>
    <row r="766" spans="1:5" x14ac:dyDescent="0.25">
      <c r="A766">
        <v>69</v>
      </c>
      <c r="B766" t="str">
        <f>IF('WATER TESTS'!A69&lt;&gt;"",TRIM('WATER TESTS'!A69),B765)</f>
        <v>LSHSA</v>
      </c>
      <c r="C766" t="str">
        <f>IF('WATER TESTS'!C69="","",IF(OR(ISNUMBER(SEARCH("drink",'WATER TESTS'!C69)),ISNUMBER(SEARCH("RO",'WATER TESTS'!C69))),"D","S"))</f>
        <v>S</v>
      </c>
      <c r="D766">
        <f>SUMPRODUCT(--ISNUMBER('WATER TESTS'!D69:X69),--('WATER TESTS'!D69:X69&gt;'WATER TESTS'!$D$4:$X$4))+IF(ISNUMBER('WATER TESTS'!F69),IF(OR('WATER TESTS'!F69&lt;6.5,'WATER TESTS'!F69&gt;8.5),1,0),0)+IF(ISNUMBER('WATER TESTS'!G69),IF('WATER TESTS'!G69&gt;1500,1,0),0)</f>
        <v>0</v>
      </c>
      <c r="E766">
        <f>COUNT('WATER TESTS'!D69:X69)</f>
        <v>0</v>
      </c>
    </row>
    <row r="767" spans="1:5" x14ac:dyDescent="0.25">
      <c r="A767">
        <v>70</v>
      </c>
      <c r="B767" t="str">
        <f>IF('WATER TESTS'!A70&lt;&gt;"",TRIM('WATER TESTS'!A70),B766)</f>
        <v>LSHSA</v>
      </c>
      <c r="C767" t="str">
        <f>IF('WATER TESTS'!C70="","",IF(OR(ISNUMBER(SEARCH("drink",'WATER TESTS'!C70)),ISNUMBER(SEARCH("RO",'WATER TESTS'!C70))),"D","S"))</f>
        <v>D</v>
      </c>
      <c r="D767">
        <f>SUMPRODUCT(--ISNUMBER('WATER TESTS'!D70:X70),--('WATER TESTS'!D70:X70&gt;'WATER TESTS'!$D$4:$X$4))+IF(ISNUMBER('WATER TESTS'!F70),IF(OR('WATER TESTS'!F70&lt;6.5,'WATER TESTS'!F70&gt;8.5),1,0),0)+IF(ISNUMBER('WATER TESTS'!G70),IF('WATER TESTS'!G70&gt;1500,1,0),0)</f>
        <v>0</v>
      </c>
      <c r="E767">
        <f>COUNT('WATER TESTS'!D70:X70)</f>
        <v>0</v>
      </c>
    </row>
    <row r="768" spans="1:5" x14ac:dyDescent="0.25">
      <c r="A768">
        <v>71</v>
      </c>
      <c r="B768" t="str">
        <f>IF('WATER TESTS'!A71&lt;&gt;"",TRIM('WATER TESTS'!A71),B767)</f>
        <v>LSHSA</v>
      </c>
      <c r="C768" t="str">
        <f>IF('WATER TESTS'!C71="","",IF(OR(ISNUMBER(SEARCH("drink",'WATER TESTS'!C71)),ISNUMBER(SEARCH("RO",'WATER TESTS'!C71))),"D","S"))</f>
        <v>S</v>
      </c>
      <c r="D768">
        <f>SUMPRODUCT(--ISNUMBER('WATER TESTS'!D71:X71),--('WATER TESTS'!D71:X71&gt;'WATER TESTS'!$D$4:$X$4))+IF(ISNUMBER('WATER TESTS'!F71),IF(OR('WATER TESTS'!F71&lt;6.5,'WATER TESTS'!F71&gt;8.5),1,0),0)+IF(ISNUMBER('WATER TESTS'!G71),IF('WATER TESTS'!G71&gt;1500,1,0),0)</f>
        <v>0</v>
      </c>
      <c r="E768">
        <f>COUNT('WATER TESTS'!D71:X71)</f>
        <v>0</v>
      </c>
    </row>
    <row r="769" spans="1:5" x14ac:dyDescent="0.25">
      <c r="A769">
        <v>72</v>
      </c>
      <c r="B769" t="str">
        <f>IF('WATER TESTS'!A72&lt;&gt;"",TRIM('WATER TESTS'!A72),B768)</f>
        <v>LSHSA</v>
      </c>
      <c r="C769" t="str">
        <f>IF('WATER TESTS'!C72="","",IF(OR(ISNUMBER(SEARCH("drink",'WATER TESTS'!C72)),ISNUMBER(SEARCH("RO",'WATER TESTS'!C72))),"D","S"))</f>
        <v>D</v>
      </c>
      <c r="D769">
        <f>SUMPRODUCT(--ISNUMBER('WATER TESTS'!D72:X72),--('WATER TESTS'!D72:X72&gt;'WATER TESTS'!$D$4:$X$4))+IF(ISNUMBER('WATER TESTS'!F72),IF(OR('WATER TESTS'!F72&lt;6.5,'WATER TESTS'!F72&gt;8.5),1,0),0)+IF(ISNUMBER('WATER TESTS'!G72),IF('WATER TESTS'!G72&gt;1500,1,0),0)</f>
        <v>0</v>
      </c>
      <c r="E769">
        <f>COUNT('WATER TESTS'!D72:X72)</f>
        <v>0</v>
      </c>
    </row>
    <row r="770" spans="1:5" x14ac:dyDescent="0.25">
      <c r="A770">
        <v>73</v>
      </c>
      <c r="B770" t="str">
        <f>IF('WATER TESTS'!A73&lt;&gt;"",TRIM('WATER TESTS'!A73),B769)</f>
        <v>DJHSH (PRI)</v>
      </c>
      <c r="C770" t="str">
        <f>IF('WATER TESTS'!C73="","",IF(OR(ISNUMBER(SEARCH("drink",'WATER TESTS'!C73)),ISNUMBER(SEARCH("RO",'WATER TESTS'!C73))),"D","S"))</f>
        <v>S</v>
      </c>
      <c r="D770">
        <f>SUMPRODUCT(--ISNUMBER('WATER TESTS'!D73:X73),--('WATER TESTS'!D73:X73&gt;'WATER TESTS'!$D$4:$X$4))+IF(ISNUMBER('WATER TESTS'!F73),IF(OR('WATER TESTS'!F73&lt;6.5,'WATER TESTS'!F73&gt;8.5),1,0),0)+IF(ISNUMBER('WATER TESTS'!G73),IF('WATER TESTS'!G73&gt;1500,1,0),0)</f>
        <v>0</v>
      </c>
      <c r="E770">
        <f>COUNT('WATER TESTS'!D73:X73)</f>
        <v>15</v>
      </c>
    </row>
    <row r="771" spans="1:5" x14ac:dyDescent="0.25">
      <c r="A771">
        <v>74</v>
      </c>
      <c r="B771" t="str">
        <f>IF('WATER TESTS'!A74&lt;&gt;"",TRIM('WATER TESTS'!A74),B770)</f>
        <v>DJHSH (PRI)</v>
      </c>
      <c r="C771" t="str">
        <f>IF('WATER TESTS'!C74="","",IF(OR(ISNUMBER(SEARCH("drink",'WATER TESTS'!C74)),ISNUMBER(SEARCH("RO",'WATER TESTS'!C74))),"D","S"))</f>
        <v>D</v>
      </c>
      <c r="D771">
        <f>SUMPRODUCT(--ISNUMBER('WATER TESTS'!D74:X74),--('WATER TESTS'!D74:X74&gt;'WATER TESTS'!$D$4:$X$4))+IF(ISNUMBER('WATER TESTS'!F74),IF(OR('WATER TESTS'!F74&lt;6.5,'WATER TESTS'!F74&gt;8.5),1,0),0)+IF(ISNUMBER('WATER TESTS'!G74),IF('WATER TESTS'!G74&gt;1500,1,0),0)</f>
        <v>0</v>
      </c>
      <c r="E771">
        <f>COUNT('WATER TESTS'!D74:X74)</f>
        <v>0</v>
      </c>
    </row>
    <row r="772" spans="1:5" x14ac:dyDescent="0.25">
      <c r="A772">
        <v>75</v>
      </c>
      <c r="B772" t="str">
        <f>IF('WATER TESTS'!A75&lt;&gt;"",TRIM('WATER TESTS'!A75),B771)</f>
        <v>DJHSH (PRI)</v>
      </c>
      <c r="C772" t="str">
        <f>IF('WATER TESTS'!C75="","",IF(OR(ISNUMBER(SEARCH("drink",'WATER TESTS'!C75)),ISNUMBER(SEARCH("RO",'WATER TESTS'!C75))),"D","S"))</f>
        <v>S</v>
      </c>
      <c r="D772">
        <f>SUMPRODUCT(--ISNUMBER('WATER TESTS'!D75:X75),--('WATER TESTS'!D75:X75&gt;'WATER TESTS'!$D$4:$X$4))+IF(ISNUMBER('WATER TESTS'!F75),IF(OR('WATER TESTS'!F75&lt;6.5,'WATER TESTS'!F75&gt;8.5),1,0),0)+IF(ISNUMBER('WATER TESTS'!G75),IF('WATER TESTS'!G75&gt;1500,1,0),0)</f>
        <v>0</v>
      </c>
      <c r="E772">
        <f>COUNT('WATER TESTS'!D75:X75)</f>
        <v>0</v>
      </c>
    </row>
    <row r="773" spans="1:5" x14ac:dyDescent="0.25">
      <c r="A773">
        <v>76</v>
      </c>
      <c r="B773" t="str">
        <f>IF('WATER TESTS'!A76&lt;&gt;"",TRIM('WATER TESTS'!A76),B772)</f>
        <v>DJHSH (PRI)</v>
      </c>
      <c r="C773" t="str">
        <f>IF('WATER TESTS'!C76="","",IF(OR(ISNUMBER(SEARCH("drink",'WATER TESTS'!C76)),ISNUMBER(SEARCH("RO",'WATER TESTS'!C76))),"D","S"))</f>
        <v>S</v>
      </c>
      <c r="D773">
        <f>SUMPRODUCT(--ISNUMBER('WATER TESTS'!D76:X76),--('WATER TESTS'!D76:X76&gt;'WATER TESTS'!$D$4:$X$4))+IF(ISNUMBER('WATER TESTS'!F76),IF(OR('WATER TESTS'!F76&lt;6.5,'WATER TESTS'!F76&gt;8.5),1,0),0)+IF(ISNUMBER('WATER TESTS'!G76),IF('WATER TESTS'!G76&gt;1500,1,0),0)</f>
        <v>0</v>
      </c>
      <c r="E773">
        <f>COUNT('WATER TESTS'!D76:X76)</f>
        <v>0</v>
      </c>
    </row>
    <row r="774" spans="1:5" x14ac:dyDescent="0.25">
      <c r="A774">
        <v>77</v>
      </c>
      <c r="B774" t="str">
        <f>IF('WATER TESTS'!A77&lt;&gt;"",TRIM('WATER TESTS'!A77),B773)</f>
        <v>DJHSH (PRI)</v>
      </c>
      <c r="C774" t="str">
        <f>IF('WATER TESTS'!C77="","",IF(OR(ISNUMBER(SEARCH("drink",'WATER TESTS'!C77)),ISNUMBER(SEARCH("RO",'WATER TESTS'!C77))),"D","S"))</f>
        <v>D</v>
      </c>
      <c r="D774">
        <f>SUMPRODUCT(--ISNUMBER('WATER TESTS'!D77:X77),--('WATER TESTS'!D77:X77&gt;'WATER TESTS'!$D$4:$X$4))+IF(ISNUMBER('WATER TESTS'!F77),IF(OR('WATER TESTS'!F77&lt;6.5,'WATER TESTS'!F77&gt;8.5),1,0),0)+IF(ISNUMBER('WATER TESTS'!G77),IF('WATER TESTS'!G77&gt;1500,1,0),0)</f>
        <v>0</v>
      </c>
      <c r="E774">
        <f>COUNT('WATER TESTS'!D77:X77)</f>
        <v>0</v>
      </c>
    </row>
    <row r="775" spans="1:5" x14ac:dyDescent="0.25">
      <c r="A775">
        <v>78</v>
      </c>
      <c r="B775" t="str">
        <f>IF('WATER TESTS'!A78&lt;&gt;"",TRIM('WATER TESTS'!A78),B774)</f>
        <v>DJHSH (PRI)</v>
      </c>
      <c r="C775" t="str">
        <f>IF('WATER TESTS'!C78="","",IF(OR(ISNUMBER(SEARCH("drink",'WATER TESTS'!C78)),ISNUMBER(SEARCH("RO",'WATER TESTS'!C78))),"D","S"))</f>
        <v>S</v>
      </c>
      <c r="D775">
        <f>SUMPRODUCT(--ISNUMBER('WATER TESTS'!D78:X78),--('WATER TESTS'!D78:X78&gt;'WATER TESTS'!$D$4:$X$4))+IF(ISNUMBER('WATER TESTS'!F78),IF(OR('WATER TESTS'!F78&lt;6.5,'WATER TESTS'!F78&gt;8.5),1,0),0)+IF(ISNUMBER('WATER TESTS'!G78),IF('WATER TESTS'!G78&gt;1500,1,0),0)</f>
        <v>0</v>
      </c>
      <c r="E775">
        <f>COUNT('WATER TESTS'!D78:X78)</f>
        <v>0</v>
      </c>
    </row>
    <row r="776" spans="1:5" x14ac:dyDescent="0.25">
      <c r="A776">
        <v>79</v>
      </c>
      <c r="B776" t="str">
        <f>IF('WATER TESTS'!A79&lt;&gt;"",TRIM('WATER TESTS'!A79),B775)</f>
        <v>DJHSH (PRI)</v>
      </c>
      <c r="C776" t="str">
        <f>IF('WATER TESTS'!C79="","",IF(OR(ISNUMBER(SEARCH("drink",'WATER TESTS'!C79)),ISNUMBER(SEARCH("RO",'WATER TESTS'!C79))),"D","S"))</f>
        <v>S</v>
      </c>
      <c r="D776">
        <f>SUMPRODUCT(--ISNUMBER('WATER TESTS'!D79:X79),--('WATER TESTS'!D79:X79&gt;'WATER TESTS'!$D$4:$X$4))+IF(ISNUMBER('WATER TESTS'!F79),IF(OR('WATER TESTS'!F79&lt;6.5,'WATER TESTS'!F79&gt;8.5),1,0),0)+IF(ISNUMBER('WATER TESTS'!G79),IF('WATER TESTS'!G79&gt;1500,1,0),0)</f>
        <v>0</v>
      </c>
      <c r="E776">
        <f>COUNT('WATER TESTS'!D79:X79)</f>
        <v>0</v>
      </c>
    </row>
    <row r="777" spans="1:5" x14ac:dyDescent="0.25">
      <c r="A777">
        <v>80</v>
      </c>
      <c r="B777" t="str">
        <f>IF('WATER TESTS'!A80&lt;&gt;"",TRIM('WATER TESTS'!A80),B776)</f>
        <v>DJHSH (PRI)</v>
      </c>
      <c r="C777" t="str">
        <f>IF('WATER TESTS'!C80="","",IF(OR(ISNUMBER(SEARCH("drink",'WATER TESTS'!C80)),ISNUMBER(SEARCH("RO",'WATER TESTS'!C80))),"D","S"))</f>
        <v>D</v>
      </c>
      <c r="D777">
        <f>SUMPRODUCT(--ISNUMBER('WATER TESTS'!D80:X80),--('WATER TESTS'!D80:X80&gt;'WATER TESTS'!$D$4:$X$4))+IF(ISNUMBER('WATER TESTS'!F80),IF(OR('WATER TESTS'!F80&lt;6.5,'WATER TESTS'!F80&gt;8.5),1,0),0)+IF(ISNUMBER('WATER TESTS'!G80),IF('WATER TESTS'!G80&gt;1500,1,0),0)</f>
        <v>1</v>
      </c>
      <c r="E777">
        <f>COUNT('WATER TESTS'!D80:X80)</f>
        <v>15</v>
      </c>
    </row>
    <row r="778" spans="1:5" x14ac:dyDescent="0.25">
      <c r="A778">
        <v>81</v>
      </c>
      <c r="B778" t="str">
        <f>IF('WATER TESTS'!A81&lt;&gt;"",TRIM('WATER TESTS'!A81),B777)</f>
        <v>DJHSH (PRI)</v>
      </c>
      <c r="C778" t="str">
        <f>IF('WATER TESTS'!C81="","",IF(OR(ISNUMBER(SEARCH("drink",'WATER TESTS'!C81)),ISNUMBER(SEARCH("RO",'WATER TESTS'!C81))),"D","S"))</f>
        <v>S</v>
      </c>
      <c r="D778">
        <f>SUMPRODUCT(--ISNUMBER('WATER TESTS'!D81:X81),--('WATER TESTS'!D81:X81&gt;'WATER TESTS'!$D$4:$X$4))+IF(ISNUMBER('WATER TESTS'!F81),IF(OR('WATER TESTS'!F81&lt;6.5,'WATER TESTS'!F81&gt;8.5),1,0),0)+IF(ISNUMBER('WATER TESTS'!G81),IF('WATER TESTS'!G81&gt;1500,1,0),0)</f>
        <v>5</v>
      </c>
      <c r="E778">
        <f>COUNT('WATER TESTS'!D81:X81)</f>
        <v>15</v>
      </c>
    </row>
    <row r="779" spans="1:5" x14ac:dyDescent="0.25">
      <c r="A779">
        <v>82</v>
      </c>
      <c r="B779" t="str">
        <f>IF('WATER TESTS'!A82&lt;&gt;"",TRIM('WATER TESTS'!A82),B778)</f>
        <v>DJHSH (PRI)</v>
      </c>
      <c r="C779" t="str">
        <f>IF('WATER TESTS'!C82="","",IF(OR(ISNUMBER(SEARCH("drink",'WATER TESTS'!C82)),ISNUMBER(SEARCH("RO",'WATER TESTS'!C82))),"D","S"))</f>
        <v>S</v>
      </c>
      <c r="D779">
        <f>SUMPRODUCT(--ISNUMBER('WATER TESTS'!D82:X82),--('WATER TESTS'!D82:X82&gt;'WATER TESTS'!$D$4:$X$4))+IF(ISNUMBER('WATER TESTS'!F82),IF(OR('WATER TESTS'!F82&lt;6.5,'WATER TESTS'!F82&gt;8.5),1,0),0)+IF(ISNUMBER('WATER TESTS'!G82),IF('WATER TESTS'!G82&gt;1500,1,0),0)</f>
        <v>0</v>
      </c>
      <c r="E779">
        <f>COUNT('WATER TESTS'!D82:X82)</f>
        <v>0</v>
      </c>
    </row>
    <row r="780" spans="1:5" x14ac:dyDescent="0.25">
      <c r="A780">
        <v>83</v>
      </c>
      <c r="B780" t="str">
        <f>IF('WATER TESTS'!A83&lt;&gt;"",TRIM('WATER TESTS'!A83),B779)</f>
        <v>DJHSH (PRI)</v>
      </c>
      <c r="C780" t="str">
        <f>IF('WATER TESTS'!C83="","",IF(OR(ISNUMBER(SEARCH("drink",'WATER TESTS'!C83)),ISNUMBER(SEARCH("RO",'WATER TESTS'!C83))),"D","S"))</f>
        <v>D</v>
      </c>
      <c r="D780">
        <f>SUMPRODUCT(--ISNUMBER('WATER TESTS'!D83:X83),--('WATER TESTS'!D83:X83&gt;'WATER TESTS'!$D$4:$X$4))+IF(ISNUMBER('WATER TESTS'!F83),IF(OR('WATER TESTS'!F83&lt;6.5,'WATER TESTS'!F83&gt;8.5),1,0),0)+IF(ISNUMBER('WATER TESTS'!G83),IF('WATER TESTS'!G83&gt;1500,1,0),0)</f>
        <v>0</v>
      </c>
      <c r="E780">
        <f>COUNT('WATER TESTS'!D83:X83)</f>
        <v>0</v>
      </c>
    </row>
    <row r="781" spans="1:5" x14ac:dyDescent="0.25">
      <c r="A781">
        <v>84</v>
      </c>
      <c r="B781" t="str">
        <f>IF('WATER TESTS'!A84&lt;&gt;"",TRIM('WATER TESTS'!A84),B780)</f>
        <v>DJHSH (PRI)</v>
      </c>
      <c r="C781" t="str">
        <f>IF('WATER TESTS'!C84="","",IF(OR(ISNUMBER(SEARCH("drink",'WATER TESTS'!C84)),ISNUMBER(SEARCH("RO",'WATER TESTS'!C84))),"D","S"))</f>
        <v>S</v>
      </c>
      <c r="D781">
        <f>SUMPRODUCT(--ISNUMBER('WATER TESTS'!D84:X84),--('WATER TESTS'!D84:X84&gt;'WATER TESTS'!$D$4:$X$4))+IF(ISNUMBER('WATER TESTS'!F84),IF(OR('WATER TESTS'!F84&lt;6.5,'WATER TESTS'!F84&gt;8.5),1,0),0)+IF(ISNUMBER('WATER TESTS'!G84),IF('WATER TESTS'!G84&gt;1500,1,0),0)</f>
        <v>0</v>
      </c>
      <c r="E781">
        <f>COUNT('WATER TESTS'!D84:X84)</f>
        <v>0</v>
      </c>
    </row>
    <row r="782" spans="1:5" x14ac:dyDescent="0.25">
      <c r="A782">
        <v>85</v>
      </c>
      <c r="B782" t="str">
        <f>IF('WATER TESTS'!A85&lt;&gt;"",TRIM('WATER TESTS'!A85),B781)</f>
        <v>DJHSH (SEC)</v>
      </c>
      <c r="C782" t="str">
        <f>IF('WATER TESTS'!C85="","",IF(OR(ISNUMBER(SEARCH("drink",'WATER TESTS'!C85)),ISNUMBER(SEARCH("RO",'WATER TESTS'!C85))),"D","S"))</f>
        <v>S</v>
      </c>
      <c r="D782">
        <f>SUMPRODUCT(--ISNUMBER('WATER TESTS'!D85:X85),--('WATER TESTS'!D85:X85&gt;'WATER TESTS'!$D$4:$X$4))+IF(ISNUMBER('WATER TESTS'!F85),IF(OR('WATER TESTS'!F85&lt;6.5,'WATER TESTS'!F85&gt;8.5),1,0),0)+IF(ISNUMBER('WATER TESTS'!G85),IF('WATER TESTS'!G85&gt;1500,1,0),0)</f>
        <v>0</v>
      </c>
      <c r="E782">
        <f>COUNT('WATER TESTS'!D85:X85)</f>
        <v>15</v>
      </c>
    </row>
    <row r="783" spans="1:5" x14ac:dyDescent="0.25">
      <c r="A783">
        <v>86</v>
      </c>
      <c r="B783" t="str">
        <f>IF('WATER TESTS'!A86&lt;&gt;"",TRIM('WATER TESTS'!A86),B782)</f>
        <v>DJHSH (SEC)</v>
      </c>
      <c r="C783" t="str">
        <f>IF('WATER TESTS'!C86="","",IF(OR(ISNUMBER(SEARCH("drink",'WATER TESTS'!C86)),ISNUMBER(SEARCH("RO",'WATER TESTS'!C86))),"D","S"))</f>
        <v>D</v>
      </c>
      <c r="D783">
        <f>SUMPRODUCT(--ISNUMBER('WATER TESTS'!D86:X86),--('WATER TESTS'!D86:X86&gt;'WATER TESTS'!$D$4:$X$4))+IF(ISNUMBER('WATER TESTS'!F86),IF(OR('WATER TESTS'!F86&lt;6.5,'WATER TESTS'!F86&gt;8.5),1,0),0)+IF(ISNUMBER('WATER TESTS'!G86),IF('WATER TESTS'!G86&gt;1500,1,0),0)</f>
        <v>0</v>
      </c>
      <c r="E783">
        <f>COUNT('WATER TESTS'!D86:X86)</f>
        <v>0</v>
      </c>
    </row>
    <row r="784" spans="1:5" x14ac:dyDescent="0.25">
      <c r="A784">
        <v>87</v>
      </c>
      <c r="B784" t="str">
        <f>IF('WATER TESTS'!A87&lt;&gt;"",TRIM('WATER TESTS'!A87),B783)</f>
        <v>DJHSH (SEC)</v>
      </c>
      <c r="C784" t="str">
        <f>IF('WATER TESTS'!C87="","",IF(OR(ISNUMBER(SEARCH("drink",'WATER TESTS'!C87)),ISNUMBER(SEARCH("RO",'WATER TESTS'!C87))),"D","S"))</f>
        <v>S</v>
      </c>
      <c r="D784">
        <f>SUMPRODUCT(--ISNUMBER('WATER TESTS'!D87:X87),--('WATER TESTS'!D87:X87&gt;'WATER TESTS'!$D$4:$X$4))+IF(ISNUMBER('WATER TESTS'!F87),IF(OR('WATER TESTS'!F87&lt;6.5,'WATER TESTS'!F87&gt;8.5),1,0),0)+IF(ISNUMBER('WATER TESTS'!G87),IF('WATER TESTS'!G87&gt;1500,1,0),0)</f>
        <v>0</v>
      </c>
      <c r="E784">
        <f>COUNT('WATER TESTS'!D87:X87)</f>
        <v>0</v>
      </c>
    </row>
    <row r="785" spans="1:5" x14ac:dyDescent="0.25">
      <c r="A785">
        <v>88</v>
      </c>
      <c r="B785" t="str">
        <f>IF('WATER TESTS'!A88&lt;&gt;"",TRIM('WATER TESTS'!A88),B784)</f>
        <v>DJHSH (SEC)</v>
      </c>
      <c r="C785" t="str">
        <f>IF('WATER TESTS'!C88="","",IF(OR(ISNUMBER(SEARCH("drink",'WATER TESTS'!C88)),ISNUMBER(SEARCH("RO",'WATER TESTS'!C88))),"D","S"))</f>
        <v>D</v>
      </c>
      <c r="D785">
        <f>SUMPRODUCT(--ISNUMBER('WATER TESTS'!D88:X88),--('WATER TESTS'!D88:X88&gt;'WATER TESTS'!$D$4:$X$4))+IF(ISNUMBER('WATER TESTS'!F88),IF(OR('WATER TESTS'!F88&lt;6.5,'WATER TESTS'!F88&gt;8.5),1,0),0)+IF(ISNUMBER('WATER TESTS'!G88),IF('WATER TESTS'!G88&gt;1500,1,0),0)</f>
        <v>0</v>
      </c>
      <c r="E785">
        <f>COUNT('WATER TESTS'!D88:X88)</f>
        <v>0</v>
      </c>
    </row>
    <row r="786" spans="1:5" x14ac:dyDescent="0.25">
      <c r="A786">
        <v>89</v>
      </c>
      <c r="B786" t="str">
        <f>IF('WATER TESTS'!A89&lt;&gt;"",TRIM('WATER TESTS'!A89),B785)</f>
        <v>DJHSH (SEC)</v>
      </c>
      <c r="C786" t="str">
        <f>IF('WATER TESTS'!C89="","",IF(OR(ISNUMBER(SEARCH("drink",'WATER TESTS'!C89)),ISNUMBER(SEARCH("RO",'WATER TESTS'!C89))),"D","S"))</f>
        <v>S</v>
      </c>
      <c r="D786">
        <f>SUMPRODUCT(--ISNUMBER('WATER TESTS'!D89:X89),--('WATER TESTS'!D89:X89&gt;'WATER TESTS'!$D$4:$X$4))+IF(ISNUMBER('WATER TESTS'!F89),IF(OR('WATER TESTS'!F89&lt;6.5,'WATER TESTS'!F89&gt;8.5),1,0),0)+IF(ISNUMBER('WATER TESTS'!G89),IF('WATER TESTS'!G89&gt;1500,1,0),0)</f>
        <v>0</v>
      </c>
      <c r="E786">
        <f>COUNT('WATER TESTS'!D89:X89)</f>
        <v>15</v>
      </c>
    </row>
    <row r="787" spans="1:5" x14ac:dyDescent="0.25">
      <c r="A787">
        <v>90</v>
      </c>
      <c r="B787" t="str">
        <f>IF('WATER TESTS'!A90&lt;&gt;"",TRIM('WATER TESTS'!A90),B786)</f>
        <v>DJHSH (SEC)</v>
      </c>
      <c r="C787" t="str">
        <f>IF('WATER TESTS'!C90="","",IF(OR(ISNUMBER(SEARCH("drink",'WATER TESTS'!C90)),ISNUMBER(SEARCH("RO",'WATER TESTS'!C90))),"D","S"))</f>
        <v>D</v>
      </c>
      <c r="D787">
        <f>SUMPRODUCT(--ISNUMBER('WATER TESTS'!D90:X90),--('WATER TESTS'!D90:X90&gt;'WATER TESTS'!$D$4:$X$4))+IF(ISNUMBER('WATER TESTS'!F90),IF(OR('WATER TESTS'!F90&lt;6.5,'WATER TESTS'!F90&gt;8.5),1,0),0)+IF(ISNUMBER('WATER TESTS'!G90),IF('WATER TESTS'!G90&gt;1500,1,0),0)</f>
        <v>0</v>
      </c>
      <c r="E787">
        <f>COUNT('WATER TESTS'!D90:X90)</f>
        <v>0</v>
      </c>
    </row>
    <row r="788" spans="1:5" x14ac:dyDescent="0.25">
      <c r="A788">
        <v>91</v>
      </c>
      <c r="B788" t="str">
        <f>IF('WATER TESTS'!A91&lt;&gt;"",TRIM('WATER TESTS'!A91),B787)</f>
        <v>DJHSH (SEC)</v>
      </c>
      <c r="C788" t="str">
        <f>IF('WATER TESTS'!C91="","",IF(OR(ISNUMBER(SEARCH("drink",'WATER TESTS'!C91)),ISNUMBER(SEARCH("RO",'WATER TESTS'!C91))),"D","S"))</f>
        <v>S</v>
      </c>
      <c r="D788">
        <f>SUMPRODUCT(--ISNUMBER('WATER TESTS'!D91:X91),--('WATER TESTS'!D91:X91&gt;'WATER TESTS'!$D$4:$X$4))+IF(ISNUMBER('WATER TESTS'!F91),IF(OR('WATER TESTS'!F91&lt;6.5,'WATER TESTS'!F91&gt;8.5),1,0),0)+IF(ISNUMBER('WATER TESTS'!G91),IF('WATER TESTS'!G91&gt;1500,1,0),0)</f>
        <v>5</v>
      </c>
      <c r="E788">
        <f>COUNT('WATER TESTS'!D91:X91)</f>
        <v>19</v>
      </c>
    </row>
    <row r="789" spans="1:5" x14ac:dyDescent="0.25">
      <c r="A789">
        <v>92</v>
      </c>
      <c r="B789" t="str">
        <f>IF('WATER TESTS'!A92&lt;&gt;"",TRIM('WATER TESTS'!A92),B788)</f>
        <v>DJHSH (SEC)</v>
      </c>
      <c r="C789" t="str">
        <f>IF('WATER TESTS'!C92="","",IF(OR(ISNUMBER(SEARCH("drink",'WATER TESTS'!C92)),ISNUMBER(SEARCH("RO",'WATER TESTS'!C92))),"D","S"))</f>
        <v>S</v>
      </c>
      <c r="D789">
        <f>SUMPRODUCT(--ISNUMBER('WATER TESTS'!D92:X92),--('WATER TESTS'!D92:X92&gt;'WATER TESTS'!$D$4:$X$4))+IF(ISNUMBER('WATER TESTS'!F92),IF(OR('WATER TESTS'!F92&lt;6.5,'WATER TESTS'!F92&gt;8.5),1,0),0)+IF(ISNUMBER('WATER TESTS'!G92),IF('WATER TESTS'!G92&gt;1500,1,0),0)</f>
        <v>0</v>
      </c>
      <c r="E789">
        <f>COUNT('WATER TESTS'!D92:X92)</f>
        <v>0</v>
      </c>
    </row>
    <row r="790" spans="1:5" x14ac:dyDescent="0.25">
      <c r="A790">
        <v>93</v>
      </c>
      <c r="B790" t="str">
        <f>IF('WATER TESTS'!A93&lt;&gt;"",TRIM('WATER TESTS'!A93),B789)</f>
        <v>DJHSH (SEC)</v>
      </c>
      <c r="C790" t="str">
        <f>IF('WATER TESTS'!C93="","",IF(OR(ISNUMBER(SEARCH("drink",'WATER TESTS'!C93)),ISNUMBER(SEARCH("RO",'WATER TESTS'!C93))),"D","S"))</f>
        <v>D</v>
      </c>
      <c r="D790">
        <f>SUMPRODUCT(--ISNUMBER('WATER TESTS'!D93:X93),--('WATER TESTS'!D93:X93&gt;'WATER TESTS'!$D$4:$X$4))+IF(ISNUMBER('WATER TESTS'!F93),IF(OR('WATER TESTS'!F93&lt;6.5,'WATER TESTS'!F93&gt;8.5),1,0),0)+IF(ISNUMBER('WATER TESTS'!G93),IF('WATER TESTS'!G93&gt;1500,1,0),0)</f>
        <v>0</v>
      </c>
      <c r="E790">
        <f>COUNT('WATER TESTS'!D93:X93)</f>
        <v>0</v>
      </c>
    </row>
    <row r="791" spans="1:5" x14ac:dyDescent="0.25">
      <c r="A791">
        <v>94</v>
      </c>
      <c r="B791" t="str">
        <f>IF('WATER TESTS'!A94&lt;&gt;"",TRIM('WATER TESTS'!A94),B790)</f>
        <v>AKHH</v>
      </c>
      <c r="C791" t="str">
        <f>IF('WATER TESTS'!C94="","",IF(OR(ISNUMBER(SEARCH("drink",'WATER TESTS'!C94)),ISNUMBER(SEARCH("RO",'WATER TESTS'!C94))),"D","S"))</f>
        <v>S</v>
      </c>
      <c r="D791">
        <f>SUMPRODUCT(--ISNUMBER('WATER TESTS'!D94:X94),--('WATER TESTS'!D94:X94&gt;'WATER TESTS'!$D$4:$X$4))+IF(ISNUMBER('WATER TESTS'!F94),IF(OR('WATER TESTS'!F94&lt;6.5,'WATER TESTS'!F94&gt;8.5),1,0),0)+IF(ISNUMBER('WATER TESTS'!G94),IF('WATER TESTS'!G94&gt;1500,1,0),0)</f>
        <v>0</v>
      </c>
      <c r="E791">
        <f>COUNT('WATER TESTS'!D94:X94)</f>
        <v>0</v>
      </c>
    </row>
    <row r="792" spans="1:5" x14ac:dyDescent="0.25">
      <c r="A792">
        <v>95</v>
      </c>
      <c r="B792" t="str">
        <f>IF('WATER TESTS'!A95&lt;&gt;"",TRIM('WATER TESTS'!A95),B791)</f>
        <v>AKHH</v>
      </c>
      <c r="C792" t="str">
        <f>IF('WATER TESTS'!C95="","",IF(OR(ISNUMBER(SEARCH("drink",'WATER TESTS'!C95)),ISNUMBER(SEARCH("RO",'WATER TESTS'!C95))),"D","S"))</f>
        <v>S</v>
      </c>
      <c r="D792">
        <f>SUMPRODUCT(--ISNUMBER('WATER TESTS'!D95:X95),--('WATER TESTS'!D95:X95&gt;'WATER TESTS'!$D$4:$X$4))+IF(ISNUMBER('WATER TESTS'!F95),IF(OR('WATER TESTS'!F95&lt;6.5,'WATER TESTS'!F95&gt;8.5),1,0),0)+IF(ISNUMBER('WATER TESTS'!G95),IF('WATER TESTS'!G95&gt;1500,1,0),0)</f>
        <v>5</v>
      </c>
      <c r="E792">
        <f>COUNT('WATER TESTS'!D95:X95)</f>
        <v>18</v>
      </c>
    </row>
    <row r="793" spans="1:5" x14ac:dyDescent="0.25">
      <c r="A793">
        <v>96</v>
      </c>
      <c r="B793" t="str">
        <f>IF('WATER TESTS'!A96&lt;&gt;"",TRIM('WATER TESTS'!A96),B792)</f>
        <v>AKHH</v>
      </c>
      <c r="C793" t="str">
        <f>IF('WATER TESTS'!C96="","",IF(OR(ISNUMBER(SEARCH("drink",'WATER TESTS'!C96)),ISNUMBER(SEARCH("RO",'WATER TESTS'!C96))),"D","S"))</f>
        <v>S</v>
      </c>
      <c r="D793">
        <f>SUMPRODUCT(--ISNUMBER('WATER TESTS'!D96:X96),--('WATER TESTS'!D96:X96&gt;'WATER TESTS'!$D$4:$X$4))+IF(ISNUMBER('WATER TESTS'!F96),IF(OR('WATER TESTS'!F96&lt;6.5,'WATER TESTS'!F96&gt;8.5),1,0),0)+IF(ISNUMBER('WATER TESTS'!G96),IF('WATER TESTS'!G96&gt;1500,1,0),0)</f>
        <v>5</v>
      </c>
      <c r="E793">
        <f>COUNT('WATER TESTS'!D96:X96)</f>
        <v>18</v>
      </c>
    </row>
    <row r="794" spans="1:5" x14ac:dyDescent="0.25">
      <c r="A794">
        <v>97</v>
      </c>
      <c r="B794" t="str">
        <f>IF('WATER TESTS'!A97&lt;&gt;"",TRIM('WATER TESTS'!A97),B793)</f>
        <v>AKHH</v>
      </c>
      <c r="C794" t="str">
        <f>IF('WATER TESTS'!C97="","",IF(OR(ISNUMBER(SEARCH("drink",'WATER TESTS'!C97)),ISNUMBER(SEARCH("RO",'WATER TESTS'!C97))),"D","S"))</f>
        <v>S</v>
      </c>
      <c r="D794">
        <f>SUMPRODUCT(--ISNUMBER('WATER TESTS'!D97:X97),--('WATER TESTS'!D97:X97&gt;'WATER TESTS'!$D$4:$X$4))+IF(ISNUMBER('WATER TESTS'!F97),IF(OR('WATER TESTS'!F97&lt;6.5,'WATER TESTS'!F97&gt;8.5),1,0),0)+IF(ISNUMBER('WATER TESTS'!G97),IF('WATER TESTS'!G97&gt;1500,1,0),0)</f>
        <v>6</v>
      </c>
      <c r="E794">
        <f>COUNT('WATER TESTS'!D97:X97)</f>
        <v>18</v>
      </c>
    </row>
    <row r="795" spans="1:5" x14ac:dyDescent="0.25">
      <c r="A795">
        <v>98</v>
      </c>
      <c r="B795" t="str">
        <f>IF('WATER TESTS'!A98&lt;&gt;"",TRIM('WATER TESTS'!A98),B794)</f>
        <v>AKHH</v>
      </c>
      <c r="C795" t="str">
        <f>IF('WATER TESTS'!C98="","",IF(OR(ISNUMBER(SEARCH("drink",'WATER TESTS'!C98)),ISNUMBER(SEARCH("RO",'WATER TESTS'!C98))),"D","S"))</f>
        <v>D</v>
      </c>
      <c r="D795">
        <f>SUMPRODUCT(--ISNUMBER('WATER TESTS'!D98:X98),--('WATER TESTS'!D98:X98&gt;'WATER TESTS'!$D$4:$X$4))+IF(ISNUMBER('WATER TESTS'!F98),IF(OR('WATER TESTS'!F98&lt;6.5,'WATER TESTS'!F98&gt;8.5),1,0),0)+IF(ISNUMBER('WATER TESTS'!G98),IF('WATER TESTS'!G98&gt;1500,1,0),0)</f>
        <v>0</v>
      </c>
      <c r="E795">
        <f>COUNT('WATER TESTS'!D98:X98)</f>
        <v>15</v>
      </c>
    </row>
    <row r="796" spans="1:5" x14ac:dyDescent="0.25">
      <c r="A796">
        <v>99</v>
      </c>
      <c r="B796" t="str">
        <f>IF('WATER TESTS'!A99&lt;&gt;"",TRIM('WATER TESTS'!A99),B795)</f>
        <v>AKHH</v>
      </c>
      <c r="C796" t="str">
        <f>IF('WATER TESTS'!C99="","",IF(OR(ISNUMBER(SEARCH("drink",'WATER TESTS'!C99)),ISNUMBER(SEARCH("RO",'WATER TESTS'!C99))),"D","S"))</f>
        <v>D</v>
      </c>
      <c r="D796">
        <f>SUMPRODUCT(--ISNUMBER('WATER TESTS'!D99:X99),--('WATER TESTS'!D99:X99&gt;'WATER TESTS'!$D$4:$X$4))+IF(ISNUMBER('WATER TESTS'!F99),IF(OR('WATER TESTS'!F99&lt;6.5,'WATER TESTS'!F99&gt;8.5),1,0),0)+IF(ISNUMBER('WATER TESTS'!G99),IF('WATER TESTS'!G99&gt;1500,1,0),0)</f>
        <v>0</v>
      </c>
      <c r="E796">
        <f>COUNT('WATER TESTS'!D99:X99)</f>
        <v>15</v>
      </c>
    </row>
    <row r="797" spans="1:5" x14ac:dyDescent="0.25">
      <c r="A797">
        <v>100</v>
      </c>
      <c r="B797" t="str">
        <f>IF('WATER TESTS'!A100&lt;&gt;"",TRIM('WATER TESTS'!A100),B796)</f>
        <v>AKHH</v>
      </c>
      <c r="C797" t="str">
        <f>IF('WATER TESTS'!C100="","",IF(OR(ISNUMBER(SEARCH("drink",'WATER TESTS'!C100)),ISNUMBER(SEARCH("RO",'WATER TESTS'!C100))),"D","S"))</f>
        <v>S</v>
      </c>
      <c r="D797">
        <f>SUMPRODUCT(--ISNUMBER('WATER TESTS'!D100:X100),--('WATER TESTS'!D100:X100&gt;'WATER TESTS'!$D$4:$X$4))+IF(ISNUMBER('WATER TESTS'!F100),IF(OR('WATER TESTS'!F100&lt;6.5,'WATER TESTS'!F100&gt;8.5),1,0),0)+IF(ISNUMBER('WATER TESTS'!G100),IF('WATER TESTS'!G100&gt;1500,1,0),0)</f>
        <v>5</v>
      </c>
      <c r="E797">
        <f>COUNT('WATER TESTS'!D100:X100)</f>
        <v>18</v>
      </c>
    </row>
    <row r="798" spans="1:5" x14ac:dyDescent="0.25">
      <c r="A798">
        <v>101</v>
      </c>
      <c r="B798" t="str">
        <f>IF('WATER TESTS'!A101&lt;&gt;"",TRIM('WATER TESTS'!A101),B797)</f>
        <v>AKHH</v>
      </c>
      <c r="C798" t="str">
        <f>IF('WATER TESTS'!C101="","",IF(OR(ISNUMBER(SEARCH("drink",'WATER TESTS'!C101)),ISNUMBER(SEARCH("RO",'WATER TESTS'!C101))),"D","S"))</f>
        <v>S</v>
      </c>
      <c r="D798">
        <f>SUMPRODUCT(--ISNUMBER('WATER TESTS'!D101:X101),--('WATER TESTS'!D101:X101&gt;'WATER TESTS'!$D$4:$X$4))+IF(ISNUMBER('WATER TESTS'!F101),IF(OR('WATER TESTS'!F101&lt;6.5,'WATER TESTS'!F101&gt;8.5),1,0),0)+IF(ISNUMBER('WATER TESTS'!G101),IF('WATER TESTS'!G101&gt;1500,1,0),0)</f>
        <v>0</v>
      </c>
      <c r="E798">
        <f>COUNT('WATER TESTS'!D101:X101)</f>
        <v>0</v>
      </c>
    </row>
    <row r="799" spans="1:5" x14ac:dyDescent="0.25">
      <c r="A799">
        <v>102</v>
      </c>
      <c r="B799" t="str">
        <f>IF('WATER TESTS'!A102&lt;&gt;"",TRIM('WATER TESTS'!A102),B798)</f>
        <v>AKHH</v>
      </c>
      <c r="C799" t="str">
        <f>IF('WATER TESTS'!C102="","",IF(OR(ISNUMBER(SEARCH("drink",'WATER TESTS'!C102)),ISNUMBER(SEARCH("RO",'WATER TESTS'!C102))),"D","S"))</f>
        <v>S</v>
      </c>
      <c r="D799">
        <f>SUMPRODUCT(--ISNUMBER('WATER TESTS'!D102:X102),--('WATER TESTS'!D102:X102&gt;'WATER TESTS'!$D$4:$X$4))+IF(ISNUMBER('WATER TESTS'!F102),IF(OR('WATER TESTS'!F102&lt;6.5,'WATER TESTS'!F102&gt;8.5),1,0),0)+IF(ISNUMBER('WATER TESTS'!G102),IF('WATER TESTS'!G102&gt;1500,1,0),0)</f>
        <v>0</v>
      </c>
      <c r="E799">
        <f>COUNT('WATER TESTS'!D102:X102)</f>
        <v>0</v>
      </c>
    </row>
    <row r="800" spans="1:5" x14ac:dyDescent="0.25">
      <c r="A800">
        <v>103</v>
      </c>
      <c r="B800" t="str">
        <f>IF('WATER TESTS'!A103&lt;&gt;"",TRIM('WATER TESTS'!A103),B799)</f>
        <v>AKHH</v>
      </c>
      <c r="C800" t="str">
        <f>IF('WATER TESTS'!C103="","",IF(OR(ISNUMBER(SEARCH("drink",'WATER TESTS'!C103)),ISNUMBER(SEARCH("RO",'WATER TESTS'!C103))),"D","S"))</f>
        <v>S</v>
      </c>
      <c r="D800">
        <f>SUMPRODUCT(--ISNUMBER('WATER TESTS'!D103:X103),--('WATER TESTS'!D103:X103&gt;'WATER TESTS'!$D$4:$X$4))+IF(ISNUMBER('WATER TESTS'!F103),IF(OR('WATER TESTS'!F103&lt;6.5,'WATER TESTS'!F103&gt;8.5),1,0),0)+IF(ISNUMBER('WATER TESTS'!G103),IF('WATER TESTS'!G103&gt;1500,1,0),0)</f>
        <v>0</v>
      </c>
      <c r="E800">
        <f>COUNT('WATER TESTS'!D103:X103)</f>
        <v>0</v>
      </c>
    </row>
    <row r="801" spans="1:5" x14ac:dyDescent="0.25">
      <c r="A801">
        <v>104</v>
      </c>
      <c r="B801" t="str">
        <f>IF('WATER TESTS'!A104&lt;&gt;"",TRIM('WATER TESTS'!A104),B800)</f>
        <v>AKHH</v>
      </c>
      <c r="C801" t="str">
        <f>IF('WATER TESTS'!C104="","",IF(OR(ISNUMBER(SEARCH("drink",'WATER TESTS'!C104)),ISNUMBER(SEARCH("RO",'WATER TESTS'!C104))),"D","S"))</f>
        <v>S</v>
      </c>
      <c r="D801">
        <f>SUMPRODUCT(--ISNUMBER('WATER TESTS'!D104:X104),--('WATER TESTS'!D104:X104&gt;'WATER TESTS'!$D$4:$X$4))+IF(ISNUMBER('WATER TESTS'!F104),IF(OR('WATER TESTS'!F104&lt;6.5,'WATER TESTS'!F104&gt;8.5),1,0),0)+IF(ISNUMBER('WATER TESTS'!G104),IF('WATER TESTS'!G104&gt;1500,1,0),0)</f>
        <v>0</v>
      </c>
      <c r="E801">
        <f>COUNT('WATER TESTS'!D104:X104)</f>
        <v>0</v>
      </c>
    </row>
    <row r="802" spans="1:5" x14ac:dyDescent="0.25">
      <c r="A802">
        <v>105</v>
      </c>
      <c r="B802" t="str">
        <f>IF('WATER TESTS'!A105&lt;&gt;"",TRIM('WATER TESTS'!A105),B801)</f>
        <v>AKHH</v>
      </c>
      <c r="C802" t="str">
        <f>IF('WATER TESTS'!C105="","",IF(OR(ISNUMBER(SEARCH("drink",'WATER TESTS'!C105)),ISNUMBER(SEARCH("RO",'WATER TESTS'!C105))),"D","S"))</f>
        <v>D</v>
      </c>
      <c r="D802">
        <f>SUMPRODUCT(--ISNUMBER('WATER TESTS'!D105:X105),--('WATER TESTS'!D105:X105&gt;'WATER TESTS'!$D$4:$X$4))+IF(ISNUMBER('WATER TESTS'!F105),IF(OR('WATER TESTS'!F105&lt;6.5,'WATER TESTS'!F105&gt;8.5),1,0),0)+IF(ISNUMBER('WATER TESTS'!G105),IF('WATER TESTS'!G105&gt;1500,1,0),0)</f>
        <v>0</v>
      </c>
      <c r="E802">
        <f>COUNT('WATER TESTS'!D105:X105)</f>
        <v>0</v>
      </c>
    </row>
    <row r="803" spans="1:5" x14ac:dyDescent="0.25">
      <c r="A803">
        <v>106</v>
      </c>
      <c r="B803" t="str">
        <f>IF('WATER TESTS'!A106&lt;&gt;"",TRIM('WATER TESTS'!A106),B802)</f>
        <v>AKHH</v>
      </c>
      <c r="C803" t="str">
        <f>IF('WATER TESTS'!C106="","",IF(OR(ISNUMBER(SEARCH("drink",'WATER TESTS'!C106)),ISNUMBER(SEARCH("RO",'WATER TESTS'!C106))),"D","S"))</f>
        <v>D</v>
      </c>
      <c r="D803">
        <f>SUMPRODUCT(--ISNUMBER('WATER TESTS'!D106:X106),--('WATER TESTS'!D106:X106&gt;'WATER TESTS'!$D$4:$X$4))+IF(ISNUMBER('WATER TESTS'!F106),IF(OR('WATER TESTS'!F106&lt;6.5,'WATER TESTS'!F106&gt;8.5),1,0),0)+IF(ISNUMBER('WATER TESTS'!G106),IF('WATER TESTS'!G106&gt;1500,1,0),0)</f>
        <v>0</v>
      </c>
      <c r="E803">
        <f>COUNT('WATER TESTS'!D106:X106)</f>
        <v>0</v>
      </c>
    </row>
    <row r="804" spans="1:5" x14ac:dyDescent="0.25">
      <c r="A804">
        <v>107</v>
      </c>
      <c r="B804" t="str">
        <f>IF('WATER TESTS'!A107&lt;&gt;"",TRIM('WATER TESTS'!A107),B803)</f>
        <v>AKHH</v>
      </c>
      <c r="C804" t="str">
        <f>IF('WATER TESTS'!C107="","",IF(OR(ISNUMBER(SEARCH("drink",'WATER TESTS'!C107)),ISNUMBER(SEARCH("RO",'WATER TESTS'!C107))),"D","S"))</f>
        <v>S</v>
      </c>
      <c r="D804">
        <f>SUMPRODUCT(--ISNUMBER('WATER TESTS'!D107:X107),--('WATER TESTS'!D107:X107&gt;'WATER TESTS'!$D$4:$X$4))+IF(ISNUMBER('WATER TESTS'!F107),IF(OR('WATER TESTS'!F107&lt;6.5,'WATER TESTS'!F107&gt;8.5),1,0),0)+IF(ISNUMBER('WATER TESTS'!G107),IF('WATER TESTS'!G107&gt;1500,1,0),0)</f>
        <v>0</v>
      </c>
      <c r="E804">
        <f>COUNT('WATER TESTS'!D107:X107)</f>
        <v>0</v>
      </c>
    </row>
    <row r="805" spans="1:5" x14ac:dyDescent="0.25">
      <c r="A805">
        <v>108</v>
      </c>
      <c r="B805" t="str">
        <f>IF('WATER TESTS'!A108&lt;&gt;"",TRIM('WATER TESTS'!A108),B804)</f>
        <v>AKHH</v>
      </c>
      <c r="C805" t="str">
        <f>IF('WATER TESTS'!C108="","",IF(OR(ISNUMBER(SEARCH("drink",'WATER TESTS'!C108)),ISNUMBER(SEARCH("RO",'WATER TESTS'!C108))),"D","S"))</f>
        <v>S</v>
      </c>
      <c r="D805">
        <f>SUMPRODUCT(--ISNUMBER('WATER TESTS'!D108:X108),--('WATER TESTS'!D108:X108&gt;'WATER TESTS'!$D$4:$X$4))+IF(ISNUMBER('WATER TESTS'!F108),IF(OR('WATER TESTS'!F108&lt;6.5,'WATER TESTS'!F108&gt;8.5),1,0),0)+IF(ISNUMBER('WATER TESTS'!G108),IF('WATER TESTS'!G108&gt;1500,1,0),0)</f>
        <v>0</v>
      </c>
      <c r="E805">
        <f>COUNT('WATER TESTS'!D108:X108)</f>
        <v>0</v>
      </c>
    </row>
    <row r="806" spans="1:5" x14ac:dyDescent="0.25">
      <c r="A806">
        <v>109</v>
      </c>
      <c r="B806" t="str">
        <f>IF('WATER TESTS'!A109&lt;&gt;"",TRIM('WATER TESTS'!A109),B805)</f>
        <v>AKHH</v>
      </c>
      <c r="C806" t="str">
        <f>IF('WATER TESTS'!C109="","",IF(OR(ISNUMBER(SEARCH("drink",'WATER TESTS'!C109)),ISNUMBER(SEARCH("RO",'WATER TESTS'!C109))),"D","S"))</f>
        <v>S</v>
      </c>
      <c r="D806">
        <f>SUMPRODUCT(--ISNUMBER('WATER TESTS'!D109:X109),--('WATER TESTS'!D109:X109&gt;'WATER TESTS'!$D$4:$X$4))+IF(ISNUMBER('WATER TESTS'!F109),IF(OR('WATER TESTS'!F109&lt;6.5,'WATER TESTS'!F109&gt;8.5),1,0),0)+IF(ISNUMBER('WATER TESTS'!G109),IF('WATER TESTS'!G109&gt;1500,1,0),0)</f>
        <v>0</v>
      </c>
      <c r="E806">
        <f>COUNT('WATER TESTS'!D109:X109)</f>
        <v>0</v>
      </c>
    </row>
    <row r="807" spans="1:5" x14ac:dyDescent="0.25">
      <c r="A807">
        <v>110</v>
      </c>
      <c r="B807" t="str">
        <f>IF('WATER TESTS'!A110&lt;&gt;"",TRIM('WATER TESTS'!A110),B806)</f>
        <v>AKHH</v>
      </c>
      <c r="C807" t="str">
        <f>IF('WATER TESTS'!C110="","",IF(OR(ISNUMBER(SEARCH("drink",'WATER TESTS'!C110)),ISNUMBER(SEARCH("RO",'WATER TESTS'!C110))),"D","S"))</f>
        <v>S</v>
      </c>
      <c r="D807">
        <f>SUMPRODUCT(--ISNUMBER('WATER TESTS'!D110:X110),--('WATER TESTS'!D110:X110&gt;'WATER TESTS'!$D$4:$X$4))+IF(ISNUMBER('WATER TESTS'!F110),IF(OR('WATER TESTS'!F110&lt;6.5,'WATER TESTS'!F110&gt;8.5),1,0),0)+IF(ISNUMBER('WATER TESTS'!G110),IF('WATER TESTS'!G110&gt;1500,1,0),0)</f>
        <v>0</v>
      </c>
      <c r="E807">
        <f>COUNT('WATER TESTS'!D110:X110)</f>
        <v>0</v>
      </c>
    </row>
    <row r="808" spans="1:5" x14ac:dyDescent="0.25">
      <c r="A808">
        <v>111</v>
      </c>
      <c r="B808" t="str">
        <f>IF('WATER TESTS'!A111&lt;&gt;"",TRIM('WATER TESTS'!A111),B807)</f>
        <v>AKHH</v>
      </c>
      <c r="C808" t="str">
        <f>IF('WATER TESTS'!C111="","",IF(OR(ISNUMBER(SEARCH("drink",'WATER TESTS'!C111)),ISNUMBER(SEARCH("RO",'WATER TESTS'!C111))),"D","S"))</f>
        <v>S</v>
      </c>
      <c r="D808">
        <f>SUMPRODUCT(--ISNUMBER('WATER TESTS'!D111:X111),--('WATER TESTS'!D111:X111&gt;'WATER TESTS'!$D$4:$X$4))+IF(ISNUMBER('WATER TESTS'!F111),IF(OR('WATER TESTS'!F111&lt;6.5,'WATER TESTS'!F111&gt;8.5),1,0),0)+IF(ISNUMBER('WATER TESTS'!G111),IF('WATER TESTS'!G111&gt;1500,1,0),0)</f>
        <v>0</v>
      </c>
      <c r="E808">
        <f>COUNT('WATER TESTS'!D111:X111)</f>
        <v>0</v>
      </c>
    </row>
    <row r="809" spans="1:5" x14ac:dyDescent="0.25">
      <c r="A809">
        <v>112</v>
      </c>
      <c r="B809" t="str">
        <f>IF('WATER TESTS'!A112&lt;&gt;"",TRIM('WATER TESTS'!A112),B808)</f>
        <v>AKHH</v>
      </c>
      <c r="C809" t="str">
        <f>IF('WATER TESTS'!C112="","",IF(OR(ISNUMBER(SEARCH("drink",'WATER TESTS'!C112)),ISNUMBER(SEARCH("RO",'WATER TESTS'!C112))),"D","S"))</f>
        <v>D</v>
      </c>
      <c r="D809">
        <f>SUMPRODUCT(--ISNUMBER('WATER TESTS'!D112:X112),--('WATER TESTS'!D112:X112&gt;'WATER TESTS'!$D$4:$X$4))+IF(ISNUMBER('WATER TESTS'!F112),IF(OR('WATER TESTS'!F112&lt;6.5,'WATER TESTS'!F112&gt;8.5),1,0),0)+IF(ISNUMBER('WATER TESTS'!G112),IF('WATER TESTS'!G112&gt;1500,1,0),0)</f>
        <v>0</v>
      </c>
      <c r="E809">
        <f>COUNT('WATER TESTS'!D112:X112)</f>
        <v>0</v>
      </c>
    </row>
    <row r="810" spans="1:5" x14ac:dyDescent="0.25">
      <c r="A810">
        <v>113</v>
      </c>
      <c r="B810" t="str">
        <f>IF('WATER TESTS'!A113&lt;&gt;"",TRIM('WATER TESTS'!A113),B809)</f>
        <v>AKHH</v>
      </c>
      <c r="C810" t="str">
        <f>IF('WATER TESTS'!C113="","",IF(OR(ISNUMBER(SEARCH("drink",'WATER TESTS'!C113)),ISNUMBER(SEARCH("RO",'WATER TESTS'!C113))),"D","S"))</f>
        <v>D</v>
      </c>
      <c r="D810">
        <f>SUMPRODUCT(--ISNUMBER('WATER TESTS'!D113:X113),--('WATER TESTS'!D113:X113&gt;'WATER TESTS'!$D$4:$X$4))+IF(ISNUMBER('WATER TESTS'!F113),IF(OR('WATER TESTS'!F113&lt;6.5,'WATER TESTS'!F113&gt;8.5),1,0),0)+IF(ISNUMBER('WATER TESTS'!G113),IF('WATER TESTS'!G113&gt;1500,1,0),0)</f>
        <v>0</v>
      </c>
      <c r="E810">
        <f>COUNT('WATER TESTS'!D113:X113)</f>
        <v>0</v>
      </c>
    </row>
    <row r="811" spans="1:5" x14ac:dyDescent="0.25">
      <c r="A811">
        <v>114</v>
      </c>
      <c r="B811" t="str">
        <f>IF('WATER TESTS'!A114&lt;&gt;"",TRIM('WATER TESTS'!A114),B810)</f>
        <v>AKHH</v>
      </c>
      <c r="C811" t="str">
        <f>IF('WATER TESTS'!C114="","",IF(OR(ISNUMBER(SEARCH("drink",'WATER TESTS'!C114)),ISNUMBER(SEARCH("RO",'WATER TESTS'!C114))),"D","S"))</f>
        <v>S</v>
      </c>
      <c r="D811">
        <f>SUMPRODUCT(--ISNUMBER('WATER TESTS'!D114:X114),--('WATER TESTS'!D114:X114&gt;'WATER TESTS'!$D$4:$X$4))+IF(ISNUMBER('WATER TESTS'!F114),IF(OR('WATER TESTS'!F114&lt;6.5,'WATER TESTS'!F114&gt;8.5),1,0),0)+IF(ISNUMBER('WATER TESTS'!G114),IF('WATER TESTS'!G114&gt;1500,1,0),0)</f>
        <v>0</v>
      </c>
      <c r="E811">
        <f>COUNT('WATER TESTS'!D114:X114)</f>
        <v>0</v>
      </c>
    </row>
    <row r="812" spans="1:5" x14ac:dyDescent="0.25">
      <c r="A812">
        <v>115</v>
      </c>
      <c r="B812" t="str">
        <f>IF('WATER TESTS'!A115&lt;&gt;"",TRIM('WATER TESTS'!A115),B811)</f>
        <v>AKHH</v>
      </c>
      <c r="C812" t="str">
        <f>IF('WATER TESTS'!C115="","",IF(OR(ISNUMBER(SEARCH("drink",'WATER TESTS'!C115)),ISNUMBER(SEARCH("RO",'WATER TESTS'!C115))),"D","S"))</f>
        <v>S</v>
      </c>
      <c r="D812">
        <f>SUMPRODUCT(--ISNUMBER('WATER TESTS'!D115:X115),--('WATER TESTS'!D115:X115&gt;'WATER TESTS'!$D$4:$X$4))+IF(ISNUMBER('WATER TESTS'!F115),IF(OR('WATER TESTS'!F115&lt;6.5,'WATER TESTS'!F115&gt;8.5),1,0),0)+IF(ISNUMBER('WATER TESTS'!G115),IF('WATER TESTS'!G115&gt;1500,1,0),0)</f>
        <v>0</v>
      </c>
      <c r="E812">
        <f>COUNT('WATER TESTS'!D115:X115)</f>
        <v>0</v>
      </c>
    </row>
    <row r="813" spans="1:5" x14ac:dyDescent="0.25">
      <c r="A813">
        <v>116</v>
      </c>
      <c r="B813" t="str">
        <f>IF('WATER TESTS'!A116&lt;&gt;"",TRIM('WATER TESTS'!A116),B812)</f>
        <v>AKHH</v>
      </c>
      <c r="C813" t="str">
        <f>IF('WATER TESTS'!C116="","",IF(OR(ISNUMBER(SEARCH("drink",'WATER TESTS'!C116)),ISNUMBER(SEARCH("RO",'WATER TESTS'!C116))),"D","S"))</f>
        <v>S</v>
      </c>
      <c r="D813">
        <f>SUMPRODUCT(--ISNUMBER('WATER TESTS'!D116:X116),--('WATER TESTS'!D116:X116&gt;'WATER TESTS'!$D$4:$X$4))+IF(ISNUMBER('WATER TESTS'!F116),IF(OR('WATER TESTS'!F116&lt;6.5,'WATER TESTS'!F116&gt;8.5),1,0),0)+IF(ISNUMBER('WATER TESTS'!G116),IF('WATER TESTS'!G116&gt;1500,1,0),0)</f>
        <v>0</v>
      </c>
      <c r="E813">
        <f>COUNT('WATER TESTS'!D116:X116)</f>
        <v>0</v>
      </c>
    </row>
    <row r="814" spans="1:5" x14ac:dyDescent="0.25">
      <c r="A814">
        <v>117</v>
      </c>
      <c r="B814" t="str">
        <f>IF('WATER TESTS'!A117&lt;&gt;"",TRIM('WATER TESTS'!A117),B813)</f>
        <v>AKHH</v>
      </c>
      <c r="C814" t="str">
        <f>IF('WATER TESTS'!C117="","",IF(OR(ISNUMBER(SEARCH("drink",'WATER TESTS'!C117)),ISNUMBER(SEARCH("RO",'WATER TESTS'!C117))),"D","S"))</f>
        <v>S</v>
      </c>
      <c r="D814">
        <f>SUMPRODUCT(--ISNUMBER('WATER TESTS'!D117:X117),--('WATER TESTS'!D117:X117&gt;'WATER TESTS'!$D$4:$X$4))+IF(ISNUMBER('WATER TESTS'!F117),IF(OR('WATER TESTS'!F117&lt;6.5,'WATER TESTS'!F117&gt;8.5),1,0),0)+IF(ISNUMBER('WATER TESTS'!G117),IF('WATER TESTS'!G117&gt;1500,1,0),0)</f>
        <v>0</v>
      </c>
      <c r="E814">
        <f>COUNT('WATER TESTS'!D117:X117)</f>
        <v>0</v>
      </c>
    </row>
    <row r="815" spans="1:5" x14ac:dyDescent="0.25">
      <c r="A815">
        <v>118</v>
      </c>
      <c r="B815" t="str">
        <f>IF('WATER TESTS'!A118&lt;&gt;"",TRIM('WATER TESTS'!A118),B814)</f>
        <v>AKHH</v>
      </c>
      <c r="C815" t="str">
        <f>IF('WATER TESTS'!C118="","",IF(OR(ISNUMBER(SEARCH("drink",'WATER TESTS'!C118)),ISNUMBER(SEARCH("RO",'WATER TESTS'!C118))),"D","S"))</f>
        <v>S</v>
      </c>
      <c r="D815">
        <f>SUMPRODUCT(--ISNUMBER('WATER TESTS'!D118:X118),--('WATER TESTS'!D118:X118&gt;'WATER TESTS'!$D$4:$X$4))+IF(ISNUMBER('WATER TESTS'!F118),IF(OR('WATER TESTS'!F118&lt;6.5,'WATER TESTS'!F118&gt;8.5),1,0),0)+IF(ISNUMBER('WATER TESTS'!G118),IF('WATER TESTS'!G118&gt;1500,1,0),0)</f>
        <v>0</v>
      </c>
      <c r="E815">
        <f>COUNT('WATER TESTS'!D118:X118)</f>
        <v>0</v>
      </c>
    </row>
    <row r="816" spans="1:5" x14ac:dyDescent="0.25">
      <c r="A816">
        <v>119</v>
      </c>
      <c r="B816" t="str">
        <f>IF('WATER TESTS'!A119&lt;&gt;"",TRIM('WATER TESTS'!A119),B815)</f>
        <v>AKHH</v>
      </c>
      <c r="C816" t="str">
        <f>IF('WATER TESTS'!C119="","",IF(OR(ISNUMBER(SEARCH("drink",'WATER TESTS'!C119)),ISNUMBER(SEARCH("RO",'WATER TESTS'!C119))),"D","S"))</f>
        <v>D</v>
      </c>
      <c r="D816">
        <f>SUMPRODUCT(--ISNUMBER('WATER TESTS'!D119:X119),--('WATER TESTS'!D119:X119&gt;'WATER TESTS'!$D$4:$X$4))+IF(ISNUMBER('WATER TESTS'!F119),IF(OR('WATER TESTS'!F119&lt;6.5,'WATER TESTS'!F119&gt;8.5),1,0),0)+IF(ISNUMBER('WATER TESTS'!G119),IF('WATER TESTS'!G119&gt;1500,1,0),0)</f>
        <v>0</v>
      </c>
      <c r="E816">
        <f>COUNT('WATER TESTS'!D119:X119)</f>
        <v>0</v>
      </c>
    </row>
    <row r="817" spans="1:5" x14ac:dyDescent="0.25">
      <c r="A817">
        <v>120</v>
      </c>
      <c r="B817" t="str">
        <f>IF('WATER TESTS'!A120&lt;&gt;"",TRIM('WATER TESTS'!A120),B816)</f>
        <v>AKHH</v>
      </c>
      <c r="C817" t="str">
        <f>IF('WATER TESTS'!C120="","",IF(OR(ISNUMBER(SEARCH("drink",'WATER TESTS'!C120)),ISNUMBER(SEARCH("RO",'WATER TESTS'!C120))),"D","S"))</f>
        <v>D</v>
      </c>
      <c r="D817">
        <f>SUMPRODUCT(--ISNUMBER('WATER TESTS'!D120:X120),--('WATER TESTS'!D120:X120&gt;'WATER TESTS'!$D$4:$X$4))+IF(ISNUMBER('WATER TESTS'!F120),IF(OR('WATER TESTS'!F120&lt;6.5,'WATER TESTS'!F120&gt;8.5),1,0),0)+IF(ISNUMBER('WATER TESTS'!G120),IF('WATER TESTS'!G120&gt;1500,1,0),0)</f>
        <v>0</v>
      </c>
      <c r="E817">
        <f>COUNT('WATER TESTS'!D120:X120)</f>
        <v>0</v>
      </c>
    </row>
    <row r="818" spans="1:5" x14ac:dyDescent="0.25">
      <c r="A818">
        <v>121</v>
      </c>
      <c r="B818" t="str">
        <f>IF('WATER TESTS'!A121&lt;&gt;"",TRIM('WATER TESTS'!A121),B817)</f>
        <v>AKHH</v>
      </c>
      <c r="C818" t="str">
        <f>IF('WATER TESTS'!C121="","",IF(OR(ISNUMBER(SEARCH("drink",'WATER TESTS'!C121)),ISNUMBER(SEARCH("RO",'WATER TESTS'!C121))),"D","S"))</f>
        <v>S</v>
      </c>
      <c r="D818">
        <f>SUMPRODUCT(--ISNUMBER('WATER TESTS'!D121:X121),--('WATER TESTS'!D121:X121&gt;'WATER TESTS'!$D$4:$X$4))+IF(ISNUMBER('WATER TESTS'!F121),IF(OR('WATER TESTS'!F121&lt;6.5,'WATER TESTS'!F121&gt;8.5),1,0),0)+IF(ISNUMBER('WATER TESTS'!G121),IF('WATER TESTS'!G121&gt;1500,1,0),0)</f>
        <v>0</v>
      </c>
      <c r="E818">
        <f>COUNT('WATER TESTS'!D121:X121)</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FM_Dashboard</vt:lpstr>
      <vt:lpstr>Electrical Consmp.</vt:lpstr>
      <vt:lpstr>Water Consmp.</vt:lpstr>
      <vt:lpstr>REPAIRS</vt:lpstr>
      <vt:lpstr>GENERATOR CONSMP.</vt:lpstr>
      <vt:lpstr>WATER TESTS</vt:lpstr>
      <vt:lpstr>AMC-LOG</vt:lpstr>
      <vt:lpstr>check list</vt:lpstr>
      <vt:lpstr>CONFIG</vt:lpstr>
      <vt:lpstr>AUDIT CONTROL</vt:lpstr>
      <vt:lpstr>KPI ENGINE</vt:lpstr>
      <vt:lpstr>DASHBOARD</vt:lpstr>
      <vt:lpstr>MIS_Calc</vt:lpstr>
      <vt:lpstr>FM_Dashboard!Print_Area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CHANGRAMBALATH, Jinudev</cp:lastModifiedBy>
  <dcterms:created xsi:type="dcterms:W3CDTF">2026-10-05T17:30:37Z</dcterms:created>
  <dcterms:modified xsi:type="dcterms:W3CDTF">2026-10-05T18:31:58Z</dcterms:modified>
</cp:coreProperties>
</file>