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2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31.xml" ContentType="application/vnd.openxmlformats-officedocument.drawingml.chart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charts/chart34.xml" ContentType="application/vnd.openxmlformats-officedocument.drawingml.chart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charts/chart35.xml" ContentType="application/vnd.openxmlformats-officedocument.drawingml.chart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comments4.xml" ContentType="application/vnd.openxmlformats-officedocument.spreadsheetml.comments+xml"/>
  <Override PartName="/xl/charts/chart36.xml" ContentType="application/vnd.openxmlformats-officedocument.drawingml.chart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9.xml" ContentType="application/vnd.openxmlformats-officedocument.drawing+xml"/>
  <Override PartName="/xl/tables/table5.xml" ContentType="application/vnd.openxmlformats-officedocument.spreadsheetml.table+xml"/>
  <Override PartName="/xl/charts/chart39.xml" ContentType="application/vnd.openxmlformats-officedocument.drawingml.chart+xml"/>
  <Override PartName="/xl/drawings/drawing10.xml" ContentType="application/vnd.openxmlformats-officedocument.drawing+xml"/>
  <Override PartName="/xl/comments5.xml" ContentType="application/vnd.openxmlformats-officedocument.spreadsheetml.comments+xml"/>
  <Override PartName="/xl/charts/chart40.xml" ContentType="application/vnd.openxmlformats-officedocument.drawingml.chart+xml"/>
  <Override PartName="/xl/drawings/drawing11.xml" ContentType="application/vnd.openxmlformats-officedocument.drawing+xml"/>
  <Override PartName="/xl/tables/table6.xml" ContentType="application/vnd.openxmlformats-officedocument.spreadsheetml.table+xml"/>
  <Override PartName="/xl/charts/chart41.xml" ContentType="application/vnd.openxmlformats-officedocument.drawingml.chart+xml"/>
  <Override PartName="/xl/drawings/drawing12.xml" ContentType="application/vnd.openxmlformats-officedocument.drawing+xml"/>
  <Override PartName="/xl/tables/table7.xml" ContentType="application/vnd.openxmlformats-officedocument.spreadsheetml.table+xml"/>
  <Override PartName="/xl/charts/chart4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aily\MIS\"/>
    </mc:Choice>
  </mc:AlternateContent>
  <xr:revisionPtr revIDLastSave="0" documentId="8_{743568AC-4767-4967-9A55-0C0AC39EB80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FM_Dashboard" sheetId="1" r:id="rId1"/>
    <sheet name="PerCapita_Pyramid" sheetId="2" r:id="rId2"/>
    <sheet name="Complaints summary" sheetId="8" r:id="rId3"/>
    <sheet name="Building wise water" sheetId="10" r:id="rId4"/>
    <sheet name="LPCD" sheetId="12" r:id="rId5"/>
    <sheet name="EPI" sheetId="13" r:id="rId6"/>
    <sheet name="Power data" sheetId="14" r:id="rId7"/>
    <sheet name="Power Building wise" sheetId="15" r:id="rId8"/>
    <sheet name="Solar Power" sheetId="18" r:id="rId9"/>
    <sheet name="HVAC consumption" sheetId="19" r:id="rId10"/>
    <sheet name="Technical manpower cost" sheetId="24" r:id="rId11"/>
    <sheet name="Attendance" sheetId="25" r:id="rId12"/>
    <sheet name="DG Units Generated" sheetId="26" r:id="rId13"/>
    <sheet name="WQ" sheetId="27" r:id="rId14"/>
    <sheet name="Monthly KPI Report" sheetId="29" r:id="rId15"/>
    <sheet name="Building_Master" sheetId="53" r:id="rId16"/>
    <sheet name="MIS_Calc" sheetId="54" r:id="rId17"/>
  </sheets>
  <definedNames>
    <definedName name="_xlnm._FilterDatabase" localSheetId="14" hidden="1">'Monthly KPI Report'!$A$2:$S$14</definedName>
    <definedName name="_xlnm.Print_Area" localSheetId="0">FM_Dashboard!$A$1:$Y$135</definedName>
    <definedName name="_xlnm.Print_Area" localSheetId="1">PerCapita_Pyramid!$A$1:$Y$180</definedName>
    <definedName name="_xlnm.Print_Titles" localSheetId="3">'Building wise water'!$9:$9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8" i="54" l="1"/>
  <c r="H340" i="54"/>
  <c r="A327" i="54"/>
  <c r="F270" i="54"/>
  <c r="B240" i="54"/>
  <c r="B238" i="54"/>
  <c r="AH211" i="54"/>
  <c r="AG211" i="54"/>
  <c r="O211" i="54"/>
  <c r="K211" i="54"/>
  <c r="J211" i="54"/>
  <c r="AH210" i="54"/>
  <c r="AG210" i="54"/>
  <c r="S210" i="54"/>
  <c r="R210" i="54"/>
  <c r="Q210" i="54"/>
  <c r="O210" i="54"/>
  <c r="N210" i="54"/>
  <c r="J210" i="54"/>
  <c r="AH209" i="54"/>
  <c r="AG209" i="54"/>
  <c r="J209" i="54"/>
  <c r="AM208" i="54"/>
  <c r="AJ208" i="54"/>
  <c r="AH208" i="54"/>
  <c r="AK208" i="54" s="1"/>
  <c r="AG208" i="54"/>
  <c r="AF208" i="54"/>
  <c r="AH207" i="54"/>
  <c r="AG207" i="54"/>
  <c r="Q207" i="54"/>
  <c r="I207" i="54"/>
  <c r="G207" i="54"/>
  <c r="C207" i="54"/>
  <c r="AH206" i="54"/>
  <c r="AG206" i="54"/>
  <c r="V206" i="54"/>
  <c r="F206" i="54"/>
  <c r="AH205" i="54"/>
  <c r="AG205" i="54"/>
  <c r="W205" i="54"/>
  <c r="U205" i="54"/>
  <c r="K205" i="54"/>
  <c r="J205" i="54"/>
  <c r="AH204" i="54"/>
  <c r="AG204" i="54"/>
  <c r="AE204" i="54"/>
  <c r="Z204" i="54"/>
  <c r="X204" i="54"/>
  <c r="K204" i="54"/>
  <c r="J204" i="54"/>
  <c r="AH203" i="54"/>
  <c r="AG203" i="54"/>
  <c r="Y203" i="54"/>
  <c r="X203" i="54"/>
  <c r="W203" i="54"/>
  <c r="P203" i="54"/>
  <c r="AH202" i="54"/>
  <c r="AG202" i="54"/>
  <c r="Q202" i="54"/>
  <c r="P202" i="54"/>
  <c r="O202" i="54"/>
  <c r="AH201" i="54"/>
  <c r="AG201" i="54"/>
  <c r="Z201" i="54"/>
  <c r="V201" i="54"/>
  <c r="U201" i="54"/>
  <c r="T201" i="54"/>
  <c r="L201" i="54"/>
  <c r="J201" i="54"/>
  <c r="I201" i="54"/>
  <c r="G201" i="54"/>
  <c r="AH200" i="54"/>
  <c r="AG200" i="54"/>
  <c r="Q200" i="54"/>
  <c r="E200" i="54"/>
  <c r="D200" i="54"/>
  <c r="C200" i="54"/>
  <c r="AH199" i="54"/>
  <c r="AG199" i="54"/>
  <c r="AE199" i="54"/>
  <c r="Y199" i="54"/>
  <c r="M199" i="54"/>
  <c r="L199" i="54"/>
  <c r="K199" i="54"/>
  <c r="AH198" i="54"/>
  <c r="AG198" i="54"/>
  <c r="AE198" i="54"/>
  <c r="Z198" i="54"/>
  <c r="Y198" i="54"/>
  <c r="O198" i="54"/>
  <c r="F198" i="54"/>
  <c r="AJ197" i="54"/>
  <c r="AI197" i="54"/>
  <c r="AH197" i="54"/>
  <c r="AG197" i="54"/>
  <c r="G197" i="54"/>
  <c r="AH196" i="54"/>
  <c r="AG196" i="54"/>
  <c r="U196" i="54"/>
  <c r="S196" i="54"/>
  <c r="R196" i="54"/>
  <c r="Q196" i="54"/>
  <c r="AJ195" i="54"/>
  <c r="AI195" i="54"/>
  <c r="AH195" i="54"/>
  <c r="AG195" i="54"/>
  <c r="Z195" i="54"/>
  <c r="U195" i="54"/>
  <c r="O195" i="54"/>
  <c r="N195" i="54"/>
  <c r="J195" i="54"/>
  <c r="C195" i="54"/>
  <c r="AH194" i="54"/>
  <c r="AG194" i="54"/>
  <c r="P194" i="54"/>
  <c r="N194" i="54"/>
  <c r="H194" i="54"/>
  <c r="N189" i="54"/>
  <c r="M189" i="54"/>
  <c r="L189" i="54"/>
  <c r="K189" i="54"/>
  <c r="J189" i="54"/>
  <c r="I189" i="54"/>
  <c r="H189" i="54"/>
  <c r="G189" i="54"/>
  <c r="F189" i="54"/>
  <c r="E189" i="54"/>
  <c r="D189" i="54"/>
  <c r="C189" i="54"/>
  <c r="A189" i="54"/>
  <c r="N188" i="54"/>
  <c r="M188" i="54"/>
  <c r="L188" i="54"/>
  <c r="K188" i="54"/>
  <c r="J188" i="54"/>
  <c r="I188" i="54"/>
  <c r="H188" i="54"/>
  <c r="G188" i="54"/>
  <c r="F188" i="54"/>
  <c r="E188" i="54"/>
  <c r="D188" i="54"/>
  <c r="C188" i="54"/>
  <c r="A188" i="54"/>
  <c r="N187" i="54"/>
  <c r="M187" i="54"/>
  <c r="L187" i="54"/>
  <c r="K187" i="54"/>
  <c r="J187" i="54"/>
  <c r="I187" i="54"/>
  <c r="H187" i="54"/>
  <c r="G187" i="54"/>
  <c r="F187" i="54"/>
  <c r="E187" i="54"/>
  <c r="D187" i="54"/>
  <c r="C187" i="54"/>
  <c r="A187" i="54"/>
  <c r="W186" i="54"/>
  <c r="N186" i="54"/>
  <c r="M186" i="54"/>
  <c r="L186" i="54"/>
  <c r="K186" i="54"/>
  <c r="J186" i="54"/>
  <c r="I186" i="54"/>
  <c r="H186" i="54"/>
  <c r="G186" i="54"/>
  <c r="F186" i="54"/>
  <c r="E186" i="54"/>
  <c r="D186" i="54"/>
  <c r="C186" i="54"/>
  <c r="A186" i="54"/>
  <c r="N185" i="54"/>
  <c r="M185" i="54"/>
  <c r="L185" i="54"/>
  <c r="K185" i="54"/>
  <c r="J185" i="54"/>
  <c r="I185" i="54"/>
  <c r="H185" i="54"/>
  <c r="G185" i="54"/>
  <c r="F185" i="54"/>
  <c r="E185" i="54"/>
  <c r="D185" i="54"/>
  <c r="C185" i="54"/>
  <c r="A185" i="54"/>
  <c r="N184" i="54"/>
  <c r="M184" i="54"/>
  <c r="V184" i="54" s="1"/>
  <c r="L184" i="54"/>
  <c r="K184" i="54"/>
  <c r="J184" i="54"/>
  <c r="I184" i="54"/>
  <c r="H184" i="54"/>
  <c r="G184" i="54"/>
  <c r="F184" i="54"/>
  <c r="E184" i="54"/>
  <c r="D184" i="54"/>
  <c r="C184" i="54"/>
  <c r="A184" i="54"/>
  <c r="N183" i="54"/>
  <c r="W183" i="54" s="1"/>
  <c r="M183" i="54"/>
  <c r="L183" i="54"/>
  <c r="K183" i="54"/>
  <c r="J183" i="54"/>
  <c r="I183" i="54"/>
  <c r="H183" i="54"/>
  <c r="G183" i="54"/>
  <c r="F183" i="54"/>
  <c r="E183" i="54"/>
  <c r="D183" i="54"/>
  <c r="C183" i="54"/>
  <c r="A183" i="54"/>
  <c r="N182" i="54"/>
  <c r="M182" i="54"/>
  <c r="L182" i="54"/>
  <c r="K182" i="54"/>
  <c r="J182" i="54"/>
  <c r="I182" i="54"/>
  <c r="H182" i="54"/>
  <c r="G182" i="54"/>
  <c r="F182" i="54"/>
  <c r="E182" i="54"/>
  <c r="D182" i="54"/>
  <c r="C182" i="54"/>
  <c r="A182" i="54"/>
  <c r="N181" i="54"/>
  <c r="M181" i="54"/>
  <c r="L181" i="54"/>
  <c r="K181" i="54"/>
  <c r="J181" i="54"/>
  <c r="I181" i="54"/>
  <c r="H181" i="54"/>
  <c r="G181" i="54"/>
  <c r="F181" i="54"/>
  <c r="E181" i="54"/>
  <c r="D181" i="54"/>
  <c r="C181" i="54"/>
  <c r="A181" i="54"/>
  <c r="N180" i="54"/>
  <c r="M180" i="54"/>
  <c r="L180" i="54"/>
  <c r="K180" i="54"/>
  <c r="J180" i="54"/>
  <c r="I180" i="54"/>
  <c r="H180" i="54"/>
  <c r="G180" i="54"/>
  <c r="F180" i="54"/>
  <c r="E180" i="54"/>
  <c r="D180" i="54"/>
  <c r="C180" i="54"/>
  <c r="A180" i="54"/>
  <c r="U175" i="54"/>
  <c r="H364" i="54" s="1"/>
  <c r="O175" i="54"/>
  <c r="N175" i="54"/>
  <c r="M175" i="54"/>
  <c r="L175" i="54"/>
  <c r="K175" i="54"/>
  <c r="J175" i="54"/>
  <c r="I175" i="54"/>
  <c r="H175" i="54"/>
  <c r="G175" i="54"/>
  <c r="F175" i="54"/>
  <c r="E175" i="54"/>
  <c r="D175" i="54"/>
  <c r="C175" i="54"/>
  <c r="A175" i="54"/>
  <c r="O174" i="54"/>
  <c r="N174" i="54"/>
  <c r="M174" i="54"/>
  <c r="L174" i="54"/>
  <c r="K174" i="54"/>
  <c r="J174" i="54"/>
  <c r="I174" i="54"/>
  <c r="H174" i="54"/>
  <c r="G174" i="54"/>
  <c r="W174" i="54" s="1"/>
  <c r="F174" i="54"/>
  <c r="E174" i="54"/>
  <c r="D174" i="54"/>
  <c r="C174" i="54"/>
  <c r="A174" i="54"/>
  <c r="U173" i="54"/>
  <c r="H362" i="54" s="1"/>
  <c r="O173" i="54"/>
  <c r="N173" i="54"/>
  <c r="M173" i="54"/>
  <c r="L173" i="54"/>
  <c r="K173" i="54"/>
  <c r="J173" i="54"/>
  <c r="I173" i="54"/>
  <c r="H173" i="54"/>
  <c r="G173" i="54"/>
  <c r="F173" i="54"/>
  <c r="E173" i="54"/>
  <c r="D173" i="54"/>
  <c r="R173" i="54" s="1"/>
  <c r="C173" i="54"/>
  <c r="A173" i="54"/>
  <c r="O172" i="54"/>
  <c r="N172" i="54"/>
  <c r="M172" i="54"/>
  <c r="L172" i="54"/>
  <c r="K172" i="54"/>
  <c r="J172" i="54"/>
  <c r="I172" i="54"/>
  <c r="H172" i="54"/>
  <c r="G172" i="54"/>
  <c r="F172" i="54"/>
  <c r="E172" i="54"/>
  <c r="D172" i="54"/>
  <c r="C172" i="54"/>
  <c r="A172" i="54"/>
  <c r="U171" i="54"/>
  <c r="H360" i="54" s="1"/>
  <c r="O171" i="54"/>
  <c r="N171" i="54"/>
  <c r="M171" i="54"/>
  <c r="R171" i="54" s="1"/>
  <c r="L171" i="54"/>
  <c r="K171" i="54"/>
  <c r="J171" i="54"/>
  <c r="I171" i="54"/>
  <c r="H171" i="54"/>
  <c r="G171" i="54"/>
  <c r="F171" i="54"/>
  <c r="E171" i="54"/>
  <c r="D171" i="54"/>
  <c r="C171" i="54"/>
  <c r="A171" i="54"/>
  <c r="W170" i="54"/>
  <c r="O170" i="54"/>
  <c r="N170" i="54"/>
  <c r="M170" i="54"/>
  <c r="L170" i="54"/>
  <c r="K170" i="54"/>
  <c r="J170" i="54"/>
  <c r="I170" i="54"/>
  <c r="H170" i="54"/>
  <c r="G170" i="54"/>
  <c r="F170" i="54"/>
  <c r="E170" i="54"/>
  <c r="D170" i="54"/>
  <c r="C170" i="54"/>
  <c r="A170" i="54"/>
  <c r="O169" i="54"/>
  <c r="N169" i="54"/>
  <c r="M169" i="54"/>
  <c r="L169" i="54"/>
  <c r="K169" i="54"/>
  <c r="J169" i="54"/>
  <c r="I169" i="54"/>
  <c r="H169" i="54"/>
  <c r="G169" i="54"/>
  <c r="F169" i="54"/>
  <c r="V169" i="54" s="1"/>
  <c r="E169" i="54"/>
  <c r="D169" i="54"/>
  <c r="C169" i="54"/>
  <c r="A169" i="54"/>
  <c r="U168" i="54"/>
  <c r="H357" i="54" s="1"/>
  <c r="O168" i="54"/>
  <c r="N168" i="54"/>
  <c r="M168" i="54"/>
  <c r="W168" i="54" s="1"/>
  <c r="L168" i="54"/>
  <c r="K168" i="54"/>
  <c r="J168" i="54"/>
  <c r="I168" i="54"/>
  <c r="H168" i="54"/>
  <c r="G168" i="54"/>
  <c r="F168" i="54"/>
  <c r="E168" i="54"/>
  <c r="D168" i="54"/>
  <c r="C168" i="54"/>
  <c r="A168" i="54"/>
  <c r="W167" i="54"/>
  <c r="R167" i="54"/>
  <c r="O167" i="54"/>
  <c r="N167" i="54"/>
  <c r="M167" i="54"/>
  <c r="L167" i="54"/>
  <c r="K167" i="54"/>
  <c r="J167" i="54"/>
  <c r="I167" i="54"/>
  <c r="H167" i="54"/>
  <c r="G167" i="54"/>
  <c r="F167" i="54"/>
  <c r="E167" i="54"/>
  <c r="D167" i="54"/>
  <c r="C167" i="54"/>
  <c r="A167" i="54"/>
  <c r="V166" i="54"/>
  <c r="O166" i="54"/>
  <c r="N166" i="54"/>
  <c r="M166" i="54"/>
  <c r="L166" i="54"/>
  <c r="K166" i="54"/>
  <c r="J166" i="54"/>
  <c r="I166" i="54"/>
  <c r="H166" i="54"/>
  <c r="G166" i="54"/>
  <c r="F166" i="54"/>
  <c r="E166" i="54"/>
  <c r="R166" i="54" s="1"/>
  <c r="D166" i="54"/>
  <c r="C166" i="54"/>
  <c r="A166" i="54"/>
  <c r="U165" i="54"/>
  <c r="H354" i="54" s="1"/>
  <c r="O165" i="54"/>
  <c r="N165" i="54"/>
  <c r="M165" i="54"/>
  <c r="L165" i="54"/>
  <c r="K165" i="54"/>
  <c r="J165" i="54"/>
  <c r="I165" i="54"/>
  <c r="H165" i="54"/>
  <c r="G165" i="54"/>
  <c r="F165" i="54"/>
  <c r="E165" i="54"/>
  <c r="V165" i="54" s="1"/>
  <c r="D165" i="54"/>
  <c r="C165" i="54"/>
  <c r="A165" i="54"/>
  <c r="O160" i="54"/>
  <c r="AE210" i="54" s="1"/>
  <c r="N160" i="54"/>
  <c r="Z210" i="54" s="1"/>
  <c r="M160" i="54"/>
  <c r="Y210" i="54" s="1"/>
  <c r="L160" i="54"/>
  <c r="X210" i="54" s="1"/>
  <c r="K160" i="54"/>
  <c r="W210" i="54" s="1"/>
  <c r="J160" i="54"/>
  <c r="V210" i="54" s="1"/>
  <c r="I160" i="54"/>
  <c r="U210" i="54" s="1"/>
  <c r="H160" i="54"/>
  <c r="T210" i="54" s="1"/>
  <c r="G160" i="54"/>
  <c r="F160" i="54"/>
  <c r="E160" i="54"/>
  <c r="D160" i="54"/>
  <c r="P210" i="54" s="1"/>
  <c r="C160" i="54"/>
  <c r="B160" i="54"/>
  <c r="A160" i="54"/>
  <c r="U159" i="54"/>
  <c r="AO206" i="54" s="1"/>
  <c r="H338" i="54" s="1"/>
  <c r="O159" i="54"/>
  <c r="AE206" i="54" s="1"/>
  <c r="N159" i="54"/>
  <c r="Z206" i="54" s="1"/>
  <c r="M159" i="54"/>
  <c r="Y206" i="54" s="1"/>
  <c r="L159" i="54"/>
  <c r="X206" i="54" s="1"/>
  <c r="K159" i="54"/>
  <c r="W206" i="54" s="1"/>
  <c r="J159" i="54"/>
  <c r="I159" i="54"/>
  <c r="H159" i="54"/>
  <c r="T206" i="54" s="1"/>
  <c r="G159" i="54"/>
  <c r="S206" i="54" s="1"/>
  <c r="F159" i="54"/>
  <c r="R206" i="54" s="1"/>
  <c r="E159" i="54"/>
  <c r="Q206" i="54" s="1"/>
  <c r="D159" i="54"/>
  <c r="P206" i="54" s="1"/>
  <c r="C159" i="54"/>
  <c r="B159" i="54"/>
  <c r="A159" i="54"/>
  <c r="U158" i="54"/>
  <c r="O158" i="54"/>
  <c r="N158" i="54"/>
  <c r="M158" i="54"/>
  <c r="L158" i="54"/>
  <c r="K158" i="54"/>
  <c r="J158" i="54"/>
  <c r="I158" i="54"/>
  <c r="H158" i="54"/>
  <c r="G158" i="54"/>
  <c r="F158" i="54"/>
  <c r="E158" i="54"/>
  <c r="D158" i="54"/>
  <c r="C158" i="54"/>
  <c r="B158" i="54"/>
  <c r="A158" i="54"/>
  <c r="O156" i="54"/>
  <c r="N156" i="54"/>
  <c r="M156" i="54"/>
  <c r="L156" i="54"/>
  <c r="K156" i="54"/>
  <c r="J156" i="54"/>
  <c r="W156" i="54" s="1"/>
  <c r="I156" i="54"/>
  <c r="H156" i="54"/>
  <c r="G156" i="54"/>
  <c r="F156" i="54"/>
  <c r="E156" i="54"/>
  <c r="D156" i="54"/>
  <c r="C156" i="54"/>
  <c r="B156" i="54"/>
  <c r="A156" i="54"/>
  <c r="U155" i="54"/>
  <c r="AO209" i="54" s="1"/>
  <c r="H341" i="54" s="1"/>
  <c r="O155" i="54"/>
  <c r="AE209" i="54" s="1"/>
  <c r="N155" i="54"/>
  <c r="M155" i="54"/>
  <c r="Y209" i="54" s="1"/>
  <c r="L155" i="54"/>
  <c r="X209" i="54" s="1"/>
  <c r="K155" i="54"/>
  <c r="W209" i="54" s="1"/>
  <c r="J155" i="54"/>
  <c r="V209" i="54" s="1"/>
  <c r="I155" i="54"/>
  <c r="U209" i="54" s="1"/>
  <c r="H155" i="54"/>
  <c r="T209" i="54" s="1"/>
  <c r="G155" i="54"/>
  <c r="S209" i="54" s="1"/>
  <c r="F155" i="54"/>
  <c r="R209" i="54" s="1"/>
  <c r="E155" i="54"/>
  <c r="Q209" i="54" s="1"/>
  <c r="D155" i="54"/>
  <c r="P209" i="54" s="1"/>
  <c r="C155" i="54"/>
  <c r="B155" i="54"/>
  <c r="A155" i="54"/>
  <c r="U154" i="54"/>
  <c r="AO207" i="54" s="1"/>
  <c r="H339" i="54" s="1"/>
  <c r="O154" i="54"/>
  <c r="AE207" i="54" s="1"/>
  <c r="N154" i="54"/>
  <c r="Z207" i="54" s="1"/>
  <c r="M154" i="54"/>
  <c r="Y207" i="54" s="1"/>
  <c r="L154" i="54"/>
  <c r="X207" i="54" s="1"/>
  <c r="K154" i="54"/>
  <c r="W207" i="54" s="1"/>
  <c r="J154" i="54"/>
  <c r="V207" i="54" s="1"/>
  <c r="I154" i="54"/>
  <c r="U207" i="54" s="1"/>
  <c r="H154" i="54"/>
  <c r="T207" i="54" s="1"/>
  <c r="G154" i="54"/>
  <c r="S207" i="54" s="1"/>
  <c r="F154" i="54"/>
  <c r="R207" i="54" s="1"/>
  <c r="E154" i="54"/>
  <c r="D154" i="54"/>
  <c r="P207" i="54" s="1"/>
  <c r="C154" i="54"/>
  <c r="B154" i="54"/>
  <c r="A154" i="54"/>
  <c r="O153" i="54"/>
  <c r="N153" i="54"/>
  <c r="Q136" i="2" s="1"/>
  <c r="M153" i="54"/>
  <c r="L153" i="54"/>
  <c r="K153" i="54"/>
  <c r="J153" i="54"/>
  <c r="I153" i="54"/>
  <c r="H153" i="54"/>
  <c r="G153" i="54"/>
  <c r="F153" i="54"/>
  <c r="E153" i="54"/>
  <c r="R153" i="54" s="1"/>
  <c r="D153" i="54"/>
  <c r="C153" i="54"/>
  <c r="B153" i="54"/>
  <c r="A153" i="54"/>
  <c r="O152" i="54"/>
  <c r="N152" i="54"/>
  <c r="M152" i="54"/>
  <c r="L152" i="54"/>
  <c r="K152" i="54"/>
  <c r="J152" i="54"/>
  <c r="I152" i="54"/>
  <c r="H152" i="54"/>
  <c r="G152" i="54"/>
  <c r="F152" i="54"/>
  <c r="E152" i="54"/>
  <c r="D152" i="54"/>
  <c r="C152" i="54"/>
  <c r="B152" i="54"/>
  <c r="A152" i="54"/>
  <c r="U151" i="54"/>
  <c r="AO205" i="54" s="1"/>
  <c r="H337" i="54" s="1"/>
  <c r="O151" i="54"/>
  <c r="AE205" i="54" s="1"/>
  <c r="N151" i="54"/>
  <c r="Z205" i="54" s="1"/>
  <c r="M151" i="54"/>
  <c r="Y205" i="54" s="1"/>
  <c r="L151" i="54"/>
  <c r="X205" i="54" s="1"/>
  <c r="K151" i="54"/>
  <c r="J151" i="54"/>
  <c r="V205" i="54" s="1"/>
  <c r="I151" i="54"/>
  <c r="H151" i="54"/>
  <c r="T205" i="54" s="1"/>
  <c r="G151" i="54"/>
  <c r="S205" i="54" s="1"/>
  <c r="F151" i="54"/>
  <c r="R205" i="54" s="1"/>
  <c r="E151" i="54"/>
  <c r="Q205" i="54" s="1"/>
  <c r="D151" i="54"/>
  <c r="P205" i="54" s="1"/>
  <c r="C151" i="54"/>
  <c r="O205" i="54" s="1"/>
  <c r="B151" i="54"/>
  <c r="A151" i="54"/>
  <c r="O150" i="54"/>
  <c r="N150" i="54"/>
  <c r="M150" i="54"/>
  <c r="Y204" i="54" s="1"/>
  <c r="L150" i="54"/>
  <c r="K150" i="54"/>
  <c r="W204" i="54" s="1"/>
  <c r="J150" i="54"/>
  <c r="V204" i="54" s="1"/>
  <c r="I150" i="54"/>
  <c r="U204" i="54" s="1"/>
  <c r="H150" i="54"/>
  <c r="T204" i="54" s="1"/>
  <c r="G150" i="54"/>
  <c r="S204" i="54" s="1"/>
  <c r="F150" i="54"/>
  <c r="R204" i="54" s="1"/>
  <c r="E150" i="54"/>
  <c r="Q204" i="54" s="1"/>
  <c r="D150" i="54"/>
  <c r="C150" i="54"/>
  <c r="O204" i="54" s="1"/>
  <c r="B150" i="54"/>
  <c r="A150" i="54"/>
  <c r="O149" i="54"/>
  <c r="AE203" i="54" s="1"/>
  <c r="N149" i="54"/>
  <c r="Z203" i="54" s="1"/>
  <c r="M149" i="54"/>
  <c r="L149" i="54"/>
  <c r="K149" i="54"/>
  <c r="J149" i="54"/>
  <c r="V203" i="54" s="1"/>
  <c r="I149" i="54"/>
  <c r="U203" i="54" s="1"/>
  <c r="H149" i="54"/>
  <c r="T203" i="54" s="1"/>
  <c r="G149" i="54"/>
  <c r="S203" i="54" s="1"/>
  <c r="F149" i="54"/>
  <c r="R203" i="54" s="1"/>
  <c r="E149" i="54"/>
  <c r="Q203" i="54" s="1"/>
  <c r="D149" i="54"/>
  <c r="C149" i="54"/>
  <c r="B149" i="54"/>
  <c r="A149" i="54"/>
  <c r="U148" i="54"/>
  <c r="AO202" i="54" s="1"/>
  <c r="H334" i="54" s="1"/>
  <c r="O148" i="54"/>
  <c r="AE202" i="54" s="1"/>
  <c r="N148" i="54"/>
  <c r="Z202" i="54" s="1"/>
  <c r="M148" i="54"/>
  <c r="Y202" i="54" s="1"/>
  <c r="L148" i="54"/>
  <c r="X202" i="54" s="1"/>
  <c r="K148" i="54"/>
  <c r="W202" i="54" s="1"/>
  <c r="J148" i="54"/>
  <c r="V202" i="54" s="1"/>
  <c r="I148" i="54"/>
  <c r="U202" i="54" s="1"/>
  <c r="H148" i="54"/>
  <c r="T202" i="54" s="1"/>
  <c r="G148" i="54"/>
  <c r="S202" i="54" s="1"/>
  <c r="F148" i="54"/>
  <c r="R202" i="54" s="1"/>
  <c r="E148" i="54"/>
  <c r="D148" i="54"/>
  <c r="C148" i="54"/>
  <c r="B148" i="54"/>
  <c r="A148" i="54"/>
  <c r="O147" i="54"/>
  <c r="AE201" i="54" s="1"/>
  <c r="N147" i="54"/>
  <c r="M147" i="54"/>
  <c r="Y201" i="54" s="1"/>
  <c r="L147" i="54"/>
  <c r="X201" i="54" s="1"/>
  <c r="K147" i="54"/>
  <c r="W201" i="54" s="1"/>
  <c r="J147" i="54"/>
  <c r="I147" i="54"/>
  <c r="H147" i="54"/>
  <c r="G147" i="54"/>
  <c r="S201" i="54" s="1"/>
  <c r="F147" i="54"/>
  <c r="R201" i="54" s="1"/>
  <c r="E147" i="54"/>
  <c r="Q201" i="54" s="1"/>
  <c r="D147" i="54"/>
  <c r="P201" i="54" s="1"/>
  <c r="C147" i="54"/>
  <c r="B147" i="54"/>
  <c r="A147" i="54"/>
  <c r="O146" i="54"/>
  <c r="AE200" i="54" s="1"/>
  <c r="N146" i="54"/>
  <c r="Z200" i="54" s="1"/>
  <c r="M146" i="54"/>
  <c r="Y200" i="54" s="1"/>
  <c r="L146" i="54"/>
  <c r="X200" i="54" s="1"/>
  <c r="K146" i="54"/>
  <c r="W200" i="54" s="1"/>
  <c r="J146" i="54"/>
  <c r="V200" i="54" s="1"/>
  <c r="I146" i="54"/>
  <c r="U200" i="54" s="1"/>
  <c r="H146" i="54"/>
  <c r="T200" i="54" s="1"/>
  <c r="G146" i="54"/>
  <c r="S200" i="54" s="1"/>
  <c r="F146" i="54"/>
  <c r="R200" i="54" s="1"/>
  <c r="E146" i="54"/>
  <c r="D146" i="54"/>
  <c r="P200" i="54" s="1"/>
  <c r="C146" i="54"/>
  <c r="B146" i="54"/>
  <c r="A146" i="54"/>
  <c r="O145" i="54"/>
  <c r="N145" i="54"/>
  <c r="Z199" i="54" s="1"/>
  <c r="M145" i="54"/>
  <c r="L145" i="54"/>
  <c r="X199" i="54" s="1"/>
  <c r="K145" i="54"/>
  <c r="W199" i="54" s="1"/>
  <c r="J145" i="54"/>
  <c r="V199" i="54" s="1"/>
  <c r="I145" i="54"/>
  <c r="U199" i="54" s="1"/>
  <c r="H145" i="54"/>
  <c r="T199" i="54" s="1"/>
  <c r="G145" i="54"/>
  <c r="F145" i="54"/>
  <c r="R199" i="54" s="1"/>
  <c r="E145" i="54"/>
  <c r="Q199" i="54" s="1"/>
  <c r="D145" i="54"/>
  <c r="P199" i="54" s="1"/>
  <c r="C145" i="54"/>
  <c r="O199" i="54" s="1"/>
  <c r="B145" i="54"/>
  <c r="A145" i="54"/>
  <c r="U144" i="54"/>
  <c r="AO198" i="54" s="1"/>
  <c r="H330" i="54" s="1"/>
  <c r="R144" i="54"/>
  <c r="AQ198" i="54" s="1"/>
  <c r="U105" i="1" s="1"/>
  <c r="O144" i="54"/>
  <c r="N144" i="54"/>
  <c r="M144" i="54"/>
  <c r="L144" i="54"/>
  <c r="X198" i="54" s="1"/>
  <c r="K144" i="54"/>
  <c r="W198" i="54" s="1"/>
  <c r="J144" i="54"/>
  <c r="V198" i="54" s="1"/>
  <c r="I144" i="54"/>
  <c r="U198" i="54" s="1"/>
  <c r="H144" i="54"/>
  <c r="T198" i="54" s="1"/>
  <c r="G144" i="54"/>
  <c r="S198" i="54" s="1"/>
  <c r="F144" i="54"/>
  <c r="R198" i="54" s="1"/>
  <c r="E144" i="54"/>
  <c r="Q198" i="54" s="1"/>
  <c r="D144" i="54"/>
  <c r="P198" i="54" s="1"/>
  <c r="C144" i="54"/>
  <c r="B144" i="54"/>
  <c r="A144" i="54"/>
  <c r="O143" i="54"/>
  <c r="AE197" i="54" s="1"/>
  <c r="N143" i="54"/>
  <c r="Z197" i="54" s="1"/>
  <c r="M143" i="54"/>
  <c r="Y197" i="54" s="1"/>
  <c r="L143" i="54"/>
  <c r="X197" i="54" s="1"/>
  <c r="K143" i="54"/>
  <c r="W197" i="54" s="1"/>
  <c r="J143" i="54"/>
  <c r="V197" i="54" s="1"/>
  <c r="I143" i="54"/>
  <c r="U197" i="54" s="1"/>
  <c r="H143" i="54"/>
  <c r="T197" i="54" s="1"/>
  <c r="G143" i="54"/>
  <c r="S197" i="54" s="1"/>
  <c r="F143" i="54"/>
  <c r="R197" i="54" s="1"/>
  <c r="E143" i="54"/>
  <c r="Q197" i="54" s="1"/>
  <c r="D143" i="54"/>
  <c r="P197" i="54" s="1"/>
  <c r="C143" i="54"/>
  <c r="B143" i="54"/>
  <c r="A143" i="54"/>
  <c r="O142" i="54"/>
  <c r="AE196" i="54" s="1"/>
  <c r="N142" i="54"/>
  <c r="Z196" i="54" s="1"/>
  <c r="M142" i="54"/>
  <c r="Y196" i="54" s="1"/>
  <c r="L142" i="54"/>
  <c r="X196" i="54" s="1"/>
  <c r="K142" i="54"/>
  <c r="W196" i="54" s="1"/>
  <c r="J142" i="54"/>
  <c r="V196" i="54" s="1"/>
  <c r="I142" i="54"/>
  <c r="H142" i="54"/>
  <c r="T196" i="54" s="1"/>
  <c r="G142" i="54"/>
  <c r="F142" i="54"/>
  <c r="E142" i="54"/>
  <c r="D142" i="54"/>
  <c r="P196" i="54" s="1"/>
  <c r="C142" i="54"/>
  <c r="B142" i="54"/>
  <c r="A142" i="54"/>
  <c r="O141" i="54"/>
  <c r="AE195" i="54" s="1"/>
  <c r="N141" i="54"/>
  <c r="M141" i="54"/>
  <c r="Y195" i="54" s="1"/>
  <c r="L141" i="54"/>
  <c r="X195" i="54" s="1"/>
  <c r="K141" i="54"/>
  <c r="W195" i="54" s="1"/>
  <c r="J141" i="54"/>
  <c r="V195" i="54" s="1"/>
  <c r="I141" i="54"/>
  <c r="H141" i="54"/>
  <c r="T195" i="54" s="1"/>
  <c r="G141" i="54"/>
  <c r="S195" i="54" s="1"/>
  <c r="F141" i="54"/>
  <c r="R195" i="54" s="1"/>
  <c r="E141" i="54"/>
  <c r="Q195" i="54" s="1"/>
  <c r="D141" i="54"/>
  <c r="P195" i="54" s="1"/>
  <c r="C141" i="54"/>
  <c r="B141" i="54"/>
  <c r="A141" i="54"/>
  <c r="U140" i="54"/>
  <c r="AO194" i="54" s="1"/>
  <c r="H326" i="54" s="1"/>
  <c r="O140" i="54"/>
  <c r="AE194" i="54" s="1"/>
  <c r="N140" i="54"/>
  <c r="Z194" i="54" s="1"/>
  <c r="M140" i="54"/>
  <c r="Y194" i="54" s="1"/>
  <c r="L140" i="54"/>
  <c r="X194" i="54" s="1"/>
  <c r="K140" i="54"/>
  <c r="W194" i="54" s="1"/>
  <c r="J140" i="54"/>
  <c r="V194" i="54" s="1"/>
  <c r="I140" i="54"/>
  <c r="U194" i="54" s="1"/>
  <c r="H140" i="54"/>
  <c r="T194" i="54" s="1"/>
  <c r="G140" i="54"/>
  <c r="S194" i="54" s="1"/>
  <c r="F140" i="54"/>
  <c r="R194" i="54" s="1"/>
  <c r="E140" i="54"/>
  <c r="Q194" i="54" s="1"/>
  <c r="D140" i="54"/>
  <c r="C140" i="54"/>
  <c r="B140" i="54"/>
  <c r="A140" i="54"/>
  <c r="O139" i="54"/>
  <c r="N139" i="54"/>
  <c r="M139" i="54"/>
  <c r="L139" i="54"/>
  <c r="O122" i="2" s="1"/>
  <c r="K139" i="54"/>
  <c r="J139" i="54"/>
  <c r="U139" i="54" s="1"/>
  <c r="I139" i="54"/>
  <c r="H139" i="54"/>
  <c r="G139" i="54"/>
  <c r="F139" i="54"/>
  <c r="W139" i="54" s="1"/>
  <c r="E139" i="54"/>
  <c r="D139" i="54"/>
  <c r="C139" i="54"/>
  <c r="B139" i="54"/>
  <c r="A139" i="54"/>
  <c r="W138" i="54"/>
  <c r="V121" i="2" s="1"/>
  <c r="O138" i="54"/>
  <c r="AE211" i="54" s="1"/>
  <c r="N138" i="54"/>
  <c r="Z211" i="54" s="1"/>
  <c r="M138" i="54"/>
  <c r="Y211" i="54" s="1"/>
  <c r="L138" i="54"/>
  <c r="X211" i="54" s="1"/>
  <c r="K138" i="54"/>
  <c r="W211" i="54" s="1"/>
  <c r="J138" i="54"/>
  <c r="V211" i="54" s="1"/>
  <c r="I138" i="54"/>
  <c r="U211" i="54" s="1"/>
  <c r="H138" i="54"/>
  <c r="T211" i="54" s="1"/>
  <c r="G138" i="54"/>
  <c r="S211" i="54" s="1"/>
  <c r="F138" i="54"/>
  <c r="R211" i="54" s="1"/>
  <c r="E138" i="54"/>
  <c r="Q211" i="54" s="1"/>
  <c r="D138" i="54"/>
  <c r="C138" i="54"/>
  <c r="B138" i="54"/>
  <c r="A138" i="54"/>
  <c r="U137" i="54"/>
  <c r="O137" i="54"/>
  <c r="N137" i="54"/>
  <c r="M137" i="54"/>
  <c r="L137" i="54"/>
  <c r="K137" i="54"/>
  <c r="J137" i="54"/>
  <c r="I137" i="54"/>
  <c r="H137" i="54"/>
  <c r="G137" i="54"/>
  <c r="F137" i="54"/>
  <c r="E137" i="54"/>
  <c r="D137" i="54"/>
  <c r="C137" i="54"/>
  <c r="B137" i="54"/>
  <c r="A137" i="54"/>
  <c r="U136" i="54"/>
  <c r="O136" i="54"/>
  <c r="N136" i="54"/>
  <c r="M136" i="54"/>
  <c r="L136" i="54"/>
  <c r="K136" i="54"/>
  <c r="J136" i="54"/>
  <c r="I136" i="54"/>
  <c r="H136" i="54"/>
  <c r="G136" i="54"/>
  <c r="F136" i="54"/>
  <c r="E136" i="54"/>
  <c r="D136" i="54"/>
  <c r="C136" i="54"/>
  <c r="B136" i="54"/>
  <c r="A136" i="54"/>
  <c r="O131" i="54"/>
  <c r="N131" i="54"/>
  <c r="N211" i="54" s="1"/>
  <c r="M131" i="54"/>
  <c r="M211" i="54" s="1"/>
  <c r="L131" i="54"/>
  <c r="L211" i="54" s="1"/>
  <c r="K131" i="54"/>
  <c r="J131" i="54"/>
  <c r="I131" i="54"/>
  <c r="I211" i="54" s="1"/>
  <c r="H131" i="54"/>
  <c r="H211" i="54" s="1"/>
  <c r="G131" i="54"/>
  <c r="G211" i="54" s="1"/>
  <c r="F131" i="54"/>
  <c r="F211" i="54" s="1"/>
  <c r="E131" i="54"/>
  <c r="E211" i="54" s="1"/>
  <c r="D131" i="54"/>
  <c r="D211" i="54" s="1"/>
  <c r="C131" i="54"/>
  <c r="B131" i="54"/>
  <c r="A131" i="54"/>
  <c r="O130" i="54"/>
  <c r="N130" i="54"/>
  <c r="M130" i="54"/>
  <c r="M210" i="54" s="1"/>
  <c r="L130" i="54"/>
  <c r="L210" i="54" s="1"/>
  <c r="K130" i="54"/>
  <c r="K210" i="54" s="1"/>
  <c r="J130" i="54"/>
  <c r="I130" i="54"/>
  <c r="I210" i="54" s="1"/>
  <c r="H130" i="54"/>
  <c r="H210" i="54" s="1"/>
  <c r="G130" i="54"/>
  <c r="G210" i="54" s="1"/>
  <c r="F130" i="54"/>
  <c r="F210" i="54" s="1"/>
  <c r="E130" i="54"/>
  <c r="E210" i="54" s="1"/>
  <c r="D130" i="54"/>
  <c r="C130" i="54"/>
  <c r="C210" i="54" s="1"/>
  <c r="B130" i="54"/>
  <c r="A130" i="54"/>
  <c r="P129" i="54"/>
  <c r="AB209" i="54" s="1"/>
  <c r="O129" i="54"/>
  <c r="N129" i="54"/>
  <c r="N209" i="54" s="1"/>
  <c r="M129" i="54"/>
  <c r="M209" i="54" s="1"/>
  <c r="L129" i="54"/>
  <c r="L209" i="54" s="1"/>
  <c r="K129" i="54"/>
  <c r="K209" i="54" s="1"/>
  <c r="J129" i="54"/>
  <c r="I129" i="54"/>
  <c r="I209" i="54" s="1"/>
  <c r="H129" i="54"/>
  <c r="H209" i="54" s="1"/>
  <c r="G129" i="54"/>
  <c r="G209" i="54" s="1"/>
  <c r="F129" i="54"/>
  <c r="F209" i="54" s="1"/>
  <c r="E129" i="54"/>
  <c r="E209" i="54" s="1"/>
  <c r="D129" i="54"/>
  <c r="D209" i="54" s="1"/>
  <c r="C129" i="54"/>
  <c r="C209" i="54" s="1"/>
  <c r="B129" i="54"/>
  <c r="A129" i="54"/>
  <c r="O128" i="54"/>
  <c r="N128" i="54"/>
  <c r="N207" i="54" s="1"/>
  <c r="M128" i="54"/>
  <c r="M207" i="54" s="1"/>
  <c r="L128" i="54"/>
  <c r="L207" i="54" s="1"/>
  <c r="K128" i="54"/>
  <c r="K207" i="54" s="1"/>
  <c r="J128" i="54"/>
  <c r="J207" i="54" s="1"/>
  <c r="I128" i="54"/>
  <c r="H128" i="54"/>
  <c r="H207" i="54" s="1"/>
  <c r="G128" i="54"/>
  <c r="F128" i="54"/>
  <c r="F207" i="54" s="1"/>
  <c r="E128" i="54"/>
  <c r="E207" i="54" s="1"/>
  <c r="D128" i="54"/>
  <c r="D207" i="54" s="1"/>
  <c r="C128" i="54"/>
  <c r="B128" i="54"/>
  <c r="A128" i="54"/>
  <c r="O127" i="54"/>
  <c r="N127" i="54"/>
  <c r="N208" i="54" s="1"/>
  <c r="M127" i="54"/>
  <c r="M208" i="54" s="1"/>
  <c r="L127" i="54"/>
  <c r="L208" i="54" s="1"/>
  <c r="K127" i="54"/>
  <c r="K208" i="54" s="1"/>
  <c r="J127" i="54"/>
  <c r="J208" i="54" s="1"/>
  <c r="I127" i="54"/>
  <c r="I208" i="54" s="1"/>
  <c r="H127" i="54"/>
  <c r="H208" i="54" s="1"/>
  <c r="G127" i="54"/>
  <c r="G208" i="54" s="1"/>
  <c r="F127" i="54"/>
  <c r="F208" i="54" s="1"/>
  <c r="E127" i="54"/>
  <c r="E208" i="54" s="1"/>
  <c r="D127" i="54"/>
  <c r="D208" i="54" s="1"/>
  <c r="C127" i="54"/>
  <c r="B127" i="54"/>
  <c r="A127" i="54"/>
  <c r="O126" i="54"/>
  <c r="N126" i="54"/>
  <c r="N206" i="54" s="1"/>
  <c r="M126" i="54"/>
  <c r="M206" i="54" s="1"/>
  <c r="L126" i="54"/>
  <c r="L206" i="54" s="1"/>
  <c r="K126" i="54"/>
  <c r="K206" i="54" s="1"/>
  <c r="J126" i="54"/>
  <c r="J206" i="54" s="1"/>
  <c r="I126" i="54"/>
  <c r="H126" i="54"/>
  <c r="H206" i="54" s="1"/>
  <c r="G126" i="54"/>
  <c r="F126" i="54"/>
  <c r="E126" i="54"/>
  <c r="E206" i="54" s="1"/>
  <c r="D126" i="54"/>
  <c r="D206" i="54" s="1"/>
  <c r="C126" i="54"/>
  <c r="C206" i="54" s="1"/>
  <c r="B126" i="54"/>
  <c r="A126" i="54"/>
  <c r="U125" i="54"/>
  <c r="AN205" i="54" s="1"/>
  <c r="A337" i="54" s="1"/>
  <c r="R125" i="54"/>
  <c r="AP205" i="54" s="1"/>
  <c r="O125" i="54"/>
  <c r="N125" i="54"/>
  <c r="N205" i="54" s="1"/>
  <c r="M125" i="54"/>
  <c r="M205" i="54" s="1"/>
  <c r="L125" i="54"/>
  <c r="L205" i="54" s="1"/>
  <c r="K125" i="54"/>
  <c r="J125" i="54"/>
  <c r="I125" i="54"/>
  <c r="I205" i="54" s="1"/>
  <c r="H125" i="54"/>
  <c r="H205" i="54" s="1"/>
  <c r="G125" i="54"/>
  <c r="G205" i="54" s="1"/>
  <c r="F125" i="54"/>
  <c r="E125" i="54"/>
  <c r="E205" i="54" s="1"/>
  <c r="D125" i="54"/>
  <c r="D205" i="54" s="1"/>
  <c r="C125" i="54"/>
  <c r="C205" i="54" s="1"/>
  <c r="B125" i="54"/>
  <c r="A125" i="54"/>
  <c r="U124" i="54"/>
  <c r="O124" i="54"/>
  <c r="N124" i="54"/>
  <c r="M124" i="54"/>
  <c r="L124" i="54"/>
  <c r="K124" i="54"/>
  <c r="J124" i="54"/>
  <c r="I124" i="54"/>
  <c r="H124" i="54"/>
  <c r="G124" i="54"/>
  <c r="F124" i="54"/>
  <c r="E124" i="54"/>
  <c r="D124" i="54"/>
  <c r="C124" i="54"/>
  <c r="B124" i="54"/>
  <c r="A124" i="54"/>
  <c r="O123" i="54"/>
  <c r="N123" i="54"/>
  <c r="N204" i="54" s="1"/>
  <c r="M123" i="54"/>
  <c r="M204" i="54" s="1"/>
  <c r="L123" i="54"/>
  <c r="L204" i="54" s="1"/>
  <c r="K123" i="54"/>
  <c r="J123" i="54"/>
  <c r="I123" i="54"/>
  <c r="I204" i="54" s="1"/>
  <c r="H123" i="54"/>
  <c r="H204" i="54" s="1"/>
  <c r="G123" i="54"/>
  <c r="G204" i="54" s="1"/>
  <c r="F123" i="54"/>
  <c r="F204" i="54" s="1"/>
  <c r="E123" i="54"/>
  <c r="E204" i="54" s="1"/>
  <c r="D123" i="54"/>
  <c r="D204" i="54" s="1"/>
  <c r="C123" i="54"/>
  <c r="B123" i="54"/>
  <c r="A123" i="54"/>
  <c r="O122" i="54"/>
  <c r="N122" i="54"/>
  <c r="N203" i="54" s="1"/>
  <c r="M122" i="54"/>
  <c r="L122" i="54"/>
  <c r="K122" i="54"/>
  <c r="K203" i="54" s="1"/>
  <c r="J122" i="54"/>
  <c r="I122" i="54"/>
  <c r="I203" i="54" s="1"/>
  <c r="H122" i="54"/>
  <c r="G122" i="54"/>
  <c r="F122" i="54"/>
  <c r="E122" i="54"/>
  <c r="E203" i="54" s="1"/>
  <c r="D122" i="54"/>
  <c r="C122" i="54"/>
  <c r="B122" i="54"/>
  <c r="A122" i="54"/>
  <c r="O121" i="54"/>
  <c r="N121" i="54"/>
  <c r="M121" i="54"/>
  <c r="L121" i="54"/>
  <c r="K121" i="54"/>
  <c r="J121" i="54"/>
  <c r="I121" i="54"/>
  <c r="H121" i="54"/>
  <c r="G121" i="54"/>
  <c r="F121" i="54"/>
  <c r="E121" i="54"/>
  <c r="D121" i="54"/>
  <c r="C121" i="54"/>
  <c r="B121" i="54"/>
  <c r="A121" i="54"/>
  <c r="R120" i="54"/>
  <c r="O120" i="54"/>
  <c r="N120" i="54"/>
  <c r="N202" i="54" s="1"/>
  <c r="M120" i="54"/>
  <c r="L120" i="54"/>
  <c r="L202" i="54" s="1"/>
  <c r="K120" i="54"/>
  <c r="J120" i="54"/>
  <c r="I120" i="54"/>
  <c r="I202" i="54" s="1"/>
  <c r="H120" i="54"/>
  <c r="H202" i="54" s="1"/>
  <c r="G120" i="54"/>
  <c r="G202" i="54" s="1"/>
  <c r="F120" i="54"/>
  <c r="F202" i="54" s="1"/>
  <c r="E120" i="54"/>
  <c r="D120" i="54"/>
  <c r="D202" i="54" s="1"/>
  <c r="C120" i="54"/>
  <c r="B120" i="54"/>
  <c r="A120" i="54"/>
  <c r="O119" i="54"/>
  <c r="N119" i="54"/>
  <c r="N201" i="54" s="1"/>
  <c r="M119" i="54"/>
  <c r="M201" i="54" s="1"/>
  <c r="L119" i="54"/>
  <c r="K119" i="54"/>
  <c r="K201" i="54" s="1"/>
  <c r="J119" i="54"/>
  <c r="I119" i="54"/>
  <c r="H119" i="54"/>
  <c r="H201" i="54" s="1"/>
  <c r="G119" i="54"/>
  <c r="F119" i="54"/>
  <c r="F201" i="54" s="1"/>
  <c r="E119" i="54"/>
  <c r="E201" i="54" s="1"/>
  <c r="D119" i="54"/>
  <c r="D201" i="54" s="1"/>
  <c r="C119" i="54"/>
  <c r="B119" i="54"/>
  <c r="A119" i="54"/>
  <c r="R118" i="54"/>
  <c r="AP200" i="54" s="1"/>
  <c r="O118" i="54"/>
  <c r="N118" i="54"/>
  <c r="N200" i="54" s="1"/>
  <c r="M118" i="54"/>
  <c r="M200" i="54" s="1"/>
  <c r="L118" i="54"/>
  <c r="L200" i="54" s="1"/>
  <c r="K118" i="54"/>
  <c r="K200" i="54" s="1"/>
  <c r="J118" i="54"/>
  <c r="J200" i="54" s="1"/>
  <c r="I118" i="54"/>
  <c r="I200" i="54" s="1"/>
  <c r="H118" i="54"/>
  <c r="H200" i="54" s="1"/>
  <c r="G118" i="54"/>
  <c r="G200" i="54" s="1"/>
  <c r="F118" i="54"/>
  <c r="F200" i="54" s="1"/>
  <c r="E118" i="54"/>
  <c r="D118" i="54"/>
  <c r="C118" i="54"/>
  <c r="B118" i="54"/>
  <c r="A118" i="54"/>
  <c r="P117" i="54"/>
  <c r="AB199" i="54" s="1"/>
  <c r="O117" i="54"/>
  <c r="N117" i="54"/>
  <c r="N199" i="54" s="1"/>
  <c r="M117" i="54"/>
  <c r="L117" i="54"/>
  <c r="K117" i="54"/>
  <c r="J117" i="54"/>
  <c r="I117" i="54"/>
  <c r="I199" i="54" s="1"/>
  <c r="H117" i="54"/>
  <c r="H199" i="54" s="1"/>
  <c r="G117" i="54"/>
  <c r="G199" i="54" s="1"/>
  <c r="F117" i="54"/>
  <c r="F199" i="54" s="1"/>
  <c r="E117" i="54"/>
  <c r="E199" i="54" s="1"/>
  <c r="D117" i="54"/>
  <c r="D199" i="54" s="1"/>
  <c r="C117" i="54"/>
  <c r="B117" i="54"/>
  <c r="A117" i="54"/>
  <c r="U116" i="54"/>
  <c r="AN198" i="54" s="1"/>
  <c r="A330" i="54" s="1"/>
  <c r="O116" i="54"/>
  <c r="N116" i="54"/>
  <c r="N198" i="54" s="1"/>
  <c r="M116" i="54"/>
  <c r="M198" i="54" s="1"/>
  <c r="L116" i="54"/>
  <c r="L198" i="54" s="1"/>
  <c r="K116" i="54"/>
  <c r="K198" i="54" s="1"/>
  <c r="J116" i="54"/>
  <c r="J198" i="54" s="1"/>
  <c r="I116" i="54"/>
  <c r="I198" i="54" s="1"/>
  <c r="H116" i="54"/>
  <c r="H198" i="54" s="1"/>
  <c r="G116" i="54"/>
  <c r="G198" i="54" s="1"/>
  <c r="F116" i="54"/>
  <c r="E116" i="54"/>
  <c r="E198" i="54" s="1"/>
  <c r="D116" i="54"/>
  <c r="D198" i="54" s="1"/>
  <c r="C116" i="54"/>
  <c r="B116" i="54"/>
  <c r="A116" i="54"/>
  <c r="O115" i="54"/>
  <c r="N115" i="54"/>
  <c r="N197" i="54" s="1"/>
  <c r="M115" i="54"/>
  <c r="M197" i="54" s="1"/>
  <c r="L115" i="54"/>
  <c r="L197" i="54" s="1"/>
  <c r="K115" i="54"/>
  <c r="K197" i="54" s="1"/>
  <c r="J115" i="54"/>
  <c r="J197" i="54" s="1"/>
  <c r="I115" i="54"/>
  <c r="I197" i="54" s="1"/>
  <c r="H115" i="54"/>
  <c r="H197" i="54" s="1"/>
  <c r="G115" i="54"/>
  <c r="F115" i="54"/>
  <c r="F197" i="54" s="1"/>
  <c r="E115" i="54"/>
  <c r="E197" i="54" s="1"/>
  <c r="D115" i="54"/>
  <c r="C115" i="54"/>
  <c r="C197" i="54" s="1"/>
  <c r="B115" i="54"/>
  <c r="A115" i="54"/>
  <c r="W114" i="54"/>
  <c r="U114" i="54"/>
  <c r="AN196" i="54" s="1"/>
  <c r="A328" i="54" s="1"/>
  <c r="O114" i="54"/>
  <c r="N114" i="54"/>
  <c r="N196" i="54" s="1"/>
  <c r="M114" i="54"/>
  <c r="M196" i="54" s="1"/>
  <c r="L114" i="54"/>
  <c r="L196" i="54" s="1"/>
  <c r="K114" i="54"/>
  <c r="K196" i="54" s="1"/>
  <c r="J114" i="54"/>
  <c r="J196" i="54" s="1"/>
  <c r="I114" i="54"/>
  <c r="I196" i="54" s="1"/>
  <c r="H114" i="54"/>
  <c r="H196" i="54" s="1"/>
  <c r="G114" i="54"/>
  <c r="G196" i="54" s="1"/>
  <c r="F114" i="54"/>
  <c r="F196" i="54" s="1"/>
  <c r="E114" i="54"/>
  <c r="E196" i="54" s="1"/>
  <c r="D114" i="54"/>
  <c r="D196" i="54" s="1"/>
  <c r="C114" i="54"/>
  <c r="B114" i="54"/>
  <c r="A114" i="54"/>
  <c r="U113" i="54"/>
  <c r="AN195" i="54" s="1"/>
  <c r="R113" i="54"/>
  <c r="AP195" i="54" s="1"/>
  <c r="O113" i="54"/>
  <c r="N113" i="54"/>
  <c r="M113" i="54"/>
  <c r="M195" i="54" s="1"/>
  <c r="L113" i="54"/>
  <c r="L195" i="54" s="1"/>
  <c r="K113" i="54"/>
  <c r="K195" i="54" s="1"/>
  <c r="J113" i="54"/>
  <c r="I113" i="54"/>
  <c r="I195" i="54" s="1"/>
  <c r="H113" i="54"/>
  <c r="H195" i="54" s="1"/>
  <c r="G113" i="54"/>
  <c r="G195" i="54" s="1"/>
  <c r="F113" i="54"/>
  <c r="F195" i="54" s="1"/>
  <c r="E113" i="54"/>
  <c r="E195" i="54" s="1"/>
  <c r="D113" i="54"/>
  <c r="C113" i="54"/>
  <c r="B113" i="54"/>
  <c r="A113" i="54"/>
  <c r="O112" i="54"/>
  <c r="N112" i="54"/>
  <c r="M112" i="54"/>
  <c r="M194" i="54" s="1"/>
  <c r="L112" i="54"/>
  <c r="L194" i="54" s="1"/>
  <c r="K112" i="54"/>
  <c r="K194" i="54" s="1"/>
  <c r="J112" i="54"/>
  <c r="J194" i="54" s="1"/>
  <c r="I112" i="54"/>
  <c r="I194" i="54" s="1"/>
  <c r="H112" i="54"/>
  <c r="G112" i="54"/>
  <c r="G194" i="54" s="1"/>
  <c r="F112" i="54"/>
  <c r="F194" i="54" s="1"/>
  <c r="E112" i="54"/>
  <c r="E194" i="54" s="1"/>
  <c r="D112" i="54"/>
  <c r="D194" i="54" s="1"/>
  <c r="C112" i="54"/>
  <c r="B112" i="54"/>
  <c r="A112" i="54"/>
  <c r="F105" i="54"/>
  <c r="H103" i="54"/>
  <c r="F304" i="54" s="1"/>
  <c r="I102" i="54"/>
  <c r="G307" i="54" s="1"/>
  <c r="S176" i="2" s="1"/>
  <c r="K100" i="54"/>
  <c r="M89" i="54"/>
  <c r="M80" i="54"/>
  <c r="I80" i="54"/>
  <c r="H80" i="54"/>
  <c r="M79" i="54"/>
  <c r="I79" i="54"/>
  <c r="H79" i="54"/>
  <c r="M78" i="54"/>
  <c r="K78" i="54"/>
  <c r="L78" i="54" s="1"/>
  <c r="I78" i="54"/>
  <c r="H78" i="54"/>
  <c r="L76" i="54"/>
  <c r="K76" i="54"/>
  <c r="I75" i="54"/>
  <c r="H75" i="54"/>
  <c r="M74" i="54"/>
  <c r="I74" i="54"/>
  <c r="I73" i="54"/>
  <c r="M65" i="54"/>
  <c r="K64" i="54"/>
  <c r="I64" i="54"/>
  <c r="M61" i="54"/>
  <c r="I61" i="54"/>
  <c r="H61" i="54"/>
  <c r="M60" i="54"/>
  <c r="I60" i="54"/>
  <c r="H60" i="54"/>
  <c r="M59" i="54"/>
  <c r="I59" i="54"/>
  <c r="M58" i="54"/>
  <c r="I58" i="54"/>
  <c r="G281" i="54" s="1"/>
  <c r="E58" i="54"/>
  <c r="M56" i="54"/>
  <c r="L56" i="54"/>
  <c r="K56" i="54"/>
  <c r="H56" i="54"/>
  <c r="M54" i="54"/>
  <c r="E54" i="54"/>
  <c r="M52" i="54"/>
  <c r="L52" i="54"/>
  <c r="K52" i="54"/>
  <c r="I52" i="54"/>
  <c r="H52" i="54"/>
  <c r="I51" i="54"/>
  <c r="M50" i="54"/>
  <c r="I50" i="54"/>
  <c r="E50" i="54"/>
  <c r="I48" i="54"/>
  <c r="I47" i="54"/>
  <c r="H47" i="54"/>
  <c r="M46" i="54"/>
  <c r="I46" i="54"/>
  <c r="G286" i="54" s="1"/>
  <c r="M44" i="54"/>
  <c r="H44" i="54"/>
  <c r="E43" i="54"/>
  <c r="M42" i="54"/>
  <c r="M41" i="54"/>
  <c r="K41" i="54"/>
  <c r="M40" i="54"/>
  <c r="K40" i="54"/>
  <c r="I40" i="54"/>
  <c r="BO36" i="54"/>
  <c r="H104" i="54" s="1"/>
  <c r="F308" i="54" s="1"/>
  <c r="BN36" i="54"/>
  <c r="BK36" i="54"/>
  <c r="H100" i="54" s="1"/>
  <c r="F301" i="54" s="1"/>
  <c r="BB36" i="54"/>
  <c r="H91" i="54" s="1"/>
  <c r="F292" i="54" s="1"/>
  <c r="Q161" i="2" s="1"/>
  <c r="AV36" i="54"/>
  <c r="H85" i="54" s="1"/>
  <c r="F285" i="54" s="1"/>
  <c r="AS36" i="54"/>
  <c r="H82" i="54" s="1"/>
  <c r="F280" i="54" s="1"/>
  <c r="AO36" i="54"/>
  <c r="AM36" i="54"/>
  <c r="H76" i="54" s="1"/>
  <c r="AL36" i="54"/>
  <c r="AK36" i="54"/>
  <c r="H74" i="54" s="1"/>
  <c r="AJ36" i="54"/>
  <c r="H73" i="54" s="1"/>
  <c r="AA36" i="54"/>
  <c r="H64" i="54" s="1"/>
  <c r="L64" i="54" s="1"/>
  <c r="Z36" i="54"/>
  <c r="H63" i="54" s="1"/>
  <c r="Y36" i="54"/>
  <c r="V36" i="54"/>
  <c r="H59" i="54" s="1"/>
  <c r="T36" i="54"/>
  <c r="H57" i="54" s="1"/>
  <c r="S36" i="54"/>
  <c r="Q36" i="54"/>
  <c r="O36" i="54"/>
  <c r="N36" i="54"/>
  <c r="M36" i="54"/>
  <c r="H50" i="54" s="1"/>
  <c r="L36" i="54"/>
  <c r="K36" i="54"/>
  <c r="AX36" i="54" s="1"/>
  <c r="H87" i="54" s="1"/>
  <c r="F288" i="54" s="1"/>
  <c r="Q157" i="2" s="1"/>
  <c r="J36" i="54"/>
  <c r="H36" i="54"/>
  <c r="H45" i="54" s="1"/>
  <c r="G36" i="54"/>
  <c r="F36" i="54"/>
  <c r="H43" i="54" s="1"/>
  <c r="E36" i="54"/>
  <c r="H42" i="54" s="1"/>
  <c r="D36" i="54"/>
  <c r="H41" i="54" s="1"/>
  <c r="L41" i="54" s="1"/>
  <c r="C36" i="54"/>
  <c r="B36" i="54"/>
  <c r="BO35" i="54"/>
  <c r="I104" i="54" s="1"/>
  <c r="G308" i="54" s="1"/>
  <c r="S177" i="2" s="1"/>
  <c r="BC35" i="54"/>
  <c r="I92" i="54" s="1"/>
  <c r="G293" i="54" s="1"/>
  <c r="BA35" i="54"/>
  <c r="I90" i="54" s="1"/>
  <c r="G289" i="54" s="1"/>
  <c r="AS35" i="54"/>
  <c r="I82" i="54" s="1"/>
  <c r="G280" i="54" s="1"/>
  <c r="S149" i="2" s="1"/>
  <c r="AO35" i="54"/>
  <c r="BN35" i="54" s="1"/>
  <c r="I103" i="54" s="1"/>
  <c r="G304" i="54" s="1"/>
  <c r="AL35" i="54"/>
  <c r="AK35" i="54"/>
  <c r="BM35" i="54" s="1"/>
  <c r="AJ35" i="54"/>
  <c r="AA35" i="54"/>
  <c r="Z35" i="54"/>
  <c r="I63" i="54" s="1"/>
  <c r="U35" i="54"/>
  <c r="T35" i="54"/>
  <c r="I57" i="54" s="1"/>
  <c r="S35" i="54"/>
  <c r="AV35" i="54" s="1"/>
  <c r="I85" i="54" s="1"/>
  <c r="G285" i="54" s="1"/>
  <c r="S154" i="2" s="1"/>
  <c r="Q35" i="54"/>
  <c r="O35" i="54"/>
  <c r="N35" i="54"/>
  <c r="M35" i="54"/>
  <c r="L35" i="54"/>
  <c r="K35" i="54"/>
  <c r="J35" i="54"/>
  <c r="I35" i="54"/>
  <c r="H35" i="54"/>
  <c r="AR35" i="54" s="1"/>
  <c r="I81" i="54" s="1"/>
  <c r="G279" i="54" s="1"/>
  <c r="S148" i="2" s="1"/>
  <c r="G35" i="54"/>
  <c r="C237" i="54" s="1"/>
  <c r="F35" i="54"/>
  <c r="BJ35" i="54" s="1"/>
  <c r="I99" i="54" s="1"/>
  <c r="G302" i="54" s="1"/>
  <c r="E35" i="54"/>
  <c r="D35" i="54"/>
  <c r="I41" i="54" s="1"/>
  <c r="C35" i="54"/>
  <c r="BH35" i="54" s="1"/>
  <c r="I97" i="54" s="1"/>
  <c r="G299" i="54" s="1"/>
  <c r="B35" i="54"/>
  <c r="BL34" i="54"/>
  <c r="M101" i="54" s="1"/>
  <c r="BK34" i="54"/>
  <c r="M100" i="54" s="1"/>
  <c r="BJ34" i="54"/>
  <c r="M99" i="54" s="1"/>
  <c r="BI34" i="54"/>
  <c r="M98" i="54" s="1"/>
  <c r="BH34" i="54"/>
  <c r="M97" i="54" s="1"/>
  <c r="BA34" i="54"/>
  <c r="M90" i="54" s="1"/>
  <c r="AS34" i="54"/>
  <c r="M82" i="54" s="1"/>
  <c r="AR34" i="54"/>
  <c r="M81" i="54" s="1"/>
  <c r="AO34" i="54"/>
  <c r="AL34" i="54"/>
  <c r="M75" i="54" s="1"/>
  <c r="AK34" i="54"/>
  <c r="AJ34" i="54"/>
  <c r="BP34" i="54" s="1"/>
  <c r="Y34" i="54"/>
  <c r="M62" i="54" s="1"/>
  <c r="T34" i="54"/>
  <c r="M57" i="54" s="1"/>
  <c r="S34" i="54"/>
  <c r="AV34" i="54" s="1"/>
  <c r="M85" i="54" s="1"/>
  <c r="Q34" i="54"/>
  <c r="O34" i="54"/>
  <c r="N34" i="54"/>
  <c r="M34" i="54"/>
  <c r="AZ34" i="54" s="1"/>
  <c r="L34" i="54"/>
  <c r="K34" i="54"/>
  <c r="J34" i="54"/>
  <c r="I34" i="54"/>
  <c r="H34" i="54"/>
  <c r="AT34" i="54" s="1"/>
  <c r="M83" i="54" s="1"/>
  <c r="G34" i="54"/>
  <c r="B237" i="54" s="1"/>
  <c r="F34" i="54"/>
  <c r="M43" i="54" s="1"/>
  <c r="E34" i="54"/>
  <c r="D34" i="54"/>
  <c r="C34" i="54"/>
  <c r="B34" i="54"/>
  <c r="CS32" i="54"/>
  <c r="CR32" i="54"/>
  <c r="CP32" i="54"/>
  <c r="CM32" i="54"/>
  <c r="CB32" i="54"/>
  <c r="BW32" i="54"/>
  <c r="BV32" i="54"/>
  <c r="BO32" i="54"/>
  <c r="BJ32" i="54"/>
  <c r="BB32" i="54"/>
  <c r="AZ32" i="54"/>
  <c r="AY32" i="54"/>
  <c r="AX32" i="54"/>
  <c r="AV32" i="54"/>
  <c r="AP32" i="54"/>
  <c r="AO32" i="54"/>
  <c r="BN32" i="54" s="1"/>
  <c r="AM32" i="54"/>
  <c r="F395" i="54" s="1"/>
  <c r="AL32" i="54"/>
  <c r="G395" i="54" s="1"/>
  <c r="AK32" i="54"/>
  <c r="AJ32" i="54"/>
  <c r="AA32" i="54"/>
  <c r="Z32" i="54"/>
  <c r="W32" i="54"/>
  <c r="V32" i="54"/>
  <c r="T32" i="54"/>
  <c r="S32" i="54"/>
  <c r="Q32" i="54"/>
  <c r="CA32" i="54" s="1"/>
  <c r="O32" i="54"/>
  <c r="N32" i="54"/>
  <c r="M32" i="54"/>
  <c r="L32" i="54"/>
  <c r="K32" i="54"/>
  <c r="E395" i="54" s="1"/>
  <c r="J32" i="54"/>
  <c r="D395" i="54" s="1"/>
  <c r="H32" i="54"/>
  <c r="G32" i="54"/>
  <c r="CO32" i="54" s="1"/>
  <c r="F32" i="54"/>
  <c r="E32" i="54"/>
  <c r="BK32" i="54" s="1"/>
  <c r="D32" i="54"/>
  <c r="C32" i="54"/>
  <c r="CS31" i="54"/>
  <c r="CR31" i="54"/>
  <c r="CO31" i="54"/>
  <c r="CD31" i="54"/>
  <c r="BY31" i="54"/>
  <c r="BV31" i="54"/>
  <c r="BU31" i="54"/>
  <c r="BB31" i="54"/>
  <c r="BA31" i="54"/>
  <c r="AW31" i="54"/>
  <c r="AV31" i="54"/>
  <c r="AP31" i="54"/>
  <c r="AO31" i="54"/>
  <c r="BN31" i="54" s="1"/>
  <c r="AN31" i="54"/>
  <c r="CE31" i="54" s="1"/>
  <c r="AM31" i="54"/>
  <c r="F394" i="54" s="1"/>
  <c r="AL31" i="54"/>
  <c r="G394" i="54" s="1"/>
  <c r="AK31" i="54"/>
  <c r="AJ31" i="54"/>
  <c r="BM31" i="54" s="1"/>
  <c r="AA31" i="54"/>
  <c r="Z31" i="54"/>
  <c r="CM31" i="54" s="1"/>
  <c r="W31" i="54"/>
  <c r="V31" i="54"/>
  <c r="C394" i="54" s="1"/>
  <c r="U31" i="54"/>
  <c r="T31" i="54"/>
  <c r="S31" i="54"/>
  <c r="Q31" i="54"/>
  <c r="CA31" i="54" s="1"/>
  <c r="O31" i="54"/>
  <c r="N31" i="54"/>
  <c r="B394" i="54" s="1"/>
  <c r="M31" i="54"/>
  <c r="AZ31" i="54" s="1"/>
  <c r="L31" i="54"/>
  <c r="K31" i="54"/>
  <c r="BW31" i="54" s="1"/>
  <c r="J31" i="54"/>
  <c r="D394" i="54" s="1"/>
  <c r="I31" i="54"/>
  <c r="BX31" i="54" s="1"/>
  <c r="H31" i="54"/>
  <c r="BO31" i="54" s="1"/>
  <c r="G31" i="54"/>
  <c r="F31" i="54"/>
  <c r="E31" i="54"/>
  <c r="BK31" i="54" s="1"/>
  <c r="D31" i="54"/>
  <c r="C31" i="54"/>
  <c r="CS30" i="54"/>
  <c r="CR30" i="54"/>
  <c r="CP30" i="54"/>
  <c r="CM30" i="54"/>
  <c r="CC30" i="54"/>
  <c r="CB30" i="54"/>
  <c r="CA30" i="54"/>
  <c r="BX30" i="54"/>
  <c r="BT30" i="54"/>
  <c r="BD30" i="54"/>
  <c r="BA30" i="54"/>
  <c r="AZ30" i="54"/>
  <c r="AX30" i="54"/>
  <c r="AP30" i="54"/>
  <c r="AO30" i="54"/>
  <c r="BN30" i="54" s="1"/>
  <c r="AM30" i="54"/>
  <c r="F393" i="54" s="1"/>
  <c r="AL30" i="54"/>
  <c r="G393" i="54" s="1"/>
  <c r="AK30" i="54"/>
  <c r="AJ30" i="54"/>
  <c r="BM30" i="54" s="1"/>
  <c r="AA30" i="54"/>
  <c r="Z30" i="54"/>
  <c r="X30" i="54"/>
  <c r="W30" i="54"/>
  <c r="T30" i="54"/>
  <c r="S30" i="54"/>
  <c r="AV30" i="54" s="1"/>
  <c r="R30" i="54"/>
  <c r="Q30" i="54"/>
  <c r="AS30" i="54" s="1"/>
  <c r="P30" i="54"/>
  <c r="BZ30" i="54" s="1"/>
  <c r="O30" i="54"/>
  <c r="N30" i="54"/>
  <c r="B393" i="54" s="1"/>
  <c r="M30" i="54"/>
  <c r="L30" i="54"/>
  <c r="AY30" i="54" s="1"/>
  <c r="K30" i="54"/>
  <c r="E393" i="54" s="1"/>
  <c r="J30" i="54"/>
  <c r="I30" i="54"/>
  <c r="H30" i="54"/>
  <c r="G30" i="54"/>
  <c r="CO30" i="54" s="1"/>
  <c r="F30" i="54"/>
  <c r="BJ30" i="54" s="1"/>
  <c r="E30" i="54"/>
  <c r="BK30" i="54" s="1"/>
  <c r="D30" i="54"/>
  <c r="C30" i="54"/>
  <c r="CS29" i="54"/>
  <c r="CR29" i="54"/>
  <c r="CK29" i="54"/>
  <c r="CI29" i="54"/>
  <c r="CA29" i="54"/>
  <c r="BV29" i="54"/>
  <c r="BT29" i="54"/>
  <c r="BL29" i="54"/>
  <c r="AW29" i="54"/>
  <c r="AT29" i="54"/>
  <c r="AS29" i="54"/>
  <c r="AR29" i="54"/>
  <c r="AP29" i="54"/>
  <c r="AO29" i="54"/>
  <c r="AM29" i="54"/>
  <c r="F392" i="54" s="1"/>
  <c r="AL29" i="54"/>
  <c r="AK29" i="54"/>
  <c r="AJ29" i="54"/>
  <c r="BM29" i="54" s="1"/>
  <c r="AB29" i="54"/>
  <c r="AA29" i="54"/>
  <c r="Z29" i="54"/>
  <c r="CM29" i="54" s="1"/>
  <c r="W29" i="54"/>
  <c r="T29" i="54"/>
  <c r="S29" i="54"/>
  <c r="AV29" i="54" s="1"/>
  <c r="Q29" i="54"/>
  <c r="P29" i="54"/>
  <c r="BZ29" i="54" s="1"/>
  <c r="O29" i="54"/>
  <c r="N29" i="54"/>
  <c r="B392" i="54" s="1"/>
  <c r="M29" i="54"/>
  <c r="AZ29" i="54" s="1"/>
  <c r="L29" i="54"/>
  <c r="CB29" i="54" s="1"/>
  <c r="K29" i="54"/>
  <c r="J29" i="54"/>
  <c r="D392" i="54" s="1"/>
  <c r="H29" i="54"/>
  <c r="BO29" i="54" s="1"/>
  <c r="G29" i="54"/>
  <c r="CO29" i="54" s="1"/>
  <c r="F29" i="54"/>
  <c r="E29" i="54"/>
  <c r="BK29" i="54" s="1"/>
  <c r="D29" i="54"/>
  <c r="CD29" i="54" s="1"/>
  <c r="C29" i="54"/>
  <c r="BI29" i="54" s="1"/>
  <c r="CS28" i="54"/>
  <c r="CR28" i="54"/>
  <c r="CL28" i="54"/>
  <c r="CD28" i="54"/>
  <c r="CC28" i="54"/>
  <c r="CA28" i="54"/>
  <c r="BQ28" i="54"/>
  <c r="BP28" i="54"/>
  <c r="BM28" i="54"/>
  <c r="K102" i="54" s="1"/>
  <c r="BI28" i="54"/>
  <c r="K98" i="54" s="1"/>
  <c r="AX28" i="54"/>
  <c r="K87" i="54" s="1"/>
  <c r="E288" i="54" s="1"/>
  <c r="AP28" i="54"/>
  <c r="K79" i="54" s="1"/>
  <c r="L79" i="54" s="1"/>
  <c r="AO28" i="54"/>
  <c r="AM28" i="54"/>
  <c r="F391" i="54" s="1"/>
  <c r="AL28" i="54"/>
  <c r="AK28" i="54"/>
  <c r="AJ28" i="54"/>
  <c r="AA28" i="54"/>
  <c r="Z28" i="54"/>
  <c r="CM28" i="54" s="1"/>
  <c r="Y28" i="54"/>
  <c r="W28" i="54"/>
  <c r="K60" i="54" s="1"/>
  <c r="L60" i="54" s="1"/>
  <c r="V28" i="54"/>
  <c r="U28" i="54"/>
  <c r="BY28" i="54" s="1"/>
  <c r="T28" i="54"/>
  <c r="K57" i="54" s="1"/>
  <c r="L57" i="54" s="1"/>
  <c r="S28" i="54"/>
  <c r="R28" i="54"/>
  <c r="Q28" i="54"/>
  <c r="O28" i="54"/>
  <c r="N28" i="54"/>
  <c r="M28" i="54"/>
  <c r="L28" i="54"/>
  <c r="K28" i="54"/>
  <c r="J28" i="54"/>
  <c r="H28" i="54"/>
  <c r="BK28" i="54" s="1"/>
  <c r="G28" i="54"/>
  <c r="F28" i="54"/>
  <c r="BJ28" i="54" s="1"/>
  <c r="E28" i="54"/>
  <c r="D28" i="54"/>
  <c r="C28" i="54"/>
  <c r="CS27" i="54"/>
  <c r="CR27" i="54"/>
  <c r="CQ27" i="54"/>
  <c r="CO27" i="54"/>
  <c r="CM27" i="54"/>
  <c r="CL27" i="54"/>
  <c r="CB27" i="54"/>
  <c r="BX27" i="54"/>
  <c r="BW27" i="54"/>
  <c r="BV27" i="54"/>
  <c r="BA27" i="54"/>
  <c r="AY27" i="54"/>
  <c r="AX27" i="54"/>
  <c r="AW27" i="54"/>
  <c r="AV27" i="54"/>
  <c r="AR27" i="54"/>
  <c r="CI27" i="54" s="1"/>
  <c r="AP27" i="54"/>
  <c r="AO27" i="54"/>
  <c r="AM27" i="54"/>
  <c r="F390" i="54" s="1"/>
  <c r="AL27" i="54"/>
  <c r="AK27" i="54"/>
  <c r="AJ27" i="54"/>
  <c r="BM27" i="54" s="1"/>
  <c r="AA27" i="54"/>
  <c r="Z27" i="54"/>
  <c r="Y27" i="54"/>
  <c r="BR27" i="54" s="1"/>
  <c r="W27" i="54"/>
  <c r="T27" i="54"/>
  <c r="S27" i="54"/>
  <c r="Q27" i="54"/>
  <c r="G54" i="54" s="1"/>
  <c r="P27" i="54"/>
  <c r="BZ27" i="54" s="1"/>
  <c r="O27" i="54"/>
  <c r="N27" i="54"/>
  <c r="M27" i="54"/>
  <c r="AZ27" i="54" s="1"/>
  <c r="L27" i="54"/>
  <c r="K27" i="54"/>
  <c r="E390" i="54" s="1"/>
  <c r="J27" i="54"/>
  <c r="D390" i="54" s="1"/>
  <c r="H27" i="54"/>
  <c r="BO27" i="54" s="1"/>
  <c r="G27" i="54"/>
  <c r="F27" i="54"/>
  <c r="BJ27" i="54" s="1"/>
  <c r="E27" i="54"/>
  <c r="BK27" i="54" s="1"/>
  <c r="D27" i="54"/>
  <c r="CD27" i="54" s="1"/>
  <c r="C27" i="54"/>
  <c r="BH27" i="54" s="1"/>
  <c r="CS26" i="54"/>
  <c r="CR26" i="54"/>
  <c r="CO26" i="54"/>
  <c r="CC26" i="54"/>
  <c r="CB26" i="54"/>
  <c r="BV26" i="54"/>
  <c r="BU26" i="54"/>
  <c r="BT26" i="54"/>
  <c r="BQ26" i="54"/>
  <c r="CJ26" i="54" s="1"/>
  <c r="BP26" i="54"/>
  <c r="BH26" i="54"/>
  <c r="BA26" i="54"/>
  <c r="AZ26" i="54"/>
  <c r="AP26" i="54"/>
  <c r="AO26" i="54"/>
  <c r="BN26" i="54" s="1"/>
  <c r="AM26" i="54"/>
  <c r="F389" i="54" s="1"/>
  <c r="AL26" i="54"/>
  <c r="G389" i="54" s="1"/>
  <c r="AK26" i="54"/>
  <c r="AJ26" i="54"/>
  <c r="BM26" i="54" s="1"/>
  <c r="AA26" i="54"/>
  <c r="Z26" i="54"/>
  <c r="CM26" i="54" s="1"/>
  <c r="Y26" i="54"/>
  <c r="CL26" i="54" s="1"/>
  <c r="W26" i="54"/>
  <c r="T26" i="54"/>
  <c r="AV26" i="54" s="1"/>
  <c r="S26" i="54"/>
  <c r="Q26" i="54"/>
  <c r="CA26" i="54" s="1"/>
  <c r="O26" i="54"/>
  <c r="N26" i="54"/>
  <c r="AR26" i="54" s="1"/>
  <c r="CI26" i="54" s="1"/>
  <c r="M26" i="54"/>
  <c r="L26" i="54"/>
  <c r="K26" i="54"/>
  <c r="J26" i="54"/>
  <c r="H26" i="54"/>
  <c r="G26" i="54"/>
  <c r="F26" i="54"/>
  <c r="E26" i="54"/>
  <c r="D26" i="54"/>
  <c r="C26" i="54"/>
  <c r="BJ26" i="54" s="1"/>
  <c r="CS25" i="54"/>
  <c r="CR25" i="54"/>
  <c r="CM25" i="54"/>
  <c r="CL25" i="54"/>
  <c r="CC25" i="54"/>
  <c r="CB25" i="54"/>
  <c r="CA25" i="54"/>
  <c r="BT25" i="54"/>
  <c r="BP25" i="54"/>
  <c r="BN25" i="54"/>
  <c r="BM25" i="54"/>
  <c r="BJ25" i="54"/>
  <c r="AP25" i="54"/>
  <c r="AO25" i="54"/>
  <c r="AN25" i="54"/>
  <c r="CE25" i="54" s="1"/>
  <c r="AM25" i="54"/>
  <c r="F388" i="54" s="1"/>
  <c r="AL25" i="54"/>
  <c r="G388" i="54" s="1"/>
  <c r="AK25" i="54"/>
  <c r="AJ25" i="54"/>
  <c r="AB25" i="54"/>
  <c r="CK25" i="54" s="1"/>
  <c r="AA25" i="54"/>
  <c r="Z25" i="54"/>
  <c r="Y25" i="54"/>
  <c r="W25" i="54"/>
  <c r="T25" i="54"/>
  <c r="S25" i="54"/>
  <c r="Q25" i="54"/>
  <c r="O25" i="54"/>
  <c r="N25" i="54"/>
  <c r="M25" i="54"/>
  <c r="L25" i="54"/>
  <c r="K25" i="54"/>
  <c r="J25" i="54"/>
  <c r="D388" i="54" s="1"/>
  <c r="H25" i="54"/>
  <c r="BO25" i="54" s="1"/>
  <c r="G25" i="54"/>
  <c r="CO25" i="54" s="1"/>
  <c r="F25" i="54"/>
  <c r="E25" i="54"/>
  <c r="D25" i="54"/>
  <c r="C25" i="54"/>
  <c r="CS24" i="54"/>
  <c r="CR24" i="54"/>
  <c r="CM24" i="54"/>
  <c r="CA24" i="54"/>
  <c r="BQ24" i="54"/>
  <c r="CJ24" i="54" s="1"/>
  <c r="BM24" i="54"/>
  <c r="BK24" i="54"/>
  <c r="BI24" i="54"/>
  <c r="AV24" i="54"/>
  <c r="AS24" i="54"/>
  <c r="AP24" i="54"/>
  <c r="AO24" i="54"/>
  <c r="BN24" i="54" s="1"/>
  <c r="AL24" i="54"/>
  <c r="G387" i="54" s="1"/>
  <c r="AK24" i="54"/>
  <c r="AJ24" i="54"/>
  <c r="BL24" i="54" s="1"/>
  <c r="AA24" i="54"/>
  <c r="Z24" i="54"/>
  <c r="Y24" i="54"/>
  <c r="CL24" i="54" s="1"/>
  <c r="W24" i="54"/>
  <c r="V24" i="54"/>
  <c r="BU24" i="54" s="1"/>
  <c r="T24" i="54"/>
  <c r="S24" i="54"/>
  <c r="Q24" i="54"/>
  <c r="BP24" i="54" s="1"/>
  <c r="O24" i="54"/>
  <c r="N24" i="54"/>
  <c r="M24" i="54"/>
  <c r="AZ24" i="54" s="1"/>
  <c r="L24" i="54"/>
  <c r="K24" i="54"/>
  <c r="J24" i="54"/>
  <c r="H24" i="54"/>
  <c r="BO24" i="54" s="1"/>
  <c r="G24" i="54"/>
  <c r="CO24" i="54" s="1"/>
  <c r="F24" i="54"/>
  <c r="BJ24" i="54" s="1"/>
  <c r="E24" i="54"/>
  <c r="D24" i="54"/>
  <c r="CD24" i="54" s="1"/>
  <c r="C24" i="54"/>
  <c r="CC24" i="54" s="1"/>
  <c r="CS23" i="54"/>
  <c r="CR23" i="54"/>
  <c r="CP23" i="54"/>
  <c r="CO23" i="54"/>
  <c r="CE23" i="54"/>
  <c r="CD23" i="54"/>
  <c r="CC23" i="54"/>
  <c r="CB23" i="54"/>
  <c r="CA23" i="54"/>
  <c r="BO23" i="54"/>
  <c r="BN23" i="54"/>
  <c r="BI23" i="54"/>
  <c r="BH23" i="54"/>
  <c r="AY23" i="54"/>
  <c r="AX23" i="54"/>
  <c r="AW23" i="54"/>
  <c r="AR23" i="54"/>
  <c r="CI23" i="54" s="1"/>
  <c r="AP23" i="54"/>
  <c r="AO23" i="54"/>
  <c r="AN23" i="54"/>
  <c r="AM23" i="54"/>
  <c r="F386" i="54" s="1"/>
  <c r="AL23" i="54"/>
  <c r="G386" i="54" s="1"/>
  <c r="AK23" i="54"/>
  <c r="AJ23" i="54"/>
  <c r="BM23" i="54" s="1"/>
  <c r="AA23" i="54"/>
  <c r="Z23" i="54"/>
  <c r="CM23" i="54" s="1"/>
  <c r="Y23" i="54"/>
  <c r="W23" i="54"/>
  <c r="T23" i="54"/>
  <c r="S23" i="54"/>
  <c r="R23" i="54"/>
  <c r="Q23" i="54"/>
  <c r="AS23" i="54" s="1"/>
  <c r="O23" i="54"/>
  <c r="N23" i="54"/>
  <c r="B386" i="54" s="1"/>
  <c r="M23" i="54"/>
  <c r="AZ23" i="54" s="1"/>
  <c r="L23" i="54"/>
  <c r="K23" i="54"/>
  <c r="J23" i="54"/>
  <c r="I23" i="54"/>
  <c r="BX23" i="54" s="1"/>
  <c r="H23" i="54"/>
  <c r="G23" i="54"/>
  <c r="G44" i="54" s="1"/>
  <c r="F23" i="54"/>
  <c r="BJ23" i="54" s="1"/>
  <c r="E23" i="54"/>
  <c r="BK23" i="54" s="1"/>
  <c r="D23" i="54"/>
  <c r="C23" i="54"/>
  <c r="CS22" i="54"/>
  <c r="CR22" i="54"/>
  <c r="CP22" i="54"/>
  <c r="CO22" i="54"/>
  <c r="CM22" i="54"/>
  <c r="CB22" i="54"/>
  <c r="BW22" i="54"/>
  <c r="BV22" i="54"/>
  <c r="BU22" i="54"/>
  <c r="BT22" i="54"/>
  <c r="BO22" i="54"/>
  <c r="BD22" i="54"/>
  <c r="BA22" i="54"/>
  <c r="AV22" i="54"/>
  <c r="AP22" i="54"/>
  <c r="AO22" i="54"/>
  <c r="AM22" i="54"/>
  <c r="F385" i="54" s="1"/>
  <c r="AL22" i="54"/>
  <c r="G385" i="54" s="1"/>
  <c r="AK22" i="54"/>
  <c r="G74" i="54" s="1"/>
  <c r="AJ22" i="54"/>
  <c r="AA22" i="54"/>
  <c r="Z22" i="54"/>
  <c r="X22" i="54"/>
  <c r="W22" i="54"/>
  <c r="T22" i="54"/>
  <c r="S22" i="54"/>
  <c r="R22" i="54"/>
  <c r="Q22" i="54"/>
  <c r="P22" i="54"/>
  <c r="BZ22" i="54" s="1"/>
  <c r="O22" i="54"/>
  <c r="G52" i="54" s="1"/>
  <c r="N22" i="54"/>
  <c r="M22" i="54"/>
  <c r="AZ22" i="54" s="1"/>
  <c r="L22" i="54"/>
  <c r="K22" i="54"/>
  <c r="E385" i="54" s="1"/>
  <c r="J22" i="54"/>
  <c r="D385" i="54" s="1"/>
  <c r="H22" i="54"/>
  <c r="AX22" i="54" s="1"/>
  <c r="G22" i="54"/>
  <c r="F22" i="54"/>
  <c r="E22" i="54"/>
  <c r="D22" i="54"/>
  <c r="CD22" i="54" s="1"/>
  <c r="C22" i="54"/>
  <c r="G40" i="54" s="1"/>
  <c r="CU21" i="54"/>
  <c r="CS21" i="54"/>
  <c r="CR21" i="54"/>
  <c r="CO21" i="54"/>
  <c r="CM21" i="54"/>
  <c r="CD21" i="54"/>
  <c r="CC21" i="54"/>
  <c r="CB21" i="54"/>
  <c r="BV21" i="54"/>
  <c r="BR21" i="54"/>
  <c r="BP21" i="54"/>
  <c r="BK21" i="54"/>
  <c r="BI21" i="54"/>
  <c r="BD21" i="54"/>
  <c r="BA21" i="54"/>
  <c r="AV21" i="54"/>
  <c r="AP21" i="54"/>
  <c r="AO21" i="54"/>
  <c r="AM21" i="54"/>
  <c r="AL21" i="54"/>
  <c r="G384" i="54" s="1"/>
  <c r="AK21" i="54"/>
  <c r="AJ21" i="54"/>
  <c r="BM21" i="54" s="1"/>
  <c r="AA21" i="54"/>
  <c r="Z21" i="54"/>
  <c r="Y21" i="54"/>
  <c r="CL21" i="54" s="1"/>
  <c r="X21" i="54"/>
  <c r="W21" i="54"/>
  <c r="T21" i="54"/>
  <c r="S21" i="54"/>
  <c r="Q21" i="54"/>
  <c r="CA21" i="54" s="1"/>
  <c r="P21" i="54"/>
  <c r="O21" i="54"/>
  <c r="N21" i="54"/>
  <c r="M21" i="54"/>
  <c r="AZ21" i="54" s="1"/>
  <c r="L21" i="54"/>
  <c r="K21" i="54"/>
  <c r="J21" i="54"/>
  <c r="I21" i="54"/>
  <c r="BX21" i="54" s="1"/>
  <c r="H21" i="54"/>
  <c r="G21" i="54"/>
  <c r="F21" i="54"/>
  <c r="E21" i="54"/>
  <c r="D21" i="54"/>
  <c r="C21" i="54"/>
  <c r="BJ21" i="54" s="1"/>
  <c r="CU20" i="54"/>
  <c r="CU19" i="54"/>
  <c r="CU18" i="54"/>
  <c r="CU17" i="54"/>
  <c r="CU16" i="54"/>
  <c r="CU15" i="54"/>
  <c r="B15" i="54"/>
  <c r="CU14" i="54"/>
  <c r="CU13" i="54"/>
  <c r="B13" i="54"/>
  <c r="CU12" i="54"/>
  <c r="CU11" i="54"/>
  <c r="CU10" i="54"/>
  <c r="CU9" i="54"/>
  <c r="B9" i="54"/>
  <c r="CU8" i="54"/>
  <c r="B8" i="54"/>
  <c r="CP27" i="54" s="1"/>
  <c r="CU7" i="54"/>
  <c r="B7" i="54"/>
  <c r="CU6" i="54"/>
  <c r="CU5" i="54"/>
  <c r="B5" i="54"/>
  <c r="CU4" i="54"/>
  <c r="B4" i="54"/>
  <c r="C224" i="54" s="1"/>
  <c r="E224" i="54" s="1"/>
  <c r="B3" i="54"/>
  <c r="Q137" i="54" s="1"/>
  <c r="E27" i="53"/>
  <c r="E26" i="53"/>
  <c r="F25" i="53"/>
  <c r="E24" i="53"/>
  <c r="D22" i="53"/>
  <c r="C22" i="53"/>
  <c r="D21" i="53"/>
  <c r="C21" i="53"/>
  <c r="D20" i="53"/>
  <c r="C20" i="53"/>
  <c r="C19" i="53"/>
  <c r="D18" i="53"/>
  <c r="C18" i="53"/>
  <c r="D17" i="53"/>
  <c r="C17" i="53"/>
  <c r="D16" i="53"/>
  <c r="C16" i="53"/>
  <c r="D15" i="53"/>
  <c r="C15" i="53"/>
  <c r="D14" i="53"/>
  <c r="C14" i="53"/>
  <c r="D13" i="53"/>
  <c r="C13" i="53"/>
  <c r="D12" i="53"/>
  <c r="C12" i="53"/>
  <c r="D11" i="53"/>
  <c r="C11" i="53"/>
  <c r="D10" i="53"/>
  <c r="C10" i="53"/>
  <c r="D9" i="53"/>
  <c r="C9" i="53"/>
  <c r="D8" i="53"/>
  <c r="C8" i="53"/>
  <c r="D7" i="53"/>
  <c r="C7" i="53"/>
  <c r="D6" i="53"/>
  <c r="C6" i="53"/>
  <c r="D5" i="53"/>
  <c r="C5" i="53"/>
  <c r="Q15" i="29"/>
  <c r="I15" i="29"/>
  <c r="C15" i="29"/>
  <c r="Q14" i="29"/>
  <c r="O14" i="29"/>
  <c r="N14" i="29"/>
  <c r="K14" i="29"/>
  <c r="H14" i="29"/>
  <c r="G14" i="29"/>
  <c r="F14" i="29"/>
  <c r="E14" i="29"/>
  <c r="D14" i="29"/>
  <c r="C14" i="29"/>
  <c r="B14" i="29"/>
  <c r="Q13" i="29"/>
  <c r="N13" i="29"/>
  <c r="K13" i="29"/>
  <c r="J13" i="29"/>
  <c r="H13" i="29"/>
  <c r="G13" i="29"/>
  <c r="F13" i="29"/>
  <c r="E13" i="29"/>
  <c r="D13" i="29"/>
  <c r="C13" i="29"/>
  <c r="B13" i="29"/>
  <c r="Q12" i="29"/>
  <c r="N12" i="29"/>
  <c r="L12" i="29"/>
  <c r="K12" i="29"/>
  <c r="H12" i="29"/>
  <c r="G12" i="29"/>
  <c r="F12" i="29"/>
  <c r="E12" i="29"/>
  <c r="D12" i="29"/>
  <c r="C12" i="29"/>
  <c r="B12" i="29"/>
  <c r="Q11" i="29"/>
  <c r="N11" i="29"/>
  <c r="K11" i="29"/>
  <c r="J11" i="29"/>
  <c r="I11" i="29"/>
  <c r="H11" i="29"/>
  <c r="G11" i="29"/>
  <c r="F11" i="29"/>
  <c r="D11" i="29"/>
  <c r="C11" i="29"/>
  <c r="B11" i="29"/>
  <c r="Q10" i="29"/>
  <c r="O10" i="29"/>
  <c r="N10" i="29"/>
  <c r="M10" i="29"/>
  <c r="K10" i="29"/>
  <c r="H10" i="29"/>
  <c r="G10" i="29"/>
  <c r="F10" i="29"/>
  <c r="D10" i="29"/>
  <c r="C10" i="29"/>
  <c r="B10" i="29"/>
  <c r="Q9" i="29"/>
  <c r="N9" i="29"/>
  <c r="M9" i="29"/>
  <c r="K9" i="29"/>
  <c r="J9" i="29"/>
  <c r="I9" i="29"/>
  <c r="H9" i="29"/>
  <c r="G9" i="29"/>
  <c r="F9" i="29"/>
  <c r="E9" i="29"/>
  <c r="D9" i="29"/>
  <c r="C9" i="29"/>
  <c r="B9" i="29"/>
  <c r="Q8" i="29"/>
  <c r="N8" i="29"/>
  <c r="M8" i="29"/>
  <c r="L8" i="29"/>
  <c r="K8" i="29"/>
  <c r="H8" i="29"/>
  <c r="G8" i="29"/>
  <c r="F8" i="29"/>
  <c r="D8" i="29"/>
  <c r="D16" i="29" s="1"/>
  <c r="C8" i="29"/>
  <c r="B8" i="29"/>
  <c r="Q7" i="29"/>
  <c r="N7" i="29"/>
  <c r="M7" i="29"/>
  <c r="K7" i="29"/>
  <c r="K15" i="29" s="1"/>
  <c r="H7" i="29"/>
  <c r="G7" i="29"/>
  <c r="F7" i="29"/>
  <c r="D7" i="29"/>
  <c r="C7" i="29"/>
  <c r="B7" i="29"/>
  <c r="Q6" i="29"/>
  <c r="N6" i="29"/>
  <c r="M6" i="29"/>
  <c r="K6" i="29"/>
  <c r="H6" i="29"/>
  <c r="G6" i="29"/>
  <c r="G16" i="29" s="1"/>
  <c r="F6" i="29"/>
  <c r="D6" i="29"/>
  <c r="C6" i="29"/>
  <c r="B6" i="29"/>
  <c r="Q5" i="29"/>
  <c r="N5" i="29"/>
  <c r="M5" i="29"/>
  <c r="K5" i="29"/>
  <c r="I5" i="29"/>
  <c r="H5" i="29"/>
  <c r="G5" i="29"/>
  <c r="F5" i="29"/>
  <c r="E5" i="29"/>
  <c r="D5" i="29"/>
  <c r="C5" i="29"/>
  <c r="B5" i="29"/>
  <c r="Q4" i="29"/>
  <c r="O4" i="29"/>
  <c r="N4" i="29"/>
  <c r="L4" i="29"/>
  <c r="K4" i="29"/>
  <c r="H4" i="29"/>
  <c r="G4" i="29"/>
  <c r="F4" i="29"/>
  <c r="D4" i="29"/>
  <c r="C4" i="29"/>
  <c r="B4" i="29"/>
  <c r="Q3" i="29"/>
  <c r="N3" i="29"/>
  <c r="K3" i="29"/>
  <c r="J3" i="29"/>
  <c r="I3" i="29"/>
  <c r="H3" i="29"/>
  <c r="G3" i="29"/>
  <c r="F3" i="29"/>
  <c r="F16" i="29" s="1"/>
  <c r="D3" i="29"/>
  <c r="C3" i="29"/>
  <c r="B3" i="29"/>
  <c r="B15" i="29" s="1"/>
  <c r="M60" i="27"/>
  <c r="L60" i="27"/>
  <c r="K60" i="27"/>
  <c r="J60" i="27"/>
  <c r="I60" i="27"/>
  <c r="H60" i="27"/>
  <c r="G60" i="27"/>
  <c r="F60" i="27"/>
  <c r="L130" i="1" s="1"/>
  <c r="E60" i="27"/>
  <c r="D60" i="27"/>
  <c r="D47" i="26"/>
  <c r="D46" i="26"/>
  <c r="C46" i="26"/>
  <c r="D45" i="26"/>
  <c r="D44" i="26"/>
  <c r="H21" i="26"/>
  <c r="G21" i="26"/>
  <c r="F21" i="26"/>
  <c r="D21" i="26"/>
  <c r="C21" i="26"/>
  <c r="H20" i="26"/>
  <c r="G20" i="26"/>
  <c r="F20" i="26"/>
  <c r="D20" i="26"/>
  <c r="C20" i="26"/>
  <c r="E19" i="26"/>
  <c r="Y32" i="54" s="1"/>
  <c r="E18" i="26"/>
  <c r="E17" i="26"/>
  <c r="Y30" i="54" s="1"/>
  <c r="E16" i="26"/>
  <c r="E9" i="26"/>
  <c r="M4" i="29" s="1"/>
  <c r="E8" i="26"/>
  <c r="M3" i="29" s="1"/>
  <c r="E7" i="26"/>
  <c r="E6" i="26"/>
  <c r="Y35" i="54" s="1"/>
  <c r="H5" i="26"/>
  <c r="AA34" i="54" s="1"/>
  <c r="M64" i="54" s="1"/>
  <c r="G5" i="26"/>
  <c r="Z34" i="54" s="1"/>
  <c r="M63" i="54" s="1"/>
  <c r="E5" i="26"/>
  <c r="G20" i="25"/>
  <c r="F20" i="25"/>
  <c r="C20" i="25"/>
  <c r="E19" i="25"/>
  <c r="AN32" i="54" s="1"/>
  <c r="CE32" i="54" s="1"/>
  <c r="D19" i="25"/>
  <c r="E18" i="25"/>
  <c r="O13" i="29" s="1"/>
  <c r="D18" i="25"/>
  <c r="E17" i="25"/>
  <c r="D17" i="25"/>
  <c r="D16" i="25"/>
  <c r="E16" i="25" s="1"/>
  <c r="E15" i="25"/>
  <c r="AN28" i="54" s="1"/>
  <c r="CE28" i="54" s="1"/>
  <c r="E14" i="25"/>
  <c r="E13" i="25"/>
  <c r="O8" i="29" s="1"/>
  <c r="E12" i="25"/>
  <c r="O7" i="29" s="1"/>
  <c r="D11" i="25"/>
  <c r="E10" i="25"/>
  <c r="O5" i="29" s="1"/>
  <c r="E9" i="25"/>
  <c r="AN22" i="54" s="1"/>
  <c r="CE22" i="54" s="1"/>
  <c r="E8" i="25"/>
  <c r="E7" i="25"/>
  <c r="AN36" i="54" s="1"/>
  <c r="H77" i="54" s="1"/>
  <c r="F303" i="54" s="1"/>
  <c r="Q172" i="2" s="1"/>
  <c r="D6" i="25"/>
  <c r="D5" i="25"/>
  <c r="O4" i="25"/>
  <c r="E108" i="24"/>
  <c r="E107" i="24"/>
  <c r="E94" i="24"/>
  <c r="F65" i="24"/>
  <c r="E65" i="24"/>
  <c r="G65" i="24" s="1"/>
  <c r="F64" i="24"/>
  <c r="E64" i="24"/>
  <c r="G64" i="24" s="1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W49" i="24"/>
  <c r="G49" i="24"/>
  <c r="W48" i="24"/>
  <c r="S21" i="24"/>
  <c r="L21" i="24"/>
  <c r="E21" i="24"/>
  <c r="T20" i="24"/>
  <c r="M20" i="24"/>
  <c r="F20" i="24"/>
  <c r="T19" i="24"/>
  <c r="M19" i="24"/>
  <c r="F19" i="24"/>
  <c r="T18" i="24"/>
  <c r="M18" i="24"/>
  <c r="F18" i="24"/>
  <c r="T17" i="24"/>
  <c r="M17" i="24"/>
  <c r="F17" i="24"/>
  <c r="T16" i="24"/>
  <c r="M16" i="24"/>
  <c r="F16" i="24"/>
  <c r="T15" i="24"/>
  <c r="M15" i="24"/>
  <c r="F15" i="24"/>
  <c r="T14" i="24"/>
  <c r="M14" i="24"/>
  <c r="F14" i="24"/>
  <c r="T13" i="24"/>
  <c r="M13" i="24"/>
  <c r="F13" i="24"/>
  <c r="T12" i="24"/>
  <c r="M12" i="24"/>
  <c r="F12" i="24"/>
  <c r="T11" i="24"/>
  <c r="M11" i="24"/>
  <c r="F11" i="24"/>
  <c r="T10" i="24"/>
  <c r="M10" i="24"/>
  <c r="F10" i="24"/>
  <c r="T9" i="24"/>
  <c r="M9" i="24"/>
  <c r="F9" i="24"/>
  <c r="T8" i="24"/>
  <c r="M8" i="24"/>
  <c r="F8" i="24"/>
  <c r="T7" i="24"/>
  <c r="M7" i="24"/>
  <c r="F7" i="24"/>
  <c r="T6" i="24"/>
  <c r="M6" i="24"/>
  <c r="F6" i="24"/>
  <c r="M20" i="19"/>
  <c r="L20" i="19"/>
  <c r="K20" i="19"/>
  <c r="J20" i="19"/>
  <c r="I20" i="19"/>
  <c r="H20" i="19"/>
  <c r="G20" i="19"/>
  <c r="F20" i="19"/>
  <c r="E20" i="19"/>
  <c r="D20" i="19"/>
  <c r="C20" i="19"/>
  <c r="N19" i="19"/>
  <c r="N18" i="19"/>
  <c r="P13" i="29" s="1"/>
  <c r="T17" i="19"/>
  <c r="N17" i="19"/>
  <c r="T16" i="19"/>
  <c r="N16" i="19"/>
  <c r="P11" i="29" s="1"/>
  <c r="T15" i="19"/>
  <c r="N15" i="19"/>
  <c r="T14" i="19"/>
  <c r="N14" i="19"/>
  <c r="P9" i="29" s="1"/>
  <c r="T13" i="19"/>
  <c r="N13" i="19"/>
  <c r="P8" i="29" s="1"/>
  <c r="T12" i="19"/>
  <c r="N12" i="19"/>
  <c r="P7" i="29" s="1"/>
  <c r="T11" i="19"/>
  <c r="N11" i="19"/>
  <c r="AB24" i="54" s="1"/>
  <c r="AT24" i="54" s="1"/>
  <c r="T10" i="19"/>
  <c r="N10" i="19"/>
  <c r="AB23" i="54" s="1"/>
  <c r="T9" i="19"/>
  <c r="N9" i="19"/>
  <c r="N20" i="19" s="1"/>
  <c r="T8" i="19"/>
  <c r="N8" i="19"/>
  <c r="T7" i="19"/>
  <c r="N7" i="19"/>
  <c r="AB36" i="54" s="1"/>
  <c r="N6" i="19"/>
  <c r="AB35" i="54" s="1"/>
  <c r="I40" i="18"/>
  <c r="F40" i="18"/>
  <c r="E40" i="18"/>
  <c r="N32" i="18"/>
  <c r="N40" i="18" s="1"/>
  <c r="M32" i="18"/>
  <c r="M40" i="18" s="1"/>
  <c r="L32" i="18"/>
  <c r="V30" i="54" s="1"/>
  <c r="BB30" i="54" s="1"/>
  <c r="K32" i="18"/>
  <c r="J32" i="18"/>
  <c r="J40" i="18" s="1"/>
  <c r="I32" i="18"/>
  <c r="V27" i="54" s="1"/>
  <c r="H32" i="18"/>
  <c r="V26" i="54" s="1"/>
  <c r="C389" i="54" s="1"/>
  <c r="G32" i="18"/>
  <c r="V25" i="54" s="1"/>
  <c r="F32" i="18"/>
  <c r="E32" i="18"/>
  <c r="V23" i="54" s="1"/>
  <c r="D32" i="18"/>
  <c r="V22" i="54" s="1"/>
  <c r="C32" i="18"/>
  <c r="V21" i="54" s="1"/>
  <c r="C17" i="18"/>
  <c r="D16" i="18"/>
  <c r="D15" i="18"/>
  <c r="D14" i="18"/>
  <c r="D13" i="18"/>
  <c r="L11" i="29" s="1"/>
  <c r="D12" i="18"/>
  <c r="D11" i="18"/>
  <c r="D10" i="18"/>
  <c r="X26" i="54" s="1"/>
  <c r="BD26" i="54" s="1"/>
  <c r="D9" i="18"/>
  <c r="D8" i="18"/>
  <c r="X24" i="54" s="1"/>
  <c r="BD24" i="54" s="1"/>
  <c r="D7" i="18"/>
  <c r="D6" i="18"/>
  <c r="D5" i="18"/>
  <c r="L3" i="29" s="1"/>
  <c r="P29" i="15"/>
  <c r="O29" i="15"/>
  <c r="N29" i="15"/>
  <c r="M29" i="15"/>
  <c r="L29" i="15"/>
  <c r="K29" i="15"/>
  <c r="J29" i="15"/>
  <c r="I29" i="15"/>
  <c r="H29" i="15"/>
  <c r="G29" i="15"/>
  <c r="F29" i="15"/>
  <c r="E29" i="15"/>
  <c r="Q29" i="15" s="1"/>
  <c r="D29" i="15"/>
  <c r="C29" i="15"/>
  <c r="T27" i="15"/>
  <c r="Q27" i="15"/>
  <c r="T26" i="15"/>
  <c r="Q26" i="15"/>
  <c r="T25" i="15"/>
  <c r="Q25" i="15"/>
  <c r="T24" i="15"/>
  <c r="Q24" i="15"/>
  <c r="T23" i="15"/>
  <c r="Q23" i="15"/>
  <c r="T22" i="15"/>
  <c r="Q22" i="15"/>
  <c r="T21" i="15"/>
  <c r="Q21" i="15"/>
  <c r="T20" i="15"/>
  <c r="Q20" i="15"/>
  <c r="T19" i="15"/>
  <c r="Q19" i="15"/>
  <c r="T18" i="15"/>
  <c r="Q18" i="15"/>
  <c r="T17" i="15"/>
  <c r="Q17" i="15"/>
  <c r="T16" i="15"/>
  <c r="Q16" i="15"/>
  <c r="T15" i="15"/>
  <c r="Q15" i="15"/>
  <c r="T14" i="15"/>
  <c r="Q14" i="15"/>
  <c r="T13" i="15"/>
  <c r="Q13" i="15"/>
  <c r="T12" i="15"/>
  <c r="Q12" i="15"/>
  <c r="T11" i="15"/>
  <c r="Q11" i="15"/>
  <c r="T10" i="15"/>
  <c r="Q10" i="15"/>
  <c r="T9" i="15"/>
  <c r="Q9" i="15"/>
  <c r="T8" i="15"/>
  <c r="Q8" i="15"/>
  <c r="T7" i="15"/>
  <c r="Q7" i="15"/>
  <c r="T6" i="15"/>
  <c r="Q6" i="15"/>
  <c r="T5" i="15"/>
  <c r="Q5" i="15"/>
  <c r="T4" i="15"/>
  <c r="Q4" i="15"/>
  <c r="T3" i="15"/>
  <c r="Q3" i="15"/>
  <c r="D29" i="14"/>
  <c r="D28" i="14"/>
  <c r="D27" i="14"/>
  <c r="C27" i="14"/>
  <c r="D26" i="14"/>
  <c r="D25" i="14"/>
  <c r="D24" i="14"/>
  <c r="D21" i="14"/>
  <c r="I20" i="14"/>
  <c r="H20" i="14"/>
  <c r="F20" i="14"/>
  <c r="F21" i="14" s="1"/>
  <c r="D20" i="14"/>
  <c r="C20" i="14"/>
  <c r="C21" i="14" s="1"/>
  <c r="F19" i="14"/>
  <c r="D19" i="14"/>
  <c r="G19" i="14" s="1"/>
  <c r="C19" i="14"/>
  <c r="G18" i="14"/>
  <c r="R32" i="54" s="1"/>
  <c r="E18" i="14"/>
  <c r="G17" i="14"/>
  <c r="R31" i="54" s="1"/>
  <c r="E17" i="14"/>
  <c r="P31" i="54" s="1"/>
  <c r="BZ31" i="54" s="1"/>
  <c r="G16" i="14"/>
  <c r="E16" i="14"/>
  <c r="I12" i="29" s="1"/>
  <c r="G15" i="14"/>
  <c r="R29" i="54" s="1"/>
  <c r="E15" i="14"/>
  <c r="G14" i="14"/>
  <c r="E14" i="14"/>
  <c r="G13" i="14"/>
  <c r="R27" i="54" s="1"/>
  <c r="E13" i="14"/>
  <c r="G12" i="14"/>
  <c r="R26" i="54" s="1"/>
  <c r="E12" i="14"/>
  <c r="G11" i="14"/>
  <c r="R25" i="54" s="1"/>
  <c r="E11" i="14"/>
  <c r="P25" i="54" s="1"/>
  <c r="BZ25" i="54" s="1"/>
  <c r="G10" i="14"/>
  <c r="R24" i="54" s="1"/>
  <c r="E10" i="14"/>
  <c r="G9" i="14"/>
  <c r="E9" i="14"/>
  <c r="P23" i="54" s="1"/>
  <c r="BZ23" i="54" s="1"/>
  <c r="G8" i="14"/>
  <c r="E8" i="14"/>
  <c r="I4" i="29" s="1"/>
  <c r="G7" i="14"/>
  <c r="R21" i="54" s="1"/>
  <c r="E7" i="14"/>
  <c r="G6" i="14"/>
  <c r="R36" i="54" s="1"/>
  <c r="H55" i="54" s="1"/>
  <c r="E6" i="14"/>
  <c r="P36" i="54" s="1"/>
  <c r="H53" i="54" s="1"/>
  <c r="F284" i="54" s="1"/>
  <c r="Q153" i="2" s="1"/>
  <c r="G5" i="14"/>
  <c r="R35" i="54" s="1"/>
  <c r="I55" i="54" s="1"/>
  <c r="E5" i="14"/>
  <c r="P35" i="54" s="1"/>
  <c r="I53" i="54" s="1"/>
  <c r="G284" i="54" s="1"/>
  <c r="G4" i="14"/>
  <c r="R34" i="54" s="1"/>
  <c r="M55" i="54" s="1"/>
  <c r="E4" i="14"/>
  <c r="P34" i="54" s="1"/>
  <c r="M53" i="54" s="1"/>
  <c r="D18" i="13"/>
  <c r="J14" i="29" s="1"/>
  <c r="D17" i="13"/>
  <c r="D16" i="13"/>
  <c r="J12" i="29" s="1"/>
  <c r="D15" i="13"/>
  <c r="U29" i="54" s="1"/>
  <c r="BY29" i="54" s="1"/>
  <c r="D14" i="13"/>
  <c r="J10" i="29" s="1"/>
  <c r="D13" i="13"/>
  <c r="U27" i="54" s="1"/>
  <c r="BY27" i="54" s="1"/>
  <c r="D12" i="13"/>
  <c r="D11" i="13"/>
  <c r="U25" i="54" s="1"/>
  <c r="BY25" i="54" s="1"/>
  <c r="D10" i="13"/>
  <c r="D9" i="13"/>
  <c r="D8" i="13"/>
  <c r="D7" i="13"/>
  <c r="U21" i="54" s="1"/>
  <c r="BY21" i="54" s="1"/>
  <c r="D6" i="13"/>
  <c r="U36" i="54" s="1"/>
  <c r="H58" i="54" s="1"/>
  <c r="F281" i="54" s="1"/>
  <c r="H29" i="2" s="1"/>
  <c r="D5" i="13"/>
  <c r="D27" i="12"/>
  <c r="C26" i="12"/>
  <c r="D25" i="12"/>
  <c r="D24" i="12"/>
  <c r="D26" i="12" s="1"/>
  <c r="E20" i="12"/>
  <c r="D20" i="12"/>
  <c r="C20" i="12"/>
  <c r="F19" i="12"/>
  <c r="I32" i="54" s="1"/>
  <c r="BX32" i="54" s="1"/>
  <c r="F18" i="12"/>
  <c r="F17" i="12"/>
  <c r="F16" i="12"/>
  <c r="F15" i="12"/>
  <c r="E10" i="29" s="1"/>
  <c r="F14" i="12"/>
  <c r="I27" i="54" s="1"/>
  <c r="F13" i="12"/>
  <c r="I26" i="54" s="1"/>
  <c r="BX26" i="54" s="1"/>
  <c r="F12" i="12"/>
  <c r="F11" i="12"/>
  <c r="I24" i="54" s="1"/>
  <c r="BX24" i="54" s="1"/>
  <c r="F10" i="12"/>
  <c r="F9" i="12"/>
  <c r="F8" i="12"/>
  <c r="E3" i="29" s="1"/>
  <c r="F7" i="12"/>
  <c r="I36" i="54" s="1"/>
  <c r="H46" i="54" s="1"/>
  <c r="F286" i="54" s="1"/>
  <c r="F6" i="12"/>
  <c r="F5" i="12"/>
  <c r="F79" i="10"/>
  <c r="E79" i="10"/>
  <c r="G79" i="10" s="1"/>
  <c r="G78" i="10"/>
  <c r="F78" i="10"/>
  <c r="E78" i="10"/>
  <c r="G77" i="10"/>
  <c r="F77" i="10"/>
  <c r="E77" i="10"/>
  <c r="G76" i="10"/>
  <c r="F76" i="10"/>
  <c r="E76" i="10"/>
  <c r="F75" i="10"/>
  <c r="E75" i="10"/>
  <c r="G75" i="10" s="1"/>
  <c r="G74" i="10"/>
  <c r="F74" i="10"/>
  <c r="E74" i="10"/>
  <c r="G73" i="10"/>
  <c r="F73" i="10"/>
  <c r="E73" i="10"/>
  <c r="G72" i="10"/>
  <c r="F72" i="10"/>
  <c r="E72" i="10"/>
  <c r="F71" i="10"/>
  <c r="E71" i="10"/>
  <c r="G71" i="10" s="1"/>
  <c r="G70" i="10"/>
  <c r="F70" i="10"/>
  <c r="E70" i="10"/>
  <c r="G69" i="10"/>
  <c r="F69" i="10"/>
  <c r="E69" i="10"/>
  <c r="G68" i="10"/>
  <c r="F68" i="10"/>
  <c r="E68" i="10"/>
  <c r="F67" i="10"/>
  <c r="E67" i="10"/>
  <c r="G67" i="10" s="1"/>
  <c r="G66" i="10"/>
  <c r="F66" i="10"/>
  <c r="E66" i="10"/>
  <c r="G65" i="10"/>
  <c r="F65" i="10"/>
  <c r="E65" i="10"/>
  <c r="G64" i="10"/>
  <c r="F64" i="10"/>
  <c r="E64" i="10"/>
  <c r="F63" i="10"/>
  <c r="E63" i="10"/>
  <c r="G63" i="10" s="1"/>
  <c r="G62" i="10"/>
  <c r="F62" i="10"/>
  <c r="E62" i="10"/>
  <c r="G61" i="10"/>
  <c r="F61" i="10"/>
  <c r="E61" i="10"/>
  <c r="G60" i="10"/>
  <c r="F60" i="10"/>
  <c r="E60" i="10"/>
  <c r="F59" i="10"/>
  <c r="E59" i="10"/>
  <c r="G59" i="10" s="1"/>
  <c r="G58" i="10"/>
  <c r="F58" i="10"/>
  <c r="E58" i="10"/>
  <c r="G57" i="10"/>
  <c r="F57" i="10"/>
  <c r="E57" i="10"/>
  <c r="G56" i="10"/>
  <c r="F56" i="10"/>
  <c r="E56" i="10"/>
  <c r="F55" i="10"/>
  <c r="E55" i="10"/>
  <c r="G55" i="10" s="1"/>
  <c r="T45" i="10"/>
  <c r="S45" i="10"/>
  <c r="R45" i="10"/>
  <c r="Q45" i="10"/>
  <c r="P45" i="10"/>
  <c r="O45" i="10"/>
  <c r="N45" i="10"/>
  <c r="M45" i="10"/>
  <c r="L45" i="10"/>
  <c r="K45" i="10"/>
  <c r="J45" i="10"/>
  <c r="I45" i="10"/>
  <c r="T44" i="10"/>
  <c r="S44" i="10"/>
  <c r="R44" i="10"/>
  <c r="Q44" i="10"/>
  <c r="L44" i="10"/>
  <c r="J44" i="10"/>
  <c r="G44" i="10"/>
  <c r="E44" i="10"/>
  <c r="T43" i="10"/>
  <c r="S43" i="10"/>
  <c r="P43" i="10"/>
  <c r="N43" i="10"/>
  <c r="L43" i="10"/>
  <c r="K43" i="10"/>
  <c r="G43" i="10"/>
  <c r="T42" i="10"/>
  <c r="Q42" i="10"/>
  <c r="E42" i="10"/>
  <c r="T40" i="10"/>
  <c r="S40" i="10"/>
  <c r="R40" i="10"/>
  <c r="R42" i="10" s="1"/>
  <c r="Q40" i="10"/>
  <c r="P40" i="10"/>
  <c r="O40" i="10"/>
  <c r="O42" i="10" s="1"/>
  <c r="N40" i="10"/>
  <c r="N42" i="10" s="1"/>
  <c r="M40" i="10"/>
  <c r="M42" i="10" s="1"/>
  <c r="L40" i="10"/>
  <c r="L42" i="10" s="1"/>
  <c r="K40" i="10"/>
  <c r="K42" i="10" s="1"/>
  <c r="J40" i="10"/>
  <c r="J42" i="10" s="1"/>
  <c r="I40" i="10"/>
  <c r="G40" i="10"/>
  <c r="F40" i="10"/>
  <c r="E40" i="10"/>
  <c r="Y39" i="10"/>
  <c r="V39" i="10"/>
  <c r="U39" i="10"/>
  <c r="H39" i="10"/>
  <c r="Z39" i="10" s="1"/>
  <c r="Y38" i="10"/>
  <c r="W38" i="10"/>
  <c r="V38" i="10"/>
  <c r="U38" i="10"/>
  <c r="H38" i="10"/>
  <c r="Z38" i="10" s="1"/>
  <c r="T36" i="10"/>
  <c r="S36" i="10"/>
  <c r="S42" i="10" s="1"/>
  <c r="R36" i="10"/>
  <c r="Q36" i="10"/>
  <c r="P36" i="10"/>
  <c r="P42" i="10" s="1"/>
  <c r="O36" i="10"/>
  <c r="N36" i="10"/>
  <c r="M36" i="10"/>
  <c r="L36" i="10"/>
  <c r="K36" i="10"/>
  <c r="J36" i="10"/>
  <c r="I36" i="10"/>
  <c r="H36" i="10"/>
  <c r="G36" i="10"/>
  <c r="G42" i="10" s="1"/>
  <c r="F36" i="10"/>
  <c r="F42" i="10" s="1"/>
  <c r="E36" i="10"/>
  <c r="Z35" i="10"/>
  <c r="Y35" i="10"/>
  <c r="V35" i="10"/>
  <c r="U35" i="10"/>
  <c r="H35" i="10"/>
  <c r="Z34" i="10"/>
  <c r="Y34" i="10"/>
  <c r="X34" i="10"/>
  <c r="W34" i="10"/>
  <c r="V34" i="10"/>
  <c r="U34" i="10"/>
  <c r="H34" i="10"/>
  <c r="Y33" i="10"/>
  <c r="W33" i="10"/>
  <c r="V33" i="10"/>
  <c r="U33" i="10"/>
  <c r="H33" i="10"/>
  <c r="Z33" i="10" s="1"/>
  <c r="T31" i="10"/>
  <c r="S31" i="10"/>
  <c r="R31" i="10"/>
  <c r="R43" i="10" s="1"/>
  <c r="Q31" i="10"/>
  <c r="Q43" i="10" s="1"/>
  <c r="P31" i="10"/>
  <c r="P44" i="10" s="1"/>
  <c r="O31" i="10"/>
  <c r="N31" i="10"/>
  <c r="N44" i="10" s="1"/>
  <c r="M31" i="10"/>
  <c r="L31" i="10"/>
  <c r="K31" i="10"/>
  <c r="K44" i="10" s="1"/>
  <c r="J31" i="10"/>
  <c r="V31" i="10" s="1"/>
  <c r="I31" i="10"/>
  <c r="I44" i="10" s="1"/>
  <c r="G31" i="10"/>
  <c r="F31" i="10"/>
  <c r="E31" i="10"/>
  <c r="E43" i="10" s="1"/>
  <c r="Y30" i="10"/>
  <c r="X30" i="10"/>
  <c r="V30" i="10"/>
  <c r="U30" i="10"/>
  <c r="W30" i="10" s="1"/>
  <c r="H30" i="10"/>
  <c r="P131" i="54" s="1"/>
  <c r="AB211" i="54" s="1"/>
  <c r="Z29" i="10"/>
  <c r="Y29" i="10"/>
  <c r="V29" i="10"/>
  <c r="U29" i="10"/>
  <c r="H29" i="10"/>
  <c r="P130" i="54" s="1"/>
  <c r="AB210" i="54" s="1"/>
  <c r="Z28" i="10"/>
  <c r="Y28" i="10"/>
  <c r="X28" i="10"/>
  <c r="V28" i="10"/>
  <c r="U28" i="10"/>
  <c r="W28" i="10" s="1"/>
  <c r="H28" i="10"/>
  <c r="Y27" i="10"/>
  <c r="V27" i="10"/>
  <c r="U27" i="10"/>
  <c r="H27" i="10"/>
  <c r="Y26" i="10"/>
  <c r="X26" i="10"/>
  <c r="V26" i="10"/>
  <c r="U26" i="10"/>
  <c r="W26" i="10" s="1"/>
  <c r="H26" i="10"/>
  <c r="P127" i="54" s="1"/>
  <c r="Z25" i="10"/>
  <c r="Y25" i="10"/>
  <c r="W25" i="10"/>
  <c r="V25" i="10"/>
  <c r="U25" i="10"/>
  <c r="H25" i="10"/>
  <c r="P126" i="54" s="1"/>
  <c r="AB206" i="54" s="1"/>
  <c r="Z24" i="10"/>
  <c r="Y24" i="10"/>
  <c r="V24" i="10"/>
  <c r="U24" i="10"/>
  <c r="X24" i="10" s="1"/>
  <c r="H24" i="10"/>
  <c r="P125" i="54" s="1"/>
  <c r="AB205" i="54" s="1"/>
  <c r="Z23" i="10"/>
  <c r="Y23" i="10"/>
  <c r="V23" i="10"/>
  <c r="U23" i="10"/>
  <c r="W23" i="10" s="1"/>
  <c r="H23" i="10"/>
  <c r="P124" i="54" s="1"/>
  <c r="T107" i="2" s="1"/>
  <c r="Y22" i="10"/>
  <c r="W22" i="10"/>
  <c r="V22" i="10"/>
  <c r="U22" i="10"/>
  <c r="H22" i="10"/>
  <c r="Z21" i="10"/>
  <c r="Y21" i="10"/>
  <c r="X21" i="10"/>
  <c r="W21" i="10"/>
  <c r="V21" i="10"/>
  <c r="U21" i="10"/>
  <c r="H21" i="10"/>
  <c r="P122" i="54" s="1"/>
  <c r="Z20" i="10"/>
  <c r="Y20" i="10"/>
  <c r="X20" i="10"/>
  <c r="V20" i="10"/>
  <c r="U20" i="10"/>
  <c r="W20" i="10" s="1"/>
  <c r="H20" i="10"/>
  <c r="P121" i="54" s="1"/>
  <c r="Z19" i="10"/>
  <c r="Y19" i="10"/>
  <c r="V19" i="10"/>
  <c r="U19" i="10"/>
  <c r="H19" i="10"/>
  <c r="P120" i="54" s="1"/>
  <c r="Z18" i="10"/>
  <c r="Y18" i="10"/>
  <c r="W18" i="10"/>
  <c r="V18" i="10"/>
  <c r="U18" i="10"/>
  <c r="H18" i="10"/>
  <c r="P119" i="54" s="1"/>
  <c r="AB201" i="54" s="1"/>
  <c r="Z17" i="10"/>
  <c r="Y17" i="10"/>
  <c r="W17" i="10"/>
  <c r="V17" i="10"/>
  <c r="U17" i="10"/>
  <c r="H17" i="10"/>
  <c r="P118" i="54" s="1"/>
  <c r="AB200" i="54" s="1"/>
  <c r="Z16" i="10"/>
  <c r="Y16" i="10"/>
  <c r="V16" i="10"/>
  <c r="U16" i="10"/>
  <c r="W16" i="10" s="1"/>
  <c r="H16" i="10"/>
  <c r="Z15" i="10"/>
  <c r="Y15" i="10"/>
  <c r="X15" i="10"/>
  <c r="W15" i="10"/>
  <c r="V15" i="10"/>
  <c r="U15" i="10"/>
  <c r="H15" i="10"/>
  <c r="P116" i="54" s="1"/>
  <c r="AB198" i="54" s="1"/>
  <c r="Z14" i="10"/>
  <c r="Y14" i="10"/>
  <c r="W14" i="10"/>
  <c r="V14" i="10"/>
  <c r="U14" i="10"/>
  <c r="H14" i="10"/>
  <c r="P115" i="54" s="1"/>
  <c r="Z13" i="10"/>
  <c r="Y13" i="10"/>
  <c r="V13" i="10"/>
  <c r="U13" i="10"/>
  <c r="W13" i="10" s="1"/>
  <c r="H13" i="10"/>
  <c r="P114" i="54" s="1"/>
  <c r="Z12" i="10"/>
  <c r="Y12" i="10"/>
  <c r="W12" i="10"/>
  <c r="V12" i="10"/>
  <c r="U12" i="10"/>
  <c r="H12" i="10"/>
  <c r="P113" i="54" s="1"/>
  <c r="AB195" i="54" s="1"/>
  <c r="Z11" i="10"/>
  <c r="Y11" i="10"/>
  <c r="V11" i="10"/>
  <c r="U11" i="10"/>
  <c r="H11" i="10"/>
  <c r="I7" i="10"/>
  <c r="S5" i="10"/>
  <c r="B4" i="10"/>
  <c r="Q30" i="8"/>
  <c r="Q29" i="8"/>
  <c r="Q28" i="8"/>
  <c r="I21" i="8"/>
  <c r="F21" i="8"/>
  <c r="E21" i="8"/>
  <c r="D21" i="8"/>
  <c r="C21" i="8"/>
  <c r="I20" i="8"/>
  <c r="H20" i="8"/>
  <c r="G20" i="8"/>
  <c r="F20" i="8"/>
  <c r="E20" i="8"/>
  <c r="D20" i="8"/>
  <c r="C20" i="8"/>
  <c r="J19" i="8"/>
  <c r="H19" i="8"/>
  <c r="G19" i="8"/>
  <c r="J18" i="8"/>
  <c r="H18" i="8"/>
  <c r="G18" i="8"/>
  <c r="J17" i="8"/>
  <c r="H17" i="8"/>
  <c r="G17" i="8"/>
  <c r="J16" i="8"/>
  <c r="H16" i="8"/>
  <c r="G16" i="8"/>
  <c r="J15" i="8"/>
  <c r="H15" i="8"/>
  <c r="G15" i="8"/>
  <c r="J14" i="8"/>
  <c r="H14" i="8"/>
  <c r="G14" i="8"/>
  <c r="J13" i="8"/>
  <c r="H13" i="8"/>
  <c r="G13" i="8"/>
  <c r="J12" i="8"/>
  <c r="H12" i="8"/>
  <c r="G12" i="8"/>
  <c r="J11" i="8"/>
  <c r="H11" i="8"/>
  <c r="G11" i="8"/>
  <c r="J10" i="8"/>
  <c r="H10" i="8"/>
  <c r="G10" i="8"/>
  <c r="J9" i="8"/>
  <c r="H9" i="8"/>
  <c r="G9" i="8"/>
  <c r="J8" i="8"/>
  <c r="J20" i="8" s="1"/>
  <c r="H8" i="8"/>
  <c r="G8" i="8"/>
  <c r="H7" i="8"/>
  <c r="G7" i="8"/>
  <c r="H6" i="8"/>
  <c r="G6" i="8"/>
  <c r="H5" i="8"/>
  <c r="G5" i="8"/>
  <c r="Q177" i="2"/>
  <c r="S173" i="2"/>
  <c r="Q173" i="2"/>
  <c r="S171" i="2"/>
  <c r="Q170" i="2"/>
  <c r="S168" i="2"/>
  <c r="S162" i="2"/>
  <c r="S158" i="2"/>
  <c r="O157" i="2"/>
  <c r="S155" i="2"/>
  <c r="Q155" i="2"/>
  <c r="Q154" i="2"/>
  <c r="S153" i="2"/>
  <c r="S150" i="2"/>
  <c r="Q150" i="2"/>
  <c r="Q149" i="2"/>
  <c r="T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B143" i="2"/>
  <c r="T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B142" i="2"/>
  <c r="T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B141" i="2"/>
  <c r="V139" i="2"/>
  <c r="T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B139" i="2"/>
  <c r="T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B138" i="2"/>
  <c r="T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B137" i="2"/>
  <c r="T136" i="2"/>
  <c r="P136" i="2"/>
  <c r="O136" i="2"/>
  <c r="N136" i="2"/>
  <c r="M136" i="2"/>
  <c r="L136" i="2"/>
  <c r="K136" i="2"/>
  <c r="J136" i="2"/>
  <c r="I136" i="2"/>
  <c r="H136" i="2"/>
  <c r="G136" i="2"/>
  <c r="F136" i="2"/>
  <c r="B136" i="2"/>
  <c r="T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B135" i="2"/>
  <c r="T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B134" i="2"/>
  <c r="T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B133" i="2"/>
  <c r="T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B132" i="2"/>
  <c r="T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B131" i="2"/>
  <c r="T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B130" i="2"/>
  <c r="T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B129" i="2"/>
  <c r="T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B128" i="2"/>
  <c r="T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B127" i="2"/>
  <c r="T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B126" i="2"/>
  <c r="T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B125" i="2"/>
  <c r="T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B124" i="2"/>
  <c r="T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B123" i="2"/>
  <c r="V122" i="2"/>
  <c r="T122" i="2"/>
  <c r="R122" i="2"/>
  <c r="Q122" i="2"/>
  <c r="P122" i="2"/>
  <c r="N122" i="2"/>
  <c r="M122" i="2"/>
  <c r="L122" i="2"/>
  <c r="K122" i="2"/>
  <c r="J122" i="2"/>
  <c r="I122" i="2"/>
  <c r="H122" i="2"/>
  <c r="G122" i="2"/>
  <c r="F122" i="2"/>
  <c r="B122" i="2"/>
  <c r="T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B121" i="2"/>
  <c r="T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B120" i="2"/>
  <c r="T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B119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B114" i="2"/>
  <c r="T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B113" i="2"/>
  <c r="T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B112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B111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B110" i="2"/>
  <c r="T109" i="2"/>
  <c r="Q109" i="2"/>
  <c r="P109" i="2"/>
  <c r="O109" i="2"/>
  <c r="N109" i="2"/>
  <c r="M109" i="2"/>
  <c r="K109" i="2"/>
  <c r="J109" i="2"/>
  <c r="I109" i="2"/>
  <c r="H109" i="2"/>
  <c r="G109" i="2"/>
  <c r="F109" i="2"/>
  <c r="B109" i="2"/>
  <c r="T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B108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B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B106" i="2"/>
  <c r="T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B105" i="2"/>
  <c r="T104" i="2"/>
  <c r="Q104" i="2"/>
  <c r="P104" i="2"/>
  <c r="O104" i="2"/>
  <c r="N104" i="2"/>
  <c r="L104" i="2"/>
  <c r="K104" i="2"/>
  <c r="J104" i="2"/>
  <c r="I104" i="2"/>
  <c r="H104" i="2"/>
  <c r="G104" i="2"/>
  <c r="F104" i="2"/>
  <c r="B104" i="2"/>
  <c r="T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B103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B102" i="2"/>
  <c r="T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B101" i="2"/>
  <c r="T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B100" i="2"/>
  <c r="Q99" i="2"/>
  <c r="P99" i="2"/>
  <c r="O99" i="2"/>
  <c r="N99" i="2"/>
  <c r="M99" i="2"/>
  <c r="L99" i="2"/>
  <c r="K99" i="2"/>
  <c r="J99" i="2"/>
  <c r="I99" i="2"/>
  <c r="H99" i="2"/>
  <c r="G99" i="2"/>
  <c r="F99" i="2"/>
  <c r="B99" i="2"/>
  <c r="Q98" i="2"/>
  <c r="P98" i="2"/>
  <c r="O98" i="2"/>
  <c r="N98" i="2"/>
  <c r="M98" i="2"/>
  <c r="L98" i="2"/>
  <c r="K98" i="2"/>
  <c r="J98" i="2"/>
  <c r="I98" i="2"/>
  <c r="H98" i="2"/>
  <c r="G98" i="2"/>
  <c r="F98" i="2"/>
  <c r="B98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B97" i="2"/>
  <c r="T96" i="2"/>
  <c r="Q96" i="2"/>
  <c r="P96" i="2"/>
  <c r="O96" i="2"/>
  <c r="N96" i="2"/>
  <c r="M96" i="2"/>
  <c r="L96" i="2"/>
  <c r="K96" i="2"/>
  <c r="J96" i="2"/>
  <c r="I96" i="2"/>
  <c r="H96" i="2"/>
  <c r="G96" i="2"/>
  <c r="F96" i="2"/>
  <c r="B96" i="2"/>
  <c r="Q95" i="2"/>
  <c r="P95" i="2"/>
  <c r="O95" i="2"/>
  <c r="N95" i="2"/>
  <c r="M95" i="2"/>
  <c r="L95" i="2"/>
  <c r="K95" i="2"/>
  <c r="J95" i="2"/>
  <c r="I95" i="2"/>
  <c r="H95" i="2"/>
  <c r="G95" i="2"/>
  <c r="F95" i="2"/>
  <c r="B95" i="2"/>
  <c r="X29" i="2"/>
  <c r="N29" i="2"/>
  <c r="J29" i="2"/>
  <c r="D29" i="2"/>
  <c r="P26" i="2"/>
  <c r="P17" i="2"/>
  <c r="L17" i="2"/>
  <c r="H17" i="2"/>
  <c r="E118" i="1"/>
  <c r="B118" i="1"/>
  <c r="E117" i="1"/>
  <c r="B117" i="1"/>
  <c r="E116" i="1"/>
  <c r="B116" i="1"/>
  <c r="Y115" i="1"/>
  <c r="U115" i="1"/>
  <c r="Q115" i="1"/>
  <c r="O115" i="1"/>
  <c r="M115" i="1"/>
  <c r="E115" i="1"/>
  <c r="B115" i="1"/>
  <c r="E114" i="1"/>
  <c r="B114" i="1"/>
  <c r="E113" i="1"/>
  <c r="B113" i="1"/>
  <c r="S112" i="1"/>
  <c r="E112" i="1"/>
  <c r="B112" i="1"/>
  <c r="E111" i="1"/>
  <c r="B111" i="1"/>
  <c r="E110" i="1"/>
  <c r="B110" i="1"/>
  <c r="E109" i="1"/>
  <c r="B109" i="1"/>
  <c r="E108" i="1"/>
  <c r="B108" i="1"/>
  <c r="S107" i="1"/>
  <c r="E107" i="1"/>
  <c r="B107" i="1"/>
  <c r="E106" i="1"/>
  <c r="B106" i="1"/>
  <c r="E105" i="1"/>
  <c r="B105" i="1"/>
  <c r="Y104" i="1"/>
  <c r="W104" i="1"/>
  <c r="E104" i="1"/>
  <c r="B104" i="1"/>
  <c r="E103" i="1"/>
  <c r="B103" i="1"/>
  <c r="Y102" i="1"/>
  <c r="W102" i="1"/>
  <c r="S102" i="1"/>
  <c r="E102" i="1"/>
  <c r="B102" i="1"/>
  <c r="E101" i="1"/>
  <c r="B101" i="1"/>
  <c r="R8" i="1"/>
  <c r="R9" i="29" l="1"/>
  <c r="S9" i="29" s="1"/>
  <c r="AQ27" i="54" s="1"/>
  <c r="AB28" i="54"/>
  <c r="P10" i="29"/>
  <c r="C384" i="54"/>
  <c r="G59" i="54"/>
  <c r="BU21" i="54"/>
  <c r="BC21" i="54"/>
  <c r="BB21" i="54"/>
  <c r="G42" i="54"/>
  <c r="I22" i="54"/>
  <c r="BX22" i="54" s="1"/>
  <c r="F20" i="12"/>
  <c r="E4" i="29"/>
  <c r="E15" i="29" s="1"/>
  <c r="F250" i="54"/>
  <c r="S137" i="54"/>
  <c r="G391" i="54"/>
  <c r="K75" i="54"/>
  <c r="L75" i="54" s="1"/>
  <c r="BN28" i="54"/>
  <c r="K103" i="54" s="1"/>
  <c r="AP202" i="54"/>
  <c r="S109" i="1" s="1"/>
  <c r="P29" i="2"/>
  <c r="F43" i="10"/>
  <c r="F44" i="10"/>
  <c r="U36" i="10"/>
  <c r="J8" i="29"/>
  <c r="U26" i="54"/>
  <c r="BY26" i="54" s="1"/>
  <c r="C386" i="54"/>
  <c r="BC23" i="54"/>
  <c r="BB23" i="54"/>
  <c r="BU23" i="54"/>
  <c r="AV25" i="54"/>
  <c r="G56" i="54"/>
  <c r="X35" i="10"/>
  <c r="W35" i="10"/>
  <c r="V29" i="54"/>
  <c r="K40" i="18"/>
  <c r="X39" i="10"/>
  <c r="X23" i="10"/>
  <c r="I42" i="10"/>
  <c r="U42" i="10" s="1"/>
  <c r="V40" i="10"/>
  <c r="U40" i="10"/>
  <c r="C240" i="54"/>
  <c r="I65" i="54"/>
  <c r="AT35" i="54"/>
  <c r="I83" i="54" s="1"/>
  <c r="G282" i="54" s="1"/>
  <c r="S151" i="2" s="1"/>
  <c r="AB32" i="54"/>
  <c r="P14" i="29"/>
  <c r="F384" i="54"/>
  <c r="AN26" i="54"/>
  <c r="CE26" i="54" s="1"/>
  <c r="AB196" i="54"/>
  <c r="V97" i="2"/>
  <c r="T97" i="2"/>
  <c r="P4" i="29"/>
  <c r="AB22" i="54"/>
  <c r="P112" i="54"/>
  <c r="H31" i="10"/>
  <c r="B7" i="10" s="1"/>
  <c r="O43" i="10"/>
  <c r="O44" i="10"/>
  <c r="S7" i="10"/>
  <c r="Y31" i="54"/>
  <c r="M13" i="29"/>
  <c r="I8" i="29"/>
  <c r="R8" i="29" s="1"/>
  <c r="S8" i="29" s="1"/>
  <c r="AQ26" i="54" s="1"/>
  <c r="P26" i="54"/>
  <c r="BZ26" i="54" s="1"/>
  <c r="X29" i="10"/>
  <c r="W29" i="10"/>
  <c r="I25" i="54"/>
  <c r="BX25" i="54" s="1"/>
  <c r="E7" i="29"/>
  <c r="H65" i="54"/>
  <c r="AT36" i="54"/>
  <c r="H83" i="54" s="1"/>
  <c r="F282" i="54" s="1"/>
  <c r="X27" i="10"/>
  <c r="W27" i="10"/>
  <c r="AN30" i="54"/>
  <c r="CE30" i="54" s="1"/>
  <c r="O12" i="29"/>
  <c r="BM22" i="54"/>
  <c r="G102" i="54" s="1"/>
  <c r="BL22" i="54"/>
  <c r="G73" i="54"/>
  <c r="W19" i="10"/>
  <c r="X19" i="10"/>
  <c r="T99" i="2"/>
  <c r="U23" i="54"/>
  <c r="BY23" i="54" s="1"/>
  <c r="J5" i="29"/>
  <c r="I14" i="29"/>
  <c r="R14" i="29" s="1"/>
  <c r="S14" i="29" s="1"/>
  <c r="AQ32" i="54" s="1"/>
  <c r="P32" i="54"/>
  <c r="BZ32" i="54" s="1"/>
  <c r="X16" i="10"/>
  <c r="J43" i="10"/>
  <c r="U44" i="10"/>
  <c r="V36" i="10"/>
  <c r="X27" i="54"/>
  <c r="BD27" i="54" s="1"/>
  <c r="L9" i="29"/>
  <c r="AB30" i="54"/>
  <c r="P12" i="29"/>
  <c r="AM24" i="54"/>
  <c r="F387" i="54" s="1"/>
  <c r="O15" i="29"/>
  <c r="L6" i="29"/>
  <c r="G60" i="54"/>
  <c r="G43" i="54"/>
  <c r="D387" i="54"/>
  <c r="AW24" i="54"/>
  <c r="BV24" i="54"/>
  <c r="CK24" i="54"/>
  <c r="E388" i="54"/>
  <c r="BW25" i="54"/>
  <c r="AX25" i="54"/>
  <c r="BA25" i="54"/>
  <c r="B241" i="54"/>
  <c r="M49" i="54"/>
  <c r="AY34" i="54"/>
  <c r="M88" i="54" s="1"/>
  <c r="BK35" i="54"/>
  <c r="I100" i="54" s="1"/>
  <c r="G301" i="54" s="1"/>
  <c r="S170" i="2" s="1"/>
  <c r="I42" i="54"/>
  <c r="X14" i="10"/>
  <c r="X25" i="10"/>
  <c r="U24" i="54"/>
  <c r="BY24" i="54" s="1"/>
  <c r="J6" i="29"/>
  <c r="G20" i="14"/>
  <c r="L10" i="29"/>
  <c r="X28" i="54"/>
  <c r="C390" i="54"/>
  <c r="BC27" i="54"/>
  <c r="BB27" i="54"/>
  <c r="E11" i="25"/>
  <c r="M11" i="29"/>
  <c r="M15" i="29" s="1"/>
  <c r="Y29" i="54"/>
  <c r="E21" i="26"/>
  <c r="G15" i="29"/>
  <c r="E8" i="29"/>
  <c r="E387" i="54"/>
  <c r="BA24" i="54"/>
  <c r="BW24" i="54"/>
  <c r="AX24" i="54"/>
  <c r="AB27" i="54"/>
  <c r="I28" i="54"/>
  <c r="C391" i="54"/>
  <c r="BU28" i="54"/>
  <c r="BB28" i="54"/>
  <c r="K91" i="54" s="1"/>
  <c r="E392" i="54"/>
  <c r="BA29" i="54"/>
  <c r="AX29" i="54"/>
  <c r="BW29" i="54"/>
  <c r="G48" i="54"/>
  <c r="W145" i="54"/>
  <c r="V145" i="54"/>
  <c r="X18" i="10"/>
  <c r="Z22" i="10"/>
  <c r="W5" i="10" s="1"/>
  <c r="P123" i="54"/>
  <c r="U31" i="10"/>
  <c r="L40" i="18"/>
  <c r="D20" i="25"/>
  <c r="CL30" i="54"/>
  <c r="BR30" i="54"/>
  <c r="H16" i="29"/>
  <c r="I7" i="29"/>
  <c r="I13" i="29"/>
  <c r="F15" i="29"/>
  <c r="BL23" i="54"/>
  <c r="CB24" i="54"/>
  <c r="AY24" i="54"/>
  <c r="BK25" i="54"/>
  <c r="BB26" i="54"/>
  <c r="D391" i="54"/>
  <c r="AW28" i="54"/>
  <c r="F86" i="54" s="1"/>
  <c r="BV28" i="54"/>
  <c r="H288" i="54"/>
  <c r="F316" i="54"/>
  <c r="N21" i="2" s="1"/>
  <c r="K288" i="54"/>
  <c r="L87" i="54"/>
  <c r="M104" i="2"/>
  <c r="U121" i="54"/>
  <c r="J202" i="54"/>
  <c r="B222" i="54" s="1"/>
  <c r="D222" i="54" s="1"/>
  <c r="R137" i="54"/>
  <c r="R140" i="54"/>
  <c r="AQ194" i="54" s="1"/>
  <c r="W140" i="54"/>
  <c r="V140" i="54"/>
  <c r="O194" i="54"/>
  <c r="J7" i="29"/>
  <c r="M12" i="29"/>
  <c r="R12" i="29" s="1"/>
  <c r="S12" i="29" s="1"/>
  <c r="AQ30" i="54" s="1"/>
  <c r="H15" i="29"/>
  <c r="CQ26" i="54"/>
  <c r="CQ21" i="54"/>
  <c r="CQ31" i="54"/>
  <c r="CQ24" i="54"/>
  <c r="CQ22" i="54"/>
  <c r="CQ30" i="54"/>
  <c r="CQ25" i="54"/>
  <c r="CQ29" i="54"/>
  <c r="CQ28" i="54"/>
  <c r="CQ23" i="54"/>
  <c r="CQ32" i="54"/>
  <c r="AY21" i="54"/>
  <c r="G49" i="54"/>
  <c r="G63" i="54"/>
  <c r="AS22" i="54"/>
  <c r="BL25" i="54"/>
  <c r="AB26" i="54"/>
  <c r="BC26" i="54"/>
  <c r="B390" i="54"/>
  <c r="BT27" i="54"/>
  <c r="BL27" i="54"/>
  <c r="BC28" i="54"/>
  <c r="K92" i="54" s="1"/>
  <c r="BL30" i="54"/>
  <c r="BJ31" i="54"/>
  <c r="G99" i="54" s="1"/>
  <c r="BI31" i="54"/>
  <c r="CC31" i="54"/>
  <c r="BH31" i="54"/>
  <c r="BH36" i="54"/>
  <c r="H97" i="54" s="1"/>
  <c r="F299" i="54" s="1"/>
  <c r="BI36" i="54"/>
  <c r="H98" i="54" s="1"/>
  <c r="F300" i="54" s="1"/>
  <c r="E244" i="54"/>
  <c r="H40" i="54"/>
  <c r="L40" i="54" s="1"/>
  <c r="I44" i="54"/>
  <c r="L13" i="29"/>
  <c r="X31" i="54"/>
  <c r="BD31" i="54" s="1"/>
  <c r="P6" i="29"/>
  <c r="G89" i="54"/>
  <c r="E300" i="54"/>
  <c r="L98" i="54"/>
  <c r="BM32" i="54"/>
  <c r="BL32" i="54"/>
  <c r="T102" i="2"/>
  <c r="B5" i="10"/>
  <c r="X32" i="54"/>
  <c r="BD32" i="54" s="1"/>
  <c r="L14" i="29"/>
  <c r="K16" i="29"/>
  <c r="Q181" i="54"/>
  <c r="Q174" i="54"/>
  <c r="Q186" i="54"/>
  <c r="Q184" i="54"/>
  <c r="Q175" i="54"/>
  <c r="Q171" i="54"/>
  <c r="Q167" i="54"/>
  <c r="Q185" i="54"/>
  <c r="Q180" i="54"/>
  <c r="Q166" i="54"/>
  <c r="Q126" i="54"/>
  <c r="B232" i="54" s="1"/>
  <c r="Q187" i="54"/>
  <c r="Q182" i="54"/>
  <c r="Q172" i="54"/>
  <c r="Q169" i="54"/>
  <c r="Q158" i="54"/>
  <c r="Q151" i="54"/>
  <c r="Q145" i="54"/>
  <c r="Q139" i="54"/>
  <c r="Q127" i="54"/>
  <c r="Q189" i="54"/>
  <c r="Q120" i="54"/>
  <c r="Q113" i="54"/>
  <c r="E107" i="54"/>
  <c r="E103" i="54"/>
  <c r="E99" i="54"/>
  <c r="E92" i="54"/>
  <c r="E79" i="54"/>
  <c r="Q170" i="54"/>
  <c r="Q152" i="54"/>
  <c r="Q148" i="54"/>
  <c r="Q168" i="54"/>
  <c r="Q115" i="54"/>
  <c r="F104" i="54"/>
  <c r="J104" i="54" s="1"/>
  <c r="F100" i="54"/>
  <c r="J100" i="54" s="1"/>
  <c r="F89" i="54"/>
  <c r="J89" i="54" s="1"/>
  <c r="Q165" i="54"/>
  <c r="Q144" i="54"/>
  <c r="Q125" i="54"/>
  <c r="Q118" i="54"/>
  <c r="Q114" i="54"/>
  <c r="F75" i="54"/>
  <c r="J75" i="54" s="1"/>
  <c r="F64" i="54"/>
  <c r="J64" i="54" s="1"/>
  <c r="F60" i="54"/>
  <c r="J60" i="54" s="1"/>
  <c r="F56" i="54"/>
  <c r="J56" i="54" s="1"/>
  <c r="F52" i="54"/>
  <c r="J52" i="54" s="1"/>
  <c r="F48" i="54"/>
  <c r="J48" i="54" s="1"/>
  <c r="F44" i="54"/>
  <c r="J44" i="54" s="1"/>
  <c r="F40" i="54"/>
  <c r="J40" i="54" s="1"/>
  <c r="I4" i="10"/>
  <c r="Q149" i="54"/>
  <c r="E82" i="54"/>
  <c r="E75" i="54"/>
  <c r="E64" i="54"/>
  <c r="E60" i="54"/>
  <c r="E56" i="54"/>
  <c r="E52" i="54"/>
  <c r="E48" i="54"/>
  <c r="E44" i="54"/>
  <c r="B8" i="1" s="1"/>
  <c r="E40" i="54"/>
  <c r="Q154" i="54"/>
  <c r="Q147" i="54"/>
  <c r="Q136" i="54"/>
  <c r="Q129" i="54"/>
  <c r="F106" i="54"/>
  <c r="F98" i="54"/>
  <c r="J98" i="54" s="1"/>
  <c r="F79" i="54"/>
  <c r="J79" i="54" s="1"/>
  <c r="Q140" i="54"/>
  <c r="Q119" i="54"/>
  <c r="E87" i="54"/>
  <c r="E76" i="54"/>
  <c r="E65" i="54"/>
  <c r="J12" i="1" s="1"/>
  <c r="E61" i="54"/>
  <c r="E57" i="54"/>
  <c r="E49" i="54"/>
  <c r="V12" i="1" s="1"/>
  <c r="V13" i="1" s="1"/>
  <c r="E45" i="54"/>
  <c r="E41" i="54"/>
  <c r="E105" i="54"/>
  <c r="F76" i="54"/>
  <c r="J76" i="54" s="1"/>
  <c r="Q130" i="54"/>
  <c r="E100" i="54"/>
  <c r="F65" i="54"/>
  <c r="J65" i="54" s="1"/>
  <c r="Q150" i="54"/>
  <c r="Q138" i="54"/>
  <c r="Q128" i="54"/>
  <c r="Q123" i="54"/>
  <c r="F102" i="54"/>
  <c r="F87" i="54"/>
  <c r="J87" i="54" s="1"/>
  <c r="F78" i="54"/>
  <c r="J78" i="54" s="1"/>
  <c r="F74" i="54"/>
  <c r="J74" i="54" s="1"/>
  <c r="F63" i="54"/>
  <c r="Q156" i="54"/>
  <c r="Q121" i="54"/>
  <c r="E104" i="54"/>
  <c r="E102" i="54"/>
  <c r="F97" i="54"/>
  <c r="J97" i="54" s="1"/>
  <c r="E78" i="54"/>
  <c r="E74" i="54"/>
  <c r="E63" i="54"/>
  <c r="Q159" i="54"/>
  <c r="Q117" i="54"/>
  <c r="E97" i="54"/>
  <c r="F57" i="54"/>
  <c r="J57" i="54" s="1"/>
  <c r="F49" i="54"/>
  <c r="J49" i="54" s="1"/>
  <c r="F45" i="54"/>
  <c r="J45" i="54" s="1"/>
  <c r="F41" i="54"/>
  <c r="J41" i="54" s="1"/>
  <c r="F99" i="54"/>
  <c r="J99" i="54" s="1"/>
  <c r="F59" i="54"/>
  <c r="J59" i="54" s="1"/>
  <c r="F55" i="54"/>
  <c r="F51" i="54"/>
  <c r="F47" i="54"/>
  <c r="J47" i="54" s="1"/>
  <c r="F43" i="54"/>
  <c r="J43" i="54" s="1"/>
  <c r="Q183" i="54"/>
  <c r="Q141" i="54"/>
  <c r="Q112" i="54"/>
  <c r="E106" i="54"/>
  <c r="F101" i="54"/>
  <c r="J101" i="54" s="1"/>
  <c r="F91" i="54"/>
  <c r="J91" i="54" s="1"/>
  <c r="Q188" i="54"/>
  <c r="Q143" i="54"/>
  <c r="Q124" i="54"/>
  <c r="E91" i="54"/>
  <c r="E81" i="54"/>
  <c r="E77" i="54"/>
  <c r="F73" i="54"/>
  <c r="J73" i="54" s="1"/>
  <c r="F62" i="54"/>
  <c r="J62" i="54" s="1"/>
  <c r="Q131" i="54"/>
  <c r="Q122" i="54"/>
  <c r="E73" i="54"/>
  <c r="E62" i="54"/>
  <c r="Q160" i="54"/>
  <c r="Q155" i="54"/>
  <c r="Q153" i="54"/>
  <c r="Q146" i="54"/>
  <c r="Q116" i="54"/>
  <c r="E98" i="54"/>
  <c r="F90" i="54"/>
  <c r="J90" i="54" s="1"/>
  <c r="F58" i="54"/>
  <c r="F54" i="54"/>
  <c r="J54" i="54" s="1"/>
  <c r="F50" i="54"/>
  <c r="J50" i="54" s="1"/>
  <c r="F42" i="54"/>
  <c r="J42" i="54" s="1"/>
  <c r="BT21" i="54"/>
  <c r="B384" i="54"/>
  <c r="G51" i="54"/>
  <c r="AW22" i="54"/>
  <c r="BP23" i="54"/>
  <c r="BQ23" i="54" s="1"/>
  <c r="CJ23" i="54" s="1"/>
  <c r="BI25" i="54"/>
  <c r="G98" i="54" s="1"/>
  <c r="CD25" i="54"/>
  <c r="BP27" i="54"/>
  <c r="BQ27" i="54" s="1"/>
  <c r="CJ27" i="54" s="1"/>
  <c r="E307" i="54"/>
  <c r="G392" i="54"/>
  <c r="BN29" i="54"/>
  <c r="G50" i="54"/>
  <c r="G62" i="54"/>
  <c r="R127" i="54"/>
  <c r="AP208" i="54" s="1"/>
  <c r="S115" i="1" s="1"/>
  <c r="W127" i="54"/>
  <c r="C208" i="54"/>
  <c r="V127" i="54"/>
  <c r="Z209" i="54"/>
  <c r="C226" i="54" s="1"/>
  <c r="E226" i="54" s="1"/>
  <c r="W155" i="54"/>
  <c r="BR32" i="54"/>
  <c r="CL32" i="54"/>
  <c r="Y22" i="54"/>
  <c r="B387" i="54"/>
  <c r="BT24" i="54"/>
  <c r="P3" i="29"/>
  <c r="AB21" i="54"/>
  <c r="E240" i="54" s="1"/>
  <c r="G100" i="54"/>
  <c r="G64" i="54"/>
  <c r="E237" i="54"/>
  <c r="BR24" i="54"/>
  <c r="AS27" i="54"/>
  <c r="CA27" i="54"/>
  <c r="BU27" i="54"/>
  <c r="CC29" i="54"/>
  <c r="BH29" i="54"/>
  <c r="BJ29" i="54"/>
  <c r="BI30" i="54"/>
  <c r="CD30" i="54"/>
  <c r="E59" i="54"/>
  <c r="F12" i="1" s="1"/>
  <c r="F13" i="1" s="1"/>
  <c r="G206" i="54"/>
  <c r="B219" i="54" s="1"/>
  <c r="D219" i="54" s="1"/>
  <c r="R126" i="54"/>
  <c r="AP206" i="54" s="1"/>
  <c r="S113" i="1" s="1"/>
  <c r="W126" i="54"/>
  <c r="V126" i="54"/>
  <c r="C211" i="54"/>
  <c r="V131" i="54"/>
  <c r="R131" i="54"/>
  <c r="AP211" i="54" s="1"/>
  <c r="S118" i="1" s="1"/>
  <c r="W131" i="54"/>
  <c r="S199" i="54"/>
  <c r="C219" i="54" s="1"/>
  <c r="E219" i="54" s="1"/>
  <c r="X11" i="10"/>
  <c r="N5" i="10"/>
  <c r="AB208" i="54"/>
  <c r="T110" i="2"/>
  <c r="C393" i="54"/>
  <c r="BU30" i="54"/>
  <c r="BC30" i="54"/>
  <c r="O9" i="29"/>
  <c r="AN27" i="54"/>
  <c r="CE27" i="54" s="1"/>
  <c r="G390" i="54"/>
  <c r="G75" i="54"/>
  <c r="BN27" i="54"/>
  <c r="CB28" i="54"/>
  <c r="K49" i="54"/>
  <c r="L49" i="54" s="1"/>
  <c r="AY28" i="54"/>
  <c r="F88" i="54" s="1"/>
  <c r="J88" i="54" s="1"/>
  <c r="J130" i="1"/>
  <c r="W11" i="10"/>
  <c r="X13" i="10"/>
  <c r="X22" i="10"/>
  <c r="W24" i="10"/>
  <c r="M44" i="10"/>
  <c r="M43" i="10"/>
  <c r="W39" i="10"/>
  <c r="I43" i="10"/>
  <c r="G55" i="54"/>
  <c r="L15" i="29"/>
  <c r="AM34" i="54"/>
  <c r="M76" i="54" s="1"/>
  <c r="E5" i="25"/>
  <c r="AN34" i="54" s="1"/>
  <c r="M77" i="54" s="1"/>
  <c r="N16" i="29"/>
  <c r="M14" i="29"/>
  <c r="I5" i="10"/>
  <c r="AB202" i="54"/>
  <c r="AB203" i="54"/>
  <c r="I29" i="54"/>
  <c r="BX29" i="54" s="1"/>
  <c r="E11" i="29"/>
  <c r="P28" i="54"/>
  <c r="I10" i="29"/>
  <c r="R10" i="29" s="1"/>
  <c r="S10" i="29" s="1"/>
  <c r="AQ28" i="54" s="1"/>
  <c r="E19" i="14"/>
  <c r="D17" i="18"/>
  <c r="C40" i="18"/>
  <c r="E6" i="25"/>
  <c r="AN35" i="54" s="1"/>
  <c r="I77" i="54" s="1"/>
  <c r="G303" i="54" s="1"/>
  <c r="S172" i="2" s="1"/>
  <c r="AM35" i="54"/>
  <c r="I76" i="54" s="1"/>
  <c r="E20" i="26"/>
  <c r="Q16" i="29"/>
  <c r="E6" i="29"/>
  <c r="G41" i="54"/>
  <c r="BZ21" i="54"/>
  <c r="BQ21" i="54"/>
  <c r="B385" i="54"/>
  <c r="AR22" i="54"/>
  <c r="CI22" i="54" s="1"/>
  <c r="CD26" i="54"/>
  <c r="BI26" i="54"/>
  <c r="BO28" i="54"/>
  <c r="B395" i="54"/>
  <c r="AR32" i="54"/>
  <c r="CI32" i="54" s="1"/>
  <c r="BT32" i="54"/>
  <c r="E55" i="54"/>
  <c r="AZ36" i="54"/>
  <c r="H89" i="54" s="1"/>
  <c r="F291" i="54" s="1"/>
  <c r="Q160" i="2" s="1"/>
  <c r="E51" i="54"/>
  <c r="N8" i="1" s="1"/>
  <c r="I206" i="54"/>
  <c r="B221" i="54" s="1"/>
  <c r="D221" i="54" s="1"/>
  <c r="L109" i="2"/>
  <c r="BP32" i="54"/>
  <c r="BQ32" i="54" s="1"/>
  <c r="CJ32" i="54" s="1"/>
  <c r="AS32" i="54"/>
  <c r="BQ34" i="54"/>
  <c r="M106" i="54" s="1"/>
  <c r="M105" i="54"/>
  <c r="E42" i="54"/>
  <c r="V121" i="54"/>
  <c r="H40" i="10"/>
  <c r="X38" i="10"/>
  <c r="O3" i="29"/>
  <c r="R3" i="29" s="1"/>
  <c r="S3" i="29" s="1"/>
  <c r="AN21" i="54"/>
  <c r="I62" i="54"/>
  <c r="BR35" i="54"/>
  <c r="I107" i="54" s="1"/>
  <c r="G309" i="54" s="1"/>
  <c r="S178" i="2" s="1"/>
  <c r="BN21" i="54"/>
  <c r="G78" i="54"/>
  <c r="CC22" i="54"/>
  <c r="BH22" i="54"/>
  <c r="AR24" i="54"/>
  <c r="CI24" i="54" s="1"/>
  <c r="AR25" i="54"/>
  <c r="CI25" i="54" s="1"/>
  <c r="AZ25" i="54"/>
  <c r="AY25" i="54"/>
  <c r="BR25" i="54"/>
  <c r="AW25" i="54"/>
  <c r="AT25" i="54"/>
  <c r="CJ28" i="54"/>
  <c r="K106" i="54"/>
  <c r="X12" i="10"/>
  <c r="X17" i="10"/>
  <c r="Z26" i="10"/>
  <c r="Z30" i="10"/>
  <c r="X33" i="10"/>
  <c r="C26" i="13"/>
  <c r="X25" i="54"/>
  <c r="BD25" i="54" s="1"/>
  <c r="L7" i="29"/>
  <c r="G40" i="18"/>
  <c r="AT23" i="54"/>
  <c r="CK23" i="54"/>
  <c r="D15" i="29"/>
  <c r="G57" i="54"/>
  <c r="BJ22" i="54"/>
  <c r="E386" i="54"/>
  <c r="BW23" i="54"/>
  <c r="CD32" i="54"/>
  <c r="BI32" i="54"/>
  <c r="M47" i="54"/>
  <c r="AW34" i="54"/>
  <c r="M86" i="54" s="1"/>
  <c r="E243" i="54"/>
  <c r="BA36" i="54"/>
  <c r="H90" i="54" s="1"/>
  <c r="F289" i="54" s="1"/>
  <c r="Q158" i="2" s="1"/>
  <c r="H48" i="54"/>
  <c r="BJ36" i="54"/>
  <c r="H99" i="54" s="1"/>
  <c r="F302" i="54" s="1"/>
  <c r="Q171" i="2" s="1"/>
  <c r="E47" i="54"/>
  <c r="J8" i="1" s="1"/>
  <c r="I56" i="54"/>
  <c r="F77" i="54"/>
  <c r="V122" i="54"/>
  <c r="R122" i="54"/>
  <c r="W122" i="54"/>
  <c r="C203" i="54"/>
  <c r="Q142" i="54"/>
  <c r="AB197" i="54"/>
  <c r="T98" i="2"/>
  <c r="B16" i="29"/>
  <c r="D386" i="54"/>
  <c r="BV23" i="54"/>
  <c r="CL23" i="54"/>
  <c r="BR23" i="54"/>
  <c r="C387" i="54"/>
  <c r="BC24" i="54"/>
  <c r="BB24" i="54"/>
  <c r="T114" i="2"/>
  <c r="Z27" i="10"/>
  <c r="P128" i="54"/>
  <c r="J4" i="29"/>
  <c r="R4" i="29" s="1"/>
  <c r="S4" i="29" s="1"/>
  <c r="AQ22" i="54" s="1"/>
  <c r="U22" i="54"/>
  <c r="BY22" i="54" s="1"/>
  <c r="I6" i="29"/>
  <c r="P24" i="54"/>
  <c r="BZ24" i="54" s="1"/>
  <c r="E20" i="14"/>
  <c r="C388" i="54"/>
  <c r="BU25" i="54"/>
  <c r="BB25" i="54"/>
  <c r="BC25" i="54"/>
  <c r="H40" i="18"/>
  <c r="M16" i="29"/>
  <c r="AR21" i="54"/>
  <c r="BK22" i="54"/>
  <c r="BA23" i="54"/>
  <c r="G90" i="54" s="1"/>
  <c r="BO26" i="54"/>
  <c r="BK26" i="54"/>
  <c r="AS26" i="54"/>
  <c r="CC27" i="54"/>
  <c r="CO28" i="54"/>
  <c r="K44" i="54"/>
  <c r="L44" i="54" s="1"/>
  <c r="X29" i="54"/>
  <c r="BD29" i="54" s="1"/>
  <c r="U30" i="54"/>
  <c r="BY30" i="54" s="1"/>
  <c r="C242" i="54"/>
  <c r="I54" i="54"/>
  <c r="BP35" i="54"/>
  <c r="E301" i="54"/>
  <c r="L100" i="54"/>
  <c r="J199" i="54"/>
  <c r="U117" i="54"/>
  <c r="AN199" i="54" s="1"/>
  <c r="A331" i="54" s="1"/>
  <c r="F205" i="54"/>
  <c r="V125" i="54"/>
  <c r="U206" i="54"/>
  <c r="W159" i="54"/>
  <c r="Q173" i="54"/>
  <c r="BT31" i="54"/>
  <c r="B243" i="54"/>
  <c r="E241" i="54"/>
  <c r="H49" i="54"/>
  <c r="AY36" i="54"/>
  <c r="H88" i="54" s="1"/>
  <c r="F290" i="54" s="1"/>
  <c r="Q159" i="2" s="1"/>
  <c r="W113" i="54"/>
  <c r="V114" i="54"/>
  <c r="W137" i="54"/>
  <c r="V137" i="54"/>
  <c r="U138" i="54"/>
  <c r="AO211" i="54" s="1"/>
  <c r="H343" i="54" s="1"/>
  <c r="M327" i="54"/>
  <c r="M329" i="54"/>
  <c r="M330" i="54"/>
  <c r="R146" i="54"/>
  <c r="AQ200" i="54" s="1"/>
  <c r="U107" i="1" s="1"/>
  <c r="W146" i="54"/>
  <c r="V146" i="54"/>
  <c r="V153" i="54"/>
  <c r="O209" i="54"/>
  <c r="R155" i="54"/>
  <c r="AQ209" i="54" s="1"/>
  <c r="U116" i="1" s="1"/>
  <c r="V155" i="54"/>
  <c r="R158" i="54"/>
  <c r="W189" i="54"/>
  <c r="V186" i="54"/>
  <c r="I45" i="54"/>
  <c r="BL35" i="54"/>
  <c r="I101" i="54" s="1"/>
  <c r="G305" i="54" s="1"/>
  <c r="S174" i="2" s="1"/>
  <c r="AW35" i="54"/>
  <c r="I86" i="54" s="1"/>
  <c r="G287" i="54" s="1"/>
  <c r="S156" i="2" s="1"/>
  <c r="E239" i="54"/>
  <c r="AR36" i="54"/>
  <c r="H81" i="54" s="1"/>
  <c r="F279" i="54" s="1"/>
  <c r="V124" i="54"/>
  <c r="W124" i="54"/>
  <c r="O197" i="54"/>
  <c r="V143" i="54"/>
  <c r="W143" i="54"/>
  <c r="W152" i="54"/>
  <c r="V152" i="54"/>
  <c r="W181" i="54"/>
  <c r="V181" i="54"/>
  <c r="R181" i="54"/>
  <c r="D203" i="54"/>
  <c r="G45" i="54"/>
  <c r="BH21" i="54"/>
  <c r="G97" i="54" s="1"/>
  <c r="BP22" i="54"/>
  <c r="BQ22" i="54" s="1"/>
  <c r="CJ22" i="54" s="1"/>
  <c r="CA22" i="54"/>
  <c r="E391" i="54"/>
  <c r="BW28" i="54"/>
  <c r="AS28" i="54"/>
  <c r="K82" i="54" s="1"/>
  <c r="BH30" i="54"/>
  <c r="AR30" i="54"/>
  <c r="CI30" i="54" s="1"/>
  <c r="BC31" i="54"/>
  <c r="BH32" i="54"/>
  <c r="CC32" i="54"/>
  <c r="B239" i="54"/>
  <c r="BC34" i="54"/>
  <c r="M92" i="54" s="1"/>
  <c r="M51" i="54"/>
  <c r="AZ35" i="54"/>
  <c r="I89" i="54" s="1"/>
  <c r="G291" i="54" s="1"/>
  <c r="S160" i="2" s="1"/>
  <c r="K48" i="54"/>
  <c r="L48" i="54" s="1"/>
  <c r="C194" i="54"/>
  <c r="B215" i="54" s="1"/>
  <c r="D215" i="54" s="1"/>
  <c r="W112" i="54"/>
  <c r="V118" i="54"/>
  <c r="V129" i="54"/>
  <c r="V141" i="54"/>
  <c r="V144" i="54"/>
  <c r="W158" i="54"/>
  <c r="V158" i="54"/>
  <c r="W188" i="54"/>
  <c r="V188" i="54"/>
  <c r="C199" i="54"/>
  <c r="V117" i="54"/>
  <c r="R124" i="54"/>
  <c r="W125" i="54"/>
  <c r="W129" i="54"/>
  <c r="R143" i="54"/>
  <c r="AQ197" i="54" s="1"/>
  <c r="U104" i="1" s="1"/>
  <c r="W144" i="54"/>
  <c r="O201" i="54"/>
  <c r="V147" i="54"/>
  <c r="R147" i="54"/>
  <c r="AQ201" i="54" s="1"/>
  <c r="U108" i="1" s="1"/>
  <c r="W149" i="54"/>
  <c r="W153" i="54"/>
  <c r="R165" i="54"/>
  <c r="W166" i="54"/>
  <c r="W171" i="54"/>
  <c r="V171" i="54"/>
  <c r="V183" i="54"/>
  <c r="R183" i="54"/>
  <c r="R188" i="54"/>
  <c r="CP26" i="54"/>
  <c r="CP21" i="54"/>
  <c r="CP31" i="54"/>
  <c r="CP29" i="54"/>
  <c r="D384" i="54"/>
  <c r="AW21" i="54"/>
  <c r="G86" i="54" s="1"/>
  <c r="G79" i="54"/>
  <c r="CP24" i="54"/>
  <c r="BQ25" i="54"/>
  <c r="CJ25" i="54" s="1"/>
  <c r="BR28" i="54"/>
  <c r="F107" i="54" s="1"/>
  <c r="J107" i="54" s="1"/>
  <c r="CP28" i="54"/>
  <c r="D393" i="54"/>
  <c r="BV30" i="54"/>
  <c r="BM34" i="54"/>
  <c r="M102" i="54" s="1"/>
  <c r="C243" i="54"/>
  <c r="AX35" i="54"/>
  <c r="I87" i="54" s="1"/>
  <c r="G288" i="54" s="1"/>
  <c r="S157" i="2" s="1"/>
  <c r="BB35" i="54"/>
  <c r="I91" i="54" s="1"/>
  <c r="G292" i="54" s="1"/>
  <c r="S161" i="2" s="1"/>
  <c r="M48" i="54"/>
  <c r="R112" i="54"/>
  <c r="AP194" i="54" s="1"/>
  <c r="V113" i="54"/>
  <c r="D197" i="54"/>
  <c r="R115" i="54"/>
  <c r="AP197" i="54" s="1"/>
  <c r="S104" i="1" s="1"/>
  <c r="R141" i="54"/>
  <c r="AQ195" i="54" s="1"/>
  <c r="U102" i="1" s="1"/>
  <c r="W147" i="54"/>
  <c r="V151" i="54"/>
  <c r="E384" i="54"/>
  <c r="AX21" i="54"/>
  <c r="G87" i="54" s="1"/>
  <c r="BW21" i="54"/>
  <c r="BO21" i="54"/>
  <c r="G104" i="54" s="1"/>
  <c r="BI22" i="54"/>
  <c r="D389" i="54"/>
  <c r="AW26" i="54"/>
  <c r="BI27" i="54"/>
  <c r="B391" i="54"/>
  <c r="AR28" i="54"/>
  <c r="CI28" i="54" s="1"/>
  <c r="AZ28" i="54"/>
  <c r="K89" i="54" s="1"/>
  <c r="BT28" i="54"/>
  <c r="BN34" i="54"/>
  <c r="M103" i="54" s="1"/>
  <c r="BL36" i="54"/>
  <c r="H101" i="54" s="1"/>
  <c r="F305" i="54" s="1"/>
  <c r="Q174" i="2" s="1"/>
  <c r="G47" i="54"/>
  <c r="M73" i="54"/>
  <c r="V115" i="54"/>
  <c r="C201" i="54"/>
  <c r="V119" i="54"/>
  <c r="W119" i="54"/>
  <c r="C204" i="54"/>
  <c r="W123" i="54"/>
  <c r="V123" i="54"/>
  <c r="R128" i="54"/>
  <c r="AP207" i="54" s="1"/>
  <c r="S114" i="1" s="1"/>
  <c r="W128" i="54"/>
  <c r="W151" i="54"/>
  <c r="CP25" i="54"/>
  <c r="E389" i="54"/>
  <c r="AX26" i="54"/>
  <c r="BW26" i="54"/>
  <c r="BH28" i="54"/>
  <c r="BL28" i="54"/>
  <c r="E101" i="54" s="1"/>
  <c r="BA28" i="54"/>
  <c r="E90" i="54" s="1"/>
  <c r="AY29" i="54"/>
  <c r="BO30" i="54"/>
  <c r="BD35" i="54"/>
  <c r="I93" i="54" s="1"/>
  <c r="G294" i="54" s="1"/>
  <c r="S163" i="2" s="1"/>
  <c r="BM36" i="54"/>
  <c r="H102" i="54" s="1"/>
  <c r="F307" i="54" s="1"/>
  <c r="Q176" i="2" s="1"/>
  <c r="H51" i="54"/>
  <c r="W115" i="54"/>
  <c r="R117" i="54"/>
  <c r="AP199" i="54" s="1"/>
  <c r="S106" i="1" s="1"/>
  <c r="V139" i="54"/>
  <c r="W141" i="54"/>
  <c r="U143" i="54"/>
  <c r="AO197" i="54" s="1"/>
  <c r="H329" i="54" s="1"/>
  <c r="V156" i="54"/>
  <c r="J359" i="54"/>
  <c r="J356" i="54"/>
  <c r="K363" i="54"/>
  <c r="J357" i="54"/>
  <c r="D195" i="54"/>
  <c r="AS21" i="54"/>
  <c r="G82" i="54" s="1"/>
  <c r="AV23" i="54"/>
  <c r="BH24" i="54"/>
  <c r="BH25" i="54"/>
  <c r="AY26" i="54"/>
  <c r="AW30" i="54"/>
  <c r="BP30" i="54"/>
  <c r="BQ30" i="54" s="1"/>
  <c r="CJ30" i="54" s="1"/>
  <c r="AR31" i="54"/>
  <c r="CI31" i="54" s="1"/>
  <c r="BL31" i="54"/>
  <c r="C395" i="54"/>
  <c r="BU32" i="54"/>
  <c r="BC32" i="54"/>
  <c r="I43" i="54"/>
  <c r="K45" i="54"/>
  <c r="L45" i="54" s="1"/>
  <c r="V112" i="54"/>
  <c r="R119" i="54"/>
  <c r="AP201" i="54" s="1"/>
  <c r="S108" i="1" s="1"/>
  <c r="U126" i="54"/>
  <c r="AN206" i="54" s="1"/>
  <c r="A338" i="54" s="1"/>
  <c r="D210" i="54"/>
  <c r="W130" i="54"/>
  <c r="V130" i="54"/>
  <c r="R130" i="54"/>
  <c r="AP210" i="54" s="1"/>
  <c r="S117" i="1" s="1"/>
  <c r="W136" i="54"/>
  <c r="V136" i="54"/>
  <c r="R136" i="54"/>
  <c r="P211" i="54"/>
  <c r="V138" i="54"/>
  <c r="P204" i="54"/>
  <c r="W150" i="54"/>
  <c r="V150" i="54"/>
  <c r="R156" i="54"/>
  <c r="V159" i="54"/>
  <c r="V174" i="54"/>
  <c r="R175" i="54"/>
  <c r="W175" i="54"/>
  <c r="R180" i="54"/>
  <c r="C222" i="54"/>
  <c r="E222" i="54" s="1"/>
  <c r="E394" i="54"/>
  <c r="AX31" i="54"/>
  <c r="AS31" i="54"/>
  <c r="BP31" i="54"/>
  <c r="BQ31" i="54" s="1"/>
  <c r="CJ31" i="54" s="1"/>
  <c r="BD34" i="54"/>
  <c r="M93" i="54" s="1"/>
  <c r="BB34" i="54"/>
  <c r="M91" i="54" s="1"/>
  <c r="BO34" i="54"/>
  <c r="M104" i="54" s="1"/>
  <c r="BR34" i="54"/>
  <c r="M107" i="54" s="1"/>
  <c r="AX34" i="54"/>
  <c r="M87" i="54" s="1"/>
  <c r="C244" i="54"/>
  <c r="BI35" i="54"/>
  <c r="I98" i="54" s="1"/>
  <c r="G300" i="54" s="1"/>
  <c r="S169" i="2" s="1"/>
  <c r="BC36" i="54"/>
  <c r="H92" i="54" s="1"/>
  <c r="F293" i="54" s="1"/>
  <c r="Q162" i="2" s="1"/>
  <c r="W117" i="54"/>
  <c r="M202" i="54"/>
  <c r="R123" i="54"/>
  <c r="AP204" i="54" s="1"/>
  <c r="S111" i="1" s="1"/>
  <c r="R138" i="54"/>
  <c r="AQ211" i="54" s="1"/>
  <c r="U118" i="1" s="1"/>
  <c r="R150" i="54"/>
  <c r="AQ204" i="54" s="1"/>
  <c r="U111" i="1" s="1"/>
  <c r="O200" i="54"/>
  <c r="X23" i="54"/>
  <c r="BD23" i="54" s="1"/>
  <c r="L5" i="29"/>
  <c r="R5" i="29" s="1"/>
  <c r="S5" i="29" s="1"/>
  <c r="AQ23" i="54" s="1"/>
  <c r="C385" i="54"/>
  <c r="BC22" i="54"/>
  <c r="BB22" i="54"/>
  <c r="D40" i="18"/>
  <c r="AN29" i="54"/>
  <c r="CE29" i="54" s="1"/>
  <c r="O11" i="29"/>
  <c r="B224" i="54"/>
  <c r="D224" i="54" s="1"/>
  <c r="B218" i="54"/>
  <c r="D218" i="54" s="1"/>
  <c r="C223" i="54"/>
  <c r="E223" i="54" s="1"/>
  <c r="B223" i="54"/>
  <c r="D223" i="54" s="1"/>
  <c r="B226" i="54"/>
  <c r="D226" i="54" s="1"/>
  <c r="C216" i="54"/>
  <c r="E216" i="54" s="1"/>
  <c r="C221" i="54"/>
  <c r="E221" i="54" s="1"/>
  <c r="B216" i="54"/>
  <c r="D216" i="54" s="1"/>
  <c r="C225" i="54"/>
  <c r="E225" i="54" s="1"/>
  <c r="C218" i="54"/>
  <c r="E218" i="54" s="1"/>
  <c r="C217" i="54"/>
  <c r="E217" i="54" s="1"/>
  <c r="C220" i="54"/>
  <c r="E220" i="54" s="1"/>
  <c r="AY22" i="54"/>
  <c r="AS25" i="54"/>
  <c r="B389" i="54"/>
  <c r="B6" i="54"/>
  <c r="BR26" i="54"/>
  <c r="AV28" i="54"/>
  <c r="K85" i="54" s="1"/>
  <c r="BP29" i="54"/>
  <c r="BQ29" i="54" s="1"/>
  <c r="CJ29" i="54" s="1"/>
  <c r="CB31" i="54"/>
  <c r="AY31" i="54"/>
  <c r="AW32" i="54"/>
  <c r="E238" i="54"/>
  <c r="BR36" i="54"/>
  <c r="H107" i="54" s="1"/>
  <c r="F309" i="54" s="1"/>
  <c r="Q178" i="2" s="1"/>
  <c r="H62" i="54"/>
  <c r="AW36" i="54"/>
  <c r="H86" i="54" s="1"/>
  <c r="F287" i="54" s="1"/>
  <c r="M45" i="54"/>
  <c r="R116" i="54"/>
  <c r="AP198" i="54" s="1"/>
  <c r="S105" i="1" s="1"/>
  <c r="W116" i="54"/>
  <c r="C198" i="54"/>
  <c r="V116" i="54"/>
  <c r="V128" i="54"/>
  <c r="W173" i="54"/>
  <c r="V173" i="54"/>
  <c r="V175" i="54"/>
  <c r="V185" i="54"/>
  <c r="R185" i="54"/>
  <c r="U184" i="54"/>
  <c r="A358" i="54" s="1"/>
  <c r="U189" i="54"/>
  <c r="A363" i="54" s="1"/>
  <c r="U182" i="54"/>
  <c r="A356" i="54" s="1"/>
  <c r="U172" i="54"/>
  <c r="H361" i="54" s="1"/>
  <c r="J361" i="54" s="1"/>
  <c r="U187" i="54"/>
  <c r="A361" i="54" s="1"/>
  <c r="U130" i="54"/>
  <c r="AN210" i="54" s="1"/>
  <c r="A342" i="54" s="1"/>
  <c r="U118" i="54"/>
  <c r="AN200" i="54" s="1"/>
  <c r="A332" i="54" s="1"/>
  <c r="U170" i="54"/>
  <c r="H359" i="54" s="1"/>
  <c r="U167" i="54"/>
  <c r="H356" i="54" s="1"/>
  <c r="U160" i="54"/>
  <c r="AO210" i="54" s="1"/>
  <c r="H342" i="54" s="1"/>
  <c r="U153" i="54"/>
  <c r="U147" i="54"/>
  <c r="AO201" i="54" s="1"/>
  <c r="H333" i="54" s="1"/>
  <c r="U141" i="54"/>
  <c r="AO195" i="54" s="1"/>
  <c r="H327" i="54" s="1"/>
  <c r="K326" i="54" s="1"/>
  <c r="U131" i="54"/>
  <c r="AN211" i="54" s="1"/>
  <c r="A343" i="54" s="1"/>
  <c r="U119" i="54"/>
  <c r="AN201" i="54" s="1"/>
  <c r="A333" i="54" s="1"/>
  <c r="U152" i="54"/>
  <c r="K105" i="54"/>
  <c r="K101" i="54"/>
  <c r="K97" i="54"/>
  <c r="K90" i="54"/>
  <c r="K86" i="54"/>
  <c r="K81" i="54"/>
  <c r="K77" i="54"/>
  <c r="U186" i="54"/>
  <c r="A360" i="54" s="1"/>
  <c r="U183" i="54"/>
  <c r="A357" i="54" s="1"/>
  <c r="U180" i="54"/>
  <c r="A354" i="54" s="1"/>
  <c r="U156" i="54"/>
  <c r="U149" i="54"/>
  <c r="AO203" i="54" s="1"/>
  <c r="H335" i="54" s="1"/>
  <c r="U146" i="54"/>
  <c r="AO200" i="54" s="1"/>
  <c r="H332" i="54" s="1"/>
  <c r="K334" i="54" s="1"/>
  <c r="U128" i="54"/>
  <c r="AN207" i="54" s="1"/>
  <c r="A339" i="54" s="1"/>
  <c r="U123" i="54"/>
  <c r="AN204" i="54" s="1"/>
  <c r="A336" i="54" s="1"/>
  <c r="BN22" i="54"/>
  <c r="BT23" i="54"/>
  <c r="AB31" i="54"/>
  <c r="U32" i="54"/>
  <c r="BY32" i="54" s="1"/>
  <c r="BA32" i="54"/>
  <c r="C238" i="54"/>
  <c r="E242" i="54"/>
  <c r="BP36" i="54"/>
  <c r="K43" i="54"/>
  <c r="L43" i="54" s="1"/>
  <c r="K47" i="54"/>
  <c r="L47" i="54" s="1"/>
  <c r="K51" i="54"/>
  <c r="L51" i="54" s="1"/>
  <c r="H54" i="54"/>
  <c r="K55" i="54"/>
  <c r="L55" i="54" s="1"/>
  <c r="K59" i="54"/>
  <c r="L59" i="54" s="1"/>
  <c r="K63" i="54"/>
  <c r="L63" i="54" s="1"/>
  <c r="K74" i="54"/>
  <c r="L74" i="54" s="1"/>
  <c r="U112" i="54"/>
  <c r="AN194" i="54" s="1"/>
  <c r="A326" i="54" s="1"/>
  <c r="U120" i="54"/>
  <c r="U127" i="54"/>
  <c r="AN208" i="54" s="1"/>
  <c r="A340" i="54" s="1"/>
  <c r="O196" i="54"/>
  <c r="C215" i="54" s="1"/>
  <c r="E215" i="54" s="1"/>
  <c r="W142" i="54"/>
  <c r="V142" i="54"/>
  <c r="R142" i="54"/>
  <c r="AQ196" i="54" s="1"/>
  <c r="U103" i="1" s="1"/>
  <c r="V160" i="54"/>
  <c r="W160" i="54"/>
  <c r="R160" i="54"/>
  <c r="AQ210" i="54" s="1"/>
  <c r="U117" i="1" s="1"/>
  <c r="U166" i="54"/>
  <c r="H355" i="54" s="1"/>
  <c r="K355" i="54" s="1"/>
  <c r="U188" i="54"/>
  <c r="A362" i="54" s="1"/>
  <c r="N15" i="29"/>
  <c r="BL21" i="54"/>
  <c r="BL26" i="54"/>
  <c r="B244" i="54"/>
  <c r="C241" i="54"/>
  <c r="K99" i="54"/>
  <c r="K107" i="54"/>
  <c r="W118" i="54"/>
  <c r="F203" i="54"/>
  <c r="O203" i="54"/>
  <c r="V149" i="54"/>
  <c r="U150" i="54"/>
  <c r="AO204" i="54" s="1"/>
  <c r="H336" i="54" s="1"/>
  <c r="U181" i="54"/>
  <c r="A355" i="54" s="1"/>
  <c r="W184" i="54"/>
  <c r="U185" i="54"/>
  <c r="A359" i="54" s="1"/>
  <c r="B14" i="54"/>
  <c r="H4" i="2" s="1"/>
  <c r="BD36" i="54"/>
  <c r="H93" i="54" s="1"/>
  <c r="F294" i="54" s="1"/>
  <c r="Q163" i="2" s="1"/>
  <c r="K42" i="54"/>
  <c r="L42" i="54" s="1"/>
  <c r="K50" i="54"/>
  <c r="L50" i="54" s="1"/>
  <c r="K54" i="54"/>
  <c r="L54" i="54" s="1"/>
  <c r="K58" i="54"/>
  <c r="K62" i="54"/>
  <c r="L62" i="54" s="1"/>
  <c r="K73" i="54"/>
  <c r="L73" i="54" s="1"/>
  <c r="K104" i="54"/>
  <c r="C196" i="54"/>
  <c r="R114" i="54"/>
  <c r="AP196" i="54" s="1"/>
  <c r="S103" i="1" s="1"/>
  <c r="W121" i="54"/>
  <c r="R121" i="54"/>
  <c r="G203" i="54"/>
  <c r="R129" i="54"/>
  <c r="AP209" i="54" s="1"/>
  <c r="S116" i="1" s="1"/>
  <c r="U142" i="54"/>
  <c r="AO196" i="54" s="1"/>
  <c r="H328" i="54" s="1"/>
  <c r="R154" i="54"/>
  <c r="AQ207" i="54" s="1"/>
  <c r="U114" i="1" s="1"/>
  <c r="W165" i="54"/>
  <c r="U169" i="54"/>
  <c r="H358" i="54" s="1"/>
  <c r="K359" i="54" s="1"/>
  <c r="U174" i="54"/>
  <c r="H363" i="54" s="1"/>
  <c r="P5" i="29"/>
  <c r="BV25" i="54"/>
  <c r="BW30" i="54"/>
  <c r="B242" i="54"/>
  <c r="C239" i="54"/>
  <c r="AY35" i="54"/>
  <c r="I88" i="54" s="1"/>
  <c r="G290" i="54" s="1"/>
  <c r="S159" i="2" s="1"/>
  <c r="I49" i="54"/>
  <c r="U115" i="54"/>
  <c r="AN197" i="54" s="1"/>
  <c r="A329" i="54" s="1"/>
  <c r="U122" i="54"/>
  <c r="AN203" i="54" s="1"/>
  <c r="A335" i="54" s="1"/>
  <c r="U129" i="54"/>
  <c r="AN209" i="54" s="1"/>
  <c r="A341" i="54" s="1"/>
  <c r="U145" i="54"/>
  <c r="AO199" i="54" s="1"/>
  <c r="H331" i="54" s="1"/>
  <c r="J333" i="54" s="1"/>
  <c r="R149" i="54"/>
  <c r="AQ203" i="54" s="1"/>
  <c r="U110" i="1" s="1"/>
  <c r="V167" i="54"/>
  <c r="V168" i="54"/>
  <c r="W120" i="54"/>
  <c r="C202" i="54"/>
  <c r="V120" i="54"/>
  <c r="H203" i="54"/>
  <c r="B220" i="54" s="1"/>
  <c r="D220" i="54" s="1"/>
  <c r="R139" i="54"/>
  <c r="W148" i="54"/>
  <c r="V148" i="54"/>
  <c r="R152" i="54"/>
  <c r="R168" i="54"/>
  <c r="V170" i="54"/>
  <c r="R186" i="54"/>
  <c r="E202" i="54"/>
  <c r="B217" i="54" s="1"/>
  <c r="D217" i="54" s="1"/>
  <c r="J203" i="54"/>
  <c r="R148" i="54"/>
  <c r="AQ202" i="54" s="1"/>
  <c r="U109" i="1" s="1"/>
  <c r="O207" i="54"/>
  <c r="W154" i="54"/>
  <c r="V154" i="54"/>
  <c r="O206" i="54"/>
  <c r="R159" i="54"/>
  <c r="AQ206" i="54" s="1"/>
  <c r="U113" i="1" s="1"/>
  <c r="R170" i="54"/>
  <c r="R174" i="54"/>
  <c r="W169" i="54"/>
  <c r="W172" i="54"/>
  <c r="V172" i="54"/>
  <c r="R184" i="54"/>
  <c r="V189" i="54"/>
  <c r="R189" i="54"/>
  <c r="L203" i="54"/>
  <c r="W182" i="54"/>
  <c r="V182" i="54"/>
  <c r="W187" i="54"/>
  <c r="V187" i="54"/>
  <c r="K202" i="54"/>
  <c r="M203" i="54"/>
  <c r="B225" i="54" s="1"/>
  <c r="D225" i="54" s="1"/>
  <c r="R145" i="54"/>
  <c r="AQ199" i="54" s="1"/>
  <c r="U106" i="1" s="1"/>
  <c r="R151" i="54"/>
  <c r="AQ205" i="54" s="1"/>
  <c r="U112" i="1" s="1"/>
  <c r="R169" i="54"/>
  <c r="R172" i="54"/>
  <c r="W180" i="54"/>
  <c r="V180" i="54"/>
  <c r="R182" i="54"/>
  <c r="W185" i="54"/>
  <c r="R187" i="54"/>
  <c r="F80" i="54" l="1"/>
  <c r="K80" i="54"/>
  <c r="L80" i="54" s="1"/>
  <c r="E80" i="54"/>
  <c r="R6" i="29"/>
  <c r="S6" i="29" s="1"/>
  <c r="AQ24" i="54" s="1"/>
  <c r="J129" i="1"/>
  <c r="L129" i="1"/>
  <c r="R15" i="29"/>
  <c r="AQ21" i="54"/>
  <c r="E305" i="54"/>
  <c r="L101" i="54"/>
  <c r="A265" i="54"/>
  <c r="S128" i="54"/>
  <c r="AA207" i="54"/>
  <c r="T128" i="54"/>
  <c r="E88" i="54"/>
  <c r="G61" i="54"/>
  <c r="V135" i="2"/>
  <c r="R135" i="2"/>
  <c r="X135" i="2"/>
  <c r="BX28" i="54"/>
  <c r="E46" i="54"/>
  <c r="M335" i="54"/>
  <c r="V142" i="2"/>
  <c r="X142" i="2"/>
  <c r="R142" i="2"/>
  <c r="V105" i="2"/>
  <c r="X105" i="2"/>
  <c r="R105" i="2"/>
  <c r="K258" i="54"/>
  <c r="T174" i="54"/>
  <c r="S174" i="54"/>
  <c r="AB194" i="54"/>
  <c r="T95" i="2"/>
  <c r="K53" i="54"/>
  <c r="BZ28" i="54"/>
  <c r="F53" i="54"/>
  <c r="P250" i="54"/>
  <c r="T181" i="54"/>
  <c r="CK22" i="54"/>
  <c r="AT22" i="54"/>
  <c r="D361" i="54"/>
  <c r="D358" i="54"/>
  <c r="D355" i="54"/>
  <c r="C361" i="54"/>
  <c r="C358" i="54"/>
  <c r="C355" i="54"/>
  <c r="D360" i="54"/>
  <c r="D362" i="54"/>
  <c r="C360" i="54"/>
  <c r="C362" i="54"/>
  <c r="D357" i="54"/>
  <c r="C356" i="54"/>
  <c r="C357" i="54"/>
  <c r="D356" i="54"/>
  <c r="D359" i="54"/>
  <c r="E359" i="54" s="1"/>
  <c r="C359" i="54"/>
  <c r="D354" i="54"/>
  <c r="D363" i="54"/>
  <c r="C363" i="54"/>
  <c r="C354" i="54"/>
  <c r="M332" i="54"/>
  <c r="BD28" i="54"/>
  <c r="K61" i="54"/>
  <c r="L61" i="54" s="1"/>
  <c r="K362" i="54"/>
  <c r="L362" i="54" s="1"/>
  <c r="V106" i="2"/>
  <c r="R106" i="2"/>
  <c r="X106" i="2"/>
  <c r="X141" i="2"/>
  <c r="V141" i="2"/>
  <c r="R141" i="2"/>
  <c r="A257" i="54"/>
  <c r="AA202" i="54"/>
  <c r="T120" i="54"/>
  <c r="S120" i="54"/>
  <c r="W7" i="10"/>
  <c r="E302" i="54"/>
  <c r="L99" i="54"/>
  <c r="S101" i="1"/>
  <c r="S119" i="1"/>
  <c r="AD196" i="54"/>
  <c r="T142" i="54"/>
  <c r="F255" i="54"/>
  <c r="S142" i="54"/>
  <c r="A256" i="54"/>
  <c r="T119" i="54"/>
  <c r="S119" i="54"/>
  <c r="AA201" i="54"/>
  <c r="K249" i="54"/>
  <c r="T165" i="54"/>
  <c r="S165" i="54"/>
  <c r="P253" i="54"/>
  <c r="T184" i="54"/>
  <c r="H300" i="54"/>
  <c r="K300" i="54"/>
  <c r="O169" i="2"/>
  <c r="T26" i="2"/>
  <c r="AB204" i="54"/>
  <c r="T106" i="2"/>
  <c r="J334" i="54"/>
  <c r="K332" i="54"/>
  <c r="L332" i="54" s="1"/>
  <c r="G105" i="54"/>
  <c r="J58" i="54"/>
  <c r="V9" i="1"/>
  <c r="L124" i="1"/>
  <c r="J124" i="1"/>
  <c r="V8" i="1"/>
  <c r="AD211" i="54"/>
  <c r="F251" i="54"/>
  <c r="S138" i="54"/>
  <c r="T138" i="54"/>
  <c r="T140" i="54"/>
  <c r="S140" i="54"/>
  <c r="AD194" i="54"/>
  <c r="F253" i="54"/>
  <c r="P255" i="54"/>
  <c r="T186" i="54"/>
  <c r="K256" i="54"/>
  <c r="T172" i="54"/>
  <c r="S172" i="54"/>
  <c r="G85" i="54"/>
  <c r="G91" i="54"/>
  <c r="J364" i="54"/>
  <c r="V136" i="2"/>
  <c r="X136" i="2"/>
  <c r="R136" i="2"/>
  <c r="J327" i="54"/>
  <c r="AP203" i="54"/>
  <c r="S110" i="1" s="1"/>
  <c r="X110" i="2"/>
  <c r="V110" i="2"/>
  <c r="R110" i="2"/>
  <c r="AD195" i="54"/>
  <c r="F254" i="54"/>
  <c r="T141" i="54"/>
  <c r="S141" i="54"/>
  <c r="A258" i="54"/>
  <c r="T121" i="54"/>
  <c r="S121" i="54"/>
  <c r="J126" i="1"/>
  <c r="L127" i="1"/>
  <c r="L126" i="1"/>
  <c r="B2" i="2"/>
  <c r="B2" i="1"/>
  <c r="J127" i="1"/>
  <c r="G46" i="54"/>
  <c r="A253" i="54"/>
  <c r="AA198" i="54"/>
  <c r="T116" i="54"/>
  <c r="S116" i="54"/>
  <c r="P256" i="54"/>
  <c r="T187" i="54"/>
  <c r="X128" i="2"/>
  <c r="V128" i="2"/>
  <c r="R128" i="2"/>
  <c r="N125" i="1"/>
  <c r="G101" i="54"/>
  <c r="J358" i="54"/>
  <c r="E291" i="54"/>
  <c r="L89" i="54"/>
  <c r="J331" i="54"/>
  <c r="X107" i="2"/>
  <c r="R107" i="2"/>
  <c r="V107" i="2"/>
  <c r="J330" i="54"/>
  <c r="K327" i="54"/>
  <c r="X120" i="2"/>
  <c r="R120" i="2"/>
  <c r="V120" i="2"/>
  <c r="J77" i="54"/>
  <c r="L125" i="1"/>
  <c r="J125" i="1"/>
  <c r="R12" i="1"/>
  <c r="R13" i="1" s="1"/>
  <c r="P16" i="29"/>
  <c r="P15" i="29"/>
  <c r="T146" i="54"/>
  <c r="S146" i="54"/>
  <c r="F259" i="54"/>
  <c r="AD200" i="54"/>
  <c r="J63" i="54"/>
  <c r="J133" i="1"/>
  <c r="L133" i="1"/>
  <c r="F85" i="54"/>
  <c r="J85" i="54" s="1"/>
  <c r="A266" i="54"/>
  <c r="T129" i="54"/>
  <c r="S129" i="54"/>
  <c r="AA209" i="54"/>
  <c r="A252" i="54"/>
  <c r="AA197" i="54"/>
  <c r="S115" i="54"/>
  <c r="T115" i="54"/>
  <c r="AA195" i="54"/>
  <c r="A250" i="54"/>
  <c r="T113" i="54"/>
  <c r="S113" i="54"/>
  <c r="AA206" i="54"/>
  <c r="T126" i="54"/>
  <c r="S126" i="54"/>
  <c r="A263" i="54"/>
  <c r="G58" i="54"/>
  <c r="C329" i="54"/>
  <c r="F331" i="54"/>
  <c r="D330" i="54"/>
  <c r="C330" i="54"/>
  <c r="F332" i="54"/>
  <c r="D331" i="54"/>
  <c r="C328" i="54"/>
  <c r="C334" i="54"/>
  <c r="D333" i="54"/>
  <c r="F327" i="54"/>
  <c r="C333" i="54"/>
  <c r="D327" i="54"/>
  <c r="F333" i="54"/>
  <c r="D332" i="54"/>
  <c r="F329" i="54"/>
  <c r="F328" i="54"/>
  <c r="C326" i="54"/>
  <c r="L29" i="2"/>
  <c r="Q156" i="2"/>
  <c r="K361" i="54"/>
  <c r="J335" i="54"/>
  <c r="M328" i="54"/>
  <c r="R114" i="2"/>
  <c r="X114" i="2"/>
  <c r="V114" i="2"/>
  <c r="F266" i="54"/>
  <c r="T153" i="54"/>
  <c r="S153" i="54"/>
  <c r="AA199" i="54"/>
  <c r="A254" i="54"/>
  <c r="T117" i="54"/>
  <c r="S117" i="54"/>
  <c r="J13" i="1"/>
  <c r="T136" i="54"/>
  <c r="S136" i="54"/>
  <c r="F249" i="54"/>
  <c r="F92" i="54"/>
  <c r="J92" i="54" s="1"/>
  <c r="F82" i="54"/>
  <c r="J82" i="54" s="1"/>
  <c r="K252" i="54"/>
  <c r="T168" i="54"/>
  <c r="S168" i="54"/>
  <c r="K250" i="54"/>
  <c r="T166" i="54"/>
  <c r="S166" i="54"/>
  <c r="J288" i="54"/>
  <c r="W157" i="2" s="1"/>
  <c r="U157" i="2"/>
  <c r="P28" i="2"/>
  <c r="L16" i="29"/>
  <c r="B233" i="54"/>
  <c r="E281" i="54"/>
  <c r="L58" i="54"/>
  <c r="E303" i="54"/>
  <c r="L77" i="54"/>
  <c r="J355" i="54"/>
  <c r="K364" i="54"/>
  <c r="R130" i="2"/>
  <c r="X130" i="2"/>
  <c r="V130" i="2"/>
  <c r="Q148" i="2"/>
  <c r="B29" i="2"/>
  <c r="K330" i="54"/>
  <c r="K333" i="54"/>
  <c r="V96" i="2"/>
  <c r="R96" i="2"/>
  <c r="X96" i="2"/>
  <c r="J9" i="1"/>
  <c r="AD209" i="54"/>
  <c r="F268" i="54"/>
  <c r="T155" i="54"/>
  <c r="S155" i="54"/>
  <c r="A261" i="54"/>
  <c r="T124" i="54"/>
  <c r="S124" i="54"/>
  <c r="J51" i="54"/>
  <c r="N9" i="1" s="1"/>
  <c r="AD206" i="54"/>
  <c r="T159" i="54"/>
  <c r="S159" i="54"/>
  <c r="F272" i="54"/>
  <c r="AD201" i="54"/>
  <c r="F260" i="54"/>
  <c r="T147" i="54"/>
  <c r="S147" i="54"/>
  <c r="F103" i="54"/>
  <c r="J103" i="54" s="1"/>
  <c r="E86" i="54"/>
  <c r="F261" i="54"/>
  <c r="AD202" i="54"/>
  <c r="T148" i="54"/>
  <c r="S148" i="54"/>
  <c r="P258" i="54"/>
  <c r="T189" i="54"/>
  <c r="P249" i="54"/>
  <c r="T180" i="54"/>
  <c r="J15" i="29"/>
  <c r="R129" i="2"/>
  <c r="X129" i="2"/>
  <c r="V129" i="2"/>
  <c r="K335" i="54"/>
  <c r="M334" i="54"/>
  <c r="BR22" i="54"/>
  <c r="G107" i="54" s="1"/>
  <c r="CL22" i="54"/>
  <c r="T160" i="54"/>
  <c r="AD210" i="54"/>
  <c r="S160" i="54"/>
  <c r="F273" i="54"/>
  <c r="F256" i="54"/>
  <c r="T143" i="54"/>
  <c r="S143" i="54"/>
  <c r="AD197" i="54"/>
  <c r="J55" i="54"/>
  <c r="R9" i="1"/>
  <c r="F61" i="54"/>
  <c r="J61" i="54" s="1"/>
  <c r="E85" i="54"/>
  <c r="AA210" i="54"/>
  <c r="T130" i="54"/>
  <c r="A267" i="54"/>
  <c r="S130" i="54"/>
  <c r="F267" i="54"/>
  <c r="AD207" i="54"/>
  <c r="S154" i="54"/>
  <c r="T154" i="54"/>
  <c r="AD203" i="54"/>
  <c r="F262" i="54"/>
  <c r="T149" i="54"/>
  <c r="S149" i="54"/>
  <c r="A251" i="54"/>
  <c r="AA196" i="54"/>
  <c r="T114" i="54"/>
  <c r="S114" i="54"/>
  <c r="F265" i="54"/>
  <c r="T152" i="54"/>
  <c r="S152" i="54"/>
  <c r="A264" i="54"/>
  <c r="AA208" i="54"/>
  <c r="T127" i="54"/>
  <c r="S127" i="54"/>
  <c r="P254" i="54"/>
  <c r="T185" i="54"/>
  <c r="X123" i="2"/>
  <c r="V123" i="2"/>
  <c r="R123" i="2"/>
  <c r="J86" i="54"/>
  <c r="AT30" i="54"/>
  <c r="CK30" i="54"/>
  <c r="F29" i="2"/>
  <c r="Q151" i="2"/>
  <c r="T137" i="54"/>
  <c r="V98" i="2"/>
  <c r="R98" i="2"/>
  <c r="X98" i="2"/>
  <c r="K257" i="54"/>
  <c r="T173" i="54"/>
  <c r="S173" i="54"/>
  <c r="AN24" i="54"/>
  <c r="CE24" i="54" s="1"/>
  <c r="O6" i="29"/>
  <c r="E20" i="25"/>
  <c r="R125" i="2"/>
  <c r="X125" i="2"/>
  <c r="V125" i="2"/>
  <c r="V113" i="2"/>
  <c r="R113" i="2"/>
  <c r="X113" i="2"/>
  <c r="J362" i="54"/>
  <c r="V134" i="2"/>
  <c r="R134" i="2"/>
  <c r="X134" i="2"/>
  <c r="R126" i="2"/>
  <c r="X126" i="2"/>
  <c r="V126" i="2"/>
  <c r="M326" i="54"/>
  <c r="M333" i="54"/>
  <c r="G106" i="54"/>
  <c r="F175" i="2" s="1"/>
  <c r="CJ21" i="54"/>
  <c r="A249" i="54"/>
  <c r="AA194" i="54"/>
  <c r="T112" i="54"/>
  <c r="S112" i="54"/>
  <c r="F263" i="54"/>
  <c r="AD204" i="54"/>
  <c r="S150" i="54"/>
  <c r="T150" i="54"/>
  <c r="BQ36" i="54"/>
  <c r="H106" i="54" s="1"/>
  <c r="F306" i="54" s="1"/>
  <c r="H105" i="54"/>
  <c r="J105" i="54" s="1"/>
  <c r="J329" i="54"/>
  <c r="G53" i="54"/>
  <c r="L131" i="1"/>
  <c r="J131" i="1"/>
  <c r="P251" i="54"/>
  <c r="T182" i="54"/>
  <c r="R103" i="2"/>
  <c r="X103" i="2"/>
  <c r="V103" i="2"/>
  <c r="K356" i="54"/>
  <c r="P252" i="54"/>
  <c r="T183" i="54"/>
  <c r="E279" i="54"/>
  <c r="L81" i="54"/>
  <c r="X100" i="2"/>
  <c r="R100" i="2"/>
  <c r="V100" i="2"/>
  <c r="K358" i="54"/>
  <c r="X127" i="2"/>
  <c r="V127" i="2"/>
  <c r="R127" i="2"/>
  <c r="E287" i="54"/>
  <c r="L86" i="54"/>
  <c r="K329" i="54"/>
  <c r="J326" i="54"/>
  <c r="H301" i="54"/>
  <c r="K301" i="54"/>
  <c r="O170" i="2"/>
  <c r="K307" i="54"/>
  <c r="H307" i="54"/>
  <c r="O176" i="2"/>
  <c r="P257" i="54"/>
  <c r="T188" i="54"/>
  <c r="N13" i="1"/>
  <c r="N12" i="1"/>
  <c r="AA200" i="54"/>
  <c r="T118" i="54"/>
  <c r="A255" i="54"/>
  <c r="S118" i="54"/>
  <c r="K254" i="54"/>
  <c r="T170" i="54"/>
  <c r="S170" i="54"/>
  <c r="F252" i="54"/>
  <c r="T139" i="54"/>
  <c r="S139" i="54"/>
  <c r="K251" i="54"/>
  <c r="S167" i="54"/>
  <c r="T167" i="54"/>
  <c r="T29" i="2"/>
  <c r="Q169" i="2"/>
  <c r="AT26" i="54"/>
  <c r="CK26" i="54"/>
  <c r="U119" i="1"/>
  <c r="U101" i="1"/>
  <c r="CL31" i="54"/>
  <c r="BR31" i="54"/>
  <c r="G76" i="54"/>
  <c r="V104" i="2"/>
  <c r="X104" i="2"/>
  <c r="R104" i="2"/>
  <c r="A268" i="54"/>
  <c r="AA211" i="54"/>
  <c r="T131" i="54"/>
  <c r="S131" i="54"/>
  <c r="F271" i="54"/>
  <c r="T158" i="54"/>
  <c r="S158" i="54"/>
  <c r="AT32" i="54"/>
  <c r="CK32" i="54"/>
  <c r="K88" i="54"/>
  <c r="G77" i="54"/>
  <c r="CE21" i="54"/>
  <c r="G88" i="54"/>
  <c r="AT27" i="54"/>
  <c r="CK27" i="54"/>
  <c r="E308" i="54"/>
  <c r="L104" i="54"/>
  <c r="X99" i="2"/>
  <c r="V99" i="2"/>
  <c r="R99" i="2"/>
  <c r="K360" i="54"/>
  <c r="X111" i="2"/>
  <c r="V111" i="2"/>
  <c r="R111" i="2"/>
  <c r="R11" i="29"/>
  <c r="S11" i="29" s="1"/>
  <c r="AQ29" i="54" s="1"/>
  <c r="G65" i="54"/>
  <c r="AT21" i="54"/>
  <c r="CK21" i="54"/>
  <c r="R13" i="29"/>
  <c r="S13" i="29" s="1"/>
  <c r="AQ31" i="54" s="1"/>
  <c r="W40" i="10"/>
  <c r="X40" i="10"/>
  <c r="B231" i="54"/>
  <c r="AN202" i="54"/>
  <c r="A334" i="54" s="1"/>
  <c r="F326" i="54" s="1"/>
  <c r="B230" i="54"/>
  <c r="K357" i="54"/>
  <c r="CK31" i="54"/>
  <c r="AT31" i="54"/>
  <c r="X102" i="2"/>
  <c r="V102" i="2"/>
  <c r="R102" i="2"/>
  <c r="K46" i="54"/>
  <c r="R101" i="2"/>
  <c r="V101" i="2"/>
  <c r="X101" i="2"/>
  <c r="X143" i="2"/>
  <c r="R143" i="2"/>
  <c r="V143" i="2"/>
  <c r="E289" i="54"/>
  <c r="L90" i="54"/>
  <c r="J354" i="54"/>
  <c r="R124" i="2"/>
  <c r="V124" i="2"/>
  <c r="X124" i="2"/>
  <c r="X112" i="2"/>
  <c r="V112" i="2"/>
  <c r="R112" i="2"/>
  <c r="K331" i="54"/>
  <c r="M331" i="54"/>
  <c r="J332" i="54"/>
  <c r="I105" i="54"/>
  <c r="BQ35" i="54"/>
  <c r="I106" i="54" s="1"/>
  <c r="G306" i="54" s="1"/>
  <c r="S175" i="2" s="1"/>
  <c r="E306" i="54"/>
  <c r="L106" i="54"/>
  <c r="G103" i="54"/>
  <c r="L102" i="54"/>
  <c r="F46" i="54"/>
  <c r="F81" i="54"/>
  <c r="J81" i="54" s="1"/>
  <c r="E89" i="54"/>
  <c r="J102" i="54"/>
  <c r="B9" i="1"/>
  <c r="A262" i="54"/>
  <c r="AA205" i="54"/>
  <c r="S125" i="54"/>
  <c r="T125" i="54"/>
  <c r="F258" i="54"/>
  <c r="AD199" i="54"/>
  <c r="T145" i="54"/>
  <c r="S145" i="54"/>
  <c r="K255" i="54"/>
  <c r="S171" i="54"/>
  <c r="T171" i="54"/>
  <c r="Q168" i="2"/>
  <c r="R29" i="2"/>
  <c r="E292" i="54"/>
  <c r="L91" i="54"/>
  <c r="R7" i="29"/>
  <c r="S7" i="29" s="1"/>
  <c r="AQ25" i="54" s="1"/>
  <c r="AT28" i="54"/>
  <c r="CK28" i="54"/>
  <c r="K65" i="54"/>
  <c r="L65" i="54" s="1"/>
  <c r="L132" i="1"/>
  <c r="J132" i="1"/>
  <c r="K253" i="54"/>
  <c r="T169" i="54"/>
  <c r="S169" i="54"/>
  <c r="E285" i="54"/>
  <c r="L85" i="54"/>
  <c r="J360" i="54"/>
  <c r="U43" i="10"/>
  <c r="E53" i="54"/>
  <c r="X132" i="2"/>
  <c r="V132" i="2"/>
  <c r="R132" i="2"/>
  <c r="F269" i="54"/>
  <c r="T156" i="54"/>
  <c r="S156" i="54"/>
  <c r="E293" i="54"/>
  <c r="L92" i="54"/>
  <c r="E304" i="54"/>
  <c r="L103" i="54"/>
  <c r="V133" i="2"/>
  <c r="X133" i="2"/>
  <c r="R133" i="2"/>
  <c r="X137" i="2"/>
  <c r="R137" i="2"/>
  <c r="V137" i="2"/>
  <c r="R131" i="2"/>
  <c r="X131" i="2"/>
  <c r="V131" i="2"/>
  <c r="E309" i="54"/>
  <c r="L107" i="54"/>
  <c r="E299" i="54"/>
  <c r="L97" i="54"/>
  <c r="R119" i="2"/>
  <c r="X122" i="2"/>
  <c r="X119" i="2"/>
  <c r="X121" i="2"/>
  <c r="V119" i="2"/>
  <c r="X139" i="2"/>
  <c r="J363" i="54"/>
  <c r="K354" i="54"/>
  <c r="X108" i="2"/>
  <c r="R108" i="2"/>
  <c r="V108" i="2"/>
  <c r="X95" i="2"/>
  <c r="R95" i="2"/>
  <c r="X97" i="2"/>
  <c r="V95" i="2"/>
  <c r="E280" i="54"/>
  <c r="L82" i="54"/>
  <c r="J328" i="54"/>
  <c r="K328" i="54"/>
  <c r="CI21" i="54"/>
  <c r="G81" i="54"/>
  <c r="AB207" i="54"/>
  <c r="T111" i="2"/>
  <c r="R109" i="2"/>
  <c r="X109" i="2"/>
  <c r="V109" i="2"/>
  <c r="X138" i="2"/>
  <c r="R138" i="2"/>
  <c r="V138" i="2"/>
  <c r="AA203" i="54"/>
  <c r="T122" i="54"/>
  <c r="S122" i="54"/>
  <c r="A259" i="54"/>
  <c r="A260" i="54"/>
  <c r="AA204" i="54"/>
  <c r="S123" i="54"/>
  <c r="T123" i="54"/>
  <c r="F257" i="54"/>
  <c r="AD198" i="54"/>
  <c r="T144" i="54"/>
  <c r="S144" i="54"/>
  <c r="AD205" i="54"/>
  <c r="F264" i="54"/>
  <c r="T151" i="54"/>
  <c r="S151" i="54"/>
  <c r="K259" i="54"/>
  <c r="T175" i="54"/>
  <c r="S175" i="54"/>
  <c r="E5" i="10"/>
  <c r="W31" i="10"/>
  <c r="X31" i="10"/>
  <c r="E7" i="10" s="1"/>
  <c r="N7" i="10"/>
  <c r="BR29" i="54"/>
  <c r="CL29" i="54"/>
  <c r="C392" i="54"/>
  <c r="BB29" i="54"/>
  <c r="BC29" i="54"/>
  <c r="G92" i="54" s="1"/>
  <c r="BU29" i="54"/>
  <c r="W36" i="10"/>
  <c r="X36" i="10"/>
  <c r="H291" i="54" l="1"/>
  <c r="K291" i="54"/>
  <c r="O160" i="2"/>
  <c r="AL210" i="54"/>
  <c r="K117" i="1" s="1"/>
  <c r="AC210" i="54"/>
  <c r="I117" i="1" s="1"/>
  <c r="G117" i="1"/>
  <c r="AI210" i="54"/>
  <c r="W117" i="1" s="1"/>
  <c r="H285" i="54"/>
  <c r="K285" i="54"/>
  <c r="O154" i="2"/>
  <c r="V29" i="2"/>
  <c r="Q175" i="2"/>
  <c r="L333" i="54"/>
  <c r="AM200" i="54"/>
  <c r="Q107" i="1" s="1"/>
  <c r="AK200" i="54"/>
  <c r="AJ200" i="54"/>
  <c r="Y107" i="1" s="1"/>
  <c r="AF200" i="54"/>
  <c r="O107" i="1" s="1"/>
  <c r="M107" i="1"/>
  <c r="L354" i="54"/>
  <c r="E290" i="54"/>
  <c r="L88" i="54"/>
  <c r="L327" i="54"/>
  <c r="L331" i="54"/>
  <c r="AC211" i="54"/>
  <c r="I118" i="1" s="1"/>
  <c r="AI211" i="54"/>
  <c r="W118" i="1" s="1"/>
  <c r="AL211" i="54"/>
  <c r="K118" i="1" s="1"/>
  <c r="G118" i="1"/>
  <c r="K299" i="54"/>
  <c r="H299" i="54"/>
  <c r="F317" i="54"/>
  <c r="Q21" i="2" s="1"/>
  <c r="O168" i="2"/>
  <c r="R26" i="2"/>
  <c r="AC201" i="54"/>
  <c r="I108" i="1" s="1"/>
  <c r="AL201" i="54"/>
  <c r="K108" i="1" s="1"/>
  <c r="AI201" i="54"/>
  <c r="W108" i="1" s="1"/>
  <c r="G108" i="1"/>
  <c r="H292" i="54"/>
  <c r="F315" i="54"/>
  <c r="K21" i="2" s="1"/>
  <c r="K292" i="54"/>
  <c r="O161" i="2"/>
  <c r="N26" i="2"/>
  <c r="AI200" i="54"/>
  <c r="W107" i="1" s="1"/>
  <c r="AC200" i="54"/>
  <c r="I107" i="1" s="1"/>
  <c r="AL200" i="54"/>
  <c r="K107" i="1" s="1"/>
  <c r="G107" i="1"/>
  <c r="AC195" i="54"/>
  <c r="I102" i="1" s="1"/>
  <c r="AL195" i="54"/>
  <c r="K102" i="1" s="1"/>
  <c r="G102" i="1"/>
  <c r="AF195" i="54"/>
  <c r="O102" i="1" s="1"/>
  <c r="AM195" i="54"/>
  <c r="Q102" i="1" s="1"/>
  <c r="AK195" i="54"/>
  <c r="M102" i="1"/>
  <c r="AL202" i="54"/>
  <c r="K109" i="1" s="1"/>
  <c r="AC202" i="54"/>
  <c r="I109" i="1" s="1"/>
  <c r="G109" i="1"/>
  <c r="AI202" i="54"/>
  <c r="W109" i="1" s="1"/>
  <c r="AM197" i="54"/>
  <c r="Q104" i="1" s="1"/>
  <c r="AF197" i="54"/>
  <c r="O104" i="1" s="1"/>
  <c r="M104" i="1"/>
  <c r="AK197" i="54"/>
  <c r="AF205" i="54"/>
  <c r="O112" i="1" s="1"/>
  <c r="AM205" i="54"/>
  <c r="Q112" i="1" s="1"/>
  <c r="AJ205" i="54"/>
  <c r="Y112" i="1" s="1"/>
  <c r="AK205" i="54"/>
  <c r="M112" i="1"/>
  <c r="F334" i="54"/>
  <c r="D328" i="54"/>
  <c r="E328" i="54" s="1"/>
  <c r="E362" i="54"/>
  <c r="L123" i="1"/>
  <c r="J53" i="54"/>
  <c r="B12" i="1"/>
  <c r="J123" i="1"/>
  <c r="B13" i="1"/>
  <c r="L359" i="54"/>
  <c r="AK207" i="54"/>
  <c r="AF207" i="54"/>
  <c r="O114" i="1" s="1"/>
  <c r="AM207" i="54"/>
  <c r="Q114" i="1" s="1"/>
  <c r="M114" i="1"/>
  <c r="AJ207" i="54"/>
  <c r="Y114" i="1" s="1"/>
  <c r="D326" i="54"/>
  <c r="F330" i="54"/>
  <c r="AC209" i="54"/>
  <c r="I116" i="1" s="1"/>
  <c r="AL209" i="54"/>
  <c r="K116" i="1" s="1"/>
  <c r="AI209" i="54"/>
  <c r="W116" i="1" s="1"/>
  <c r="G116" i="1"/>
  <c r="J300" i="54"/>
  <c r="W169" i="2" s="1"/>
  <c r="U169" i="2"/>
  <c r="T28" i="2"/>
  <c r="E360" i="54"/>
  <c r="E355" i="54"/>
  <c r="AL199" i="54"/>
  <c r="K106" i="1" s="1"/>
  <c r="AC199" i="54"/>
  <c r="I106" i="1" s="1"/>
  <c r="G106" i="1"/>
  <c r="AI199" i="54"/>
  <c r="W106" i="1" s="1"/>
  <c r="E358" i="54"/>
  <c r="H279" i="54"/>
  <c r="F313" i="54"/>
  <c r="E21" i="2" s="1"/>
  <c r="K279" i="54"/>
  <c r="O148" i="2"/>
  <c r="B26" i="2"/>
  <c r="E361" i="54"/>
  <c r="H304" i="54"/>
  <c r="K304" i="54"/>
  <c r="O173" i="2"/>
  <c r="K289" i="54"/>
  <c r="H289" i="54"/>
  <c r="O158" i="2"/>
  <c r="H293" i="54"/>
  <c r="K293" i="54"/>
  <c r="O162" i="2"/>
  <c r="L335" i="54"/>
  <c r="N259" i="54"/>
  <c r="N258" i="54"/>
  <c r="N257" i="54"/>
  <c r="N256" i="54"/>
  <c r="N255" i="54"/>
  <c r="N254" i="54"/>
  <c r="N253" i="54"/>
  <c r="N252" i="54"/>
  <c r="N251" i="54"/>
  <c r="N250" i="54"/>
  <c r="N249" i="54"/>
  <c r="M259" i="54"/>
  <c r="M258" i="54"/>
  <c r="M257" i="54"/>
  <c r="M256" i="54"/>
  <c r="M255" i="54"/>
  <c r="M254" i="54"/>
  <c r="M253" i="54"/>
  <c r="M252" i="54"/>
  <c r="M251" i="54"/>
  <c r="M250" i="54"/>
  <c r="M249" i="54"/>
  <c r="H302" i="54"/>
  <c r="K302" i="54"/>
  <c r="O171" i="2"/>
  <c r="AL205" i="54"/>
  <c r="K112" i="1" s="1"/>
  <c r="AI205" i="54"/>
  <c r="W112" i="1" s="1"/>
  <c r="AC205" i="54"/>
  <c r="I112" i="1" s="1"/>
  <c r="G112" i="1"/>
  <c r="AM202" i="54"/>
  <c r="Q109" i="1" s="1"/>
  <c r="AF202" i="54"/>
  <c r="O109" i="1" s="1"/>
  <c r="M109" i="1"/>
  <c r="AJ202" i="54"/>
  <c r="Y109" i="1" s="1"/>
  <c r="AK202" i="54"/>
  <c r="L356" i="54"/>
  <c r="L330" i="54"/>
  <c r="C335" i="54"/>
  <c r="AC203" i="54"/>
  <c r="I110" i="1" s="1"/>
  <c r="AI203" i="54"/>
  <c r="W110" i="1" s="1"/>
  <c r="G110" i="1"/>
  <c r="AL203" i="54"/>
  <c r="K110" i="1" s="1"/>
  <c r="L358" i="54"/>
  <c r="E284" i="54"/>
  <c r="L53" i="54"/>
  <c r="K83" i="54"/>
  <c r="E83" i="54"/>
  <c r="F83" i="54"/>
  <c r="J83" i="54" s="1"/>
  <c r="G83" i="54"/>
  <c r="C264" i="54"/>
  <c r="D257" i="54"/>
  <c r="D254" i="54"/>
  <c r="D251" i="54"/>
  <c r="D263" i="54"/>
  <c r="C257" i="54"/>
  <c r="C254" i="54"/>
  <c r="C251" i="54"/>
  <c r="C263" i="54"/>
  <c r="D265" i="54"/>
  <c r="C262" i="54"/>
  <c r="C265" i="54"/>
  <c r="D261" i="54"/>
  <c r="C261" i="54"/>
  <c r="D258" i="54"/>
  <c r="D252" i="54"/>
  <c r="C258" i="54"/>
  <c r="D256" i="54"/>
  <c r="C252" i="54"/>
  <c r="D250" i="54"/>
  <c r="D255" i="54"/>
  <c r="D249" i="54"/>
  <c r="D268" i="54"/>
  <c r="C255" i="54"/>
  <c r="C249" i="54"/>
  <c r="C268" i="54"/>
  <c r="C260" i="54"/>
  <c r="C256" i="54"/>
  <c r="D267" i="54"/>
  <c r="C267" i="54"/>
  <c r="C253" i="54"/>
  <c r="D266" i="54"/>
  <c r="C266" i="54"/>
  <c r="D264" i="54"/>
  <c r="D262" i="54"/>
  <c r="D253" i="54"/>
  <c r="D260" i="54"/>
  <c r="C250" i="54"/>
  <c r="D259" i="54"/>
  <c r="C259" i="54"/>
  <c r="AL196" i="54"/>
  <c r="K103" i="1" s="1"/>
  <c r="AC196" i="54"/>
  <c r="I103" i="1" s="1"/>
  <c r="AI196" i="54"/>
  <c r="W103" i="1" s="1"/>
  <c r="G103" i="1"/>
  <c r="AM210" i="54"/>
  <c r="Q117" i="1" s="1"/>
  <c r="AF210" i="54"/>
  <c r="O117" i="1" s="1"/>
  <c r="M117" i="1"/>
  <c r="AJ210" i="54"/>
  <c r="Y117" i="1" s="1"/>
  <c r="AK210" i="54"/>
  <c r="E331" i="54"/>
  <c r="AL198" i="54"/>
  <c r="K105" i="1" s="1"/>
  <c r="AC198" i="54"/>
  <c r="I105" i="1" s="1"/>
  <c r="G105" i="1"/>
  <c r="AI198" i="54"/>
  <c r="W105" i="1" s="1"/>
  <c r="H306" i="54"/>
  <c r="F318" i="54"/>
  <c r="K306" i="54"/>
  <c r="O175" i="2"/>
  <c r="V26" i="2"/>
  <c r="J301" i="54"/>
  <c r="W170" i="2" s="1"/>
  <c r="U170" i="2"/>
  <c r="E356" i="54"/>
  <c r="AC204" i="54"/>
  <c r="I111" i="1" s="1"/>
  <c r="AL204" i="54"/>
  <c r="K111" i="1" s="1"/>
  <c r="G111" i="1"/>
  <c r="AI204" i="54"/>
  <c r="W111" i="1" s="1"/>
  <c r="K303" i="54"/>
  <c r="H303" i="54"/>
  <c r="O172" i="2"/>
  <c r="L363" i="54"/>
  <c r="L329" i="54"/>
  <c r="L105" i="54"/>
  <c r="AM206" i="54"/>
  <c r="Q113" i="1" s="1"/>
  <c r="AF206" i="54"/>
  <c r="O113" i="1" s="1"/>
  <c r="AK206" i="54"/>
  <c r="M113" i="1"/>
  <c r="AJ206" i="54"/>
  <c r="Y113" i="1" s="1"/>
  <c r="E333" i="54"/>
  <c r="K93" i="54"/>
  <c r="F93" i="54"/>
  <c r="J93" i="54" s="1"/>
  <c r="E93" i="54"/>
  <c r="L326" i="54"/>
  <c r="H309" i="54"/>
  <c r="K309" i="54"/>
  <c r="O178" i="2"/>
  <c r="L357" i="54"/>
  <c r="H281" i="54"/>
  <c r="K281" i="54"/>
  <c r="H26" i="2"/>
  <c r="O150" i="2"/>
  <c r="AF211" i="54"/>
  <c r="O118" i="1" s="1"/>
  <c r="AJ211" i="54"/>
  <c r="Y118" i="1" s="1"/>
  <c r="AM211" i="54"/>
  <c r="Q118" i="1" s="1"/>
  <c r="AK211" i="54"/>
  <c r="M118" i="1"/>
  <c r="E357" i="54"/>
  <c r="G93" i="54"/>
  <c r="K287" i="54"/>
  <c r="H287" i="54"/>
  <c r="L26" i="2"/>
  <c r="O156" i="2"/>
  <c r="AC208" i="54"/>
  <c r="I115" i="1" s="1"/>
  <c r="AL208" i="54"/>
  <c r="K115" i="1" s="1"/>
  <c r="AI208" i="54"/>
  <c r="W115" i="1" s="1"/>
  <c r="G115" i="1"/>
  <c r="AF203" i="54"/>
  <c r="O110" i="1" s="1"/>
  <c r="AJ203" i="54"/>
  <c r="Y110" i="1" s="1"/>
  <c r="AK203" i="54"/>
  <c r="AM203" i="54"/>
  <c r="Q110" i="1" s="1"/>
  <c r="M110" i="1"/>
  <c r="L334" i="54"/>
  <c r="L328" i="54"/>
  <c r="L360" i="54"/>
  <c r="I270" i="54"/>
  <c r="I267" i="54"/>
  <c r="I265" i="54"/>
  <c r="I263" i="54"/>
  <c r="I261" i="54"/>
  <c r="H270" i="54"/>
  <c r="H267" i="54"/>
  <c r="H265" i="54"/>
  <c r="H263" i="54"/>
  <c r="H261" i="54"/>
  <c r="I266" i="54"/>
  <c r="I260" i="54"/>
  <c r="I269" i="54"/>
  <c r="H266" i="54"/>
  <c r="H260" i="54"/>
  <c r="I258" i="54"/>
  <c r="I255" i="54"/>
  <c r="I252" i="54"/>
  <c r="I249" i="54"/>
  <c r="H269" i="54"/>
  <c r="H258" i="54"/>
  <c r="H255" i="54"/>
  <c r="H252" i="54"/>
  <c r="H249" i="54"/>
  <c r="I256" i="54"/>
  <c r="I250" i="54"/>
  <c r="H256" i="54"/>
  <c r="I254" i="54"/>
  <c r="H250" i="54"/>
  <c r="I268" i="54"/>
  <c r="H254" i="54"/>
  <c r="H268" i="54"/>
  <c r="I264" i="54"/>
  <c r="I262" i="54"/>
  <c r="H262" i="54"/>
  <c r="I259" i="54"/>
  <c r="I251" i="54"/>
  <c r="H259" i="54"/>
  <c r="H251" i="54"/>
  <c r="I257" i="54"/>
  <c r="H257" i="54"/>
  <c r="I273" i="54"/>
  <c r="H264" i="54"/>
  <c r="I253" i="54"/>
  <c r="H253" i="54"/>
  <c r="H273" i="54"/>
  <c r="I272" i="54"/>
  <c r="H272" i="54"/>
  <c r="I271" i="54"/>
  <c r="H271" i="54"/>
  <c r="D329" i="54"/>
  <c r="D334" i="54"/>
  <c r="AL197" i="54"/>
  <c r="K104" i="1" s="1"/>
  <c r="AC197" i="54"/>
  <c r="I104" i="1" s="1"/>
  <c r="G104" i="1"/>
  <c r="AL207" i="54"/>
  <c r="K114" i="1" s="1"/>
  <c r="AC207" i="54"/>
  <c r="I114" i="1" s="1"/>
  <c r="G114" i="1"/>
  <c r="AI207" i="54"/>
  <c r="W114" i="1" s="1"/>
  <c r="AM204" i="54"/>
  <c r="Q111" i="1" s="1"/>
  <c r="AF204" i="54"/>
  <c r="O111" i="1" s="1"/>
  <c r="M111" i="1"/>
  <c r="AJ204" i="54"/>
  <c r="Y111" i="1" s="1"/>
  <c r="AK204" i="54"/>
  <c r="H280" i="54"/>
  <c r="K280" i="54"/>
  <c r="O149" i="2"/>
  <c r="D26" i="2"/>
  <c r="J46" i="54"/>
  <c r="F9" i="1"/>
  <c r="L122" i="1"/>
  <c r="J122" i="1"/>
  <c r="F8" i="1"/>
  <c r="J307" i="54"/>
  <c r="W176" i="2" s="1"/>
  <c r="U176" i="2"/>
  <c r="D335" i="54"/>
  <c r="C332" i="54"/>
  <c r="J106" i="54"/>
  <c r="AM196" i="54"/>
  <c r="Q103" i="1" s="1"/>
  <c r="AF196" i="54"/>
  <c r="O103" i="1" s="1"/>
  <c r="AJ196" i="54"/>
  <c r="Y103" i="1" s="1"/>
  <c r="M103" i="1"/>
  <c r="AK196" i="54"/>
  <c r="E363" i="54"/>
  <c r="AF198" i="54"/>
  <c r="O105" i="1" s="1"/>
  <c r="AM198" i="54"/>
  <c r="Q105" i="1" s="1"/>
  <c r="M105" i="1"/>
  <c r="AJ198" i="54"/>
  <c r="Y105" i="1" s="1"/>
  <c r="AK198" i="54"/>
  <c r="E286" i="54"/>
  <c r="L46" i="54"/>
  <c r="L361" i="54"/>
  <c r="C327" i="54"/>
  <c r="C331" i="54"/>
  <c r="AF194" i="54"/>
  <c r="O101" i="1" s="1"/>
  <c r="AM194" i="54"/>
  <c r="Q101" i="1" s="1"/>
  <c r="M119" i="1"/>
  <c r="M101" i="1"/>
  <c r="AJ194" i="54"/>
  <c r="Y101" i="1" s="1"/>
  <c r="AK194" i="54"/>
  <c r="E354" i="54"/>
  <c r="K305" i="54"/>
  <c r="H305" i="54"/>
  <c r="O174" i="2"/>
  <c r="J80" i="54"/>
  <c r="P4" i="1"/>
  <c r="J128" i="1"/>
  <c r="L128" i="1"/>
  <c r="AM199" i="54"/>
  <c r="Q106" i="1" s="1"/>
  <c r="AF199" i="54"/>
  <c r="O106" i="1" s="1"/>
  <c r="M106" i="1"/>
  <c r="AK199" i="54"/>
  <c r="AJ199" i="54"/>
  <c r="Y106" i="1" s="1"/>
  <c r="H308" i="54"/>
  <c r="K308" i="54"/>
  <c r="O177" i="2"/>
  <c r="X26" i="2"/>
  <c r="AL194" i="54"/>
  <c r="K101" i="1" s="1"/>
  <c r="AC194" i="54"/>
  <c r="I101" i="1" s="1"/>
  <c r="G101" i="1"/>
  <c r="G119" i="1"/>
  <c r="AI194" i="54"/>
  <c r="W101" i="1" s="1"/>
  <c r="R258" i="54"/>
  <c r="R255" i="54"/>
  <c r="R252" i="54"/>
  <c r="R249" i="54"/>
  <c r="S258" i="54"/>
  <c r="R254" i="54"/>
  <c r="S252" i="54"/>
  <c r="S257" i="54"/>
  <c r="S251" i="54"/>
  <c r="R257" i="54"/>
  <c r="R251" i="54"/>
  <c r="S255" i="54"/>
  <c r="S250" i="54"/>
  <c r="R250" i="54"/>
  <c r="R256" i="54"/>
  <c r="R253" i="54"/>
  <c r="S249" i="54"/>
  <c r="S256" i="54"/>
  <c r="S254" i="54"/>
  <c r="S253" i="54"/>
  <c r="AF201" i="54"/>
  <c r="O108" i="1" s="1"/>
  <c r="AK201" i="54"/>
  <c r="AJ201" i="54"/>
  <c r="Y108" i="1" s="1"/>
  <c r="AM201" i="54"/>
  <c r="Q108" i="1" s="1"/>
  <c r="M108" i="1"/>
  <c r="AF209" i="54"/>
  <c r="O116" i="1" s="1"/>
  <c r="AM209" i="54"/>
  <c r="Q116" i="1" s="1"/>
  <c r="AK209" i="54"/>
  <c r="AJ209" i="54"/>
  <c r="Y116" i="1" s="1"/>
  <c r="M116" i="1"/>
  <c r="L364" i="54"/>
  <c r="F335" i="54"/>
  <c r="AC206" i="54"/>
  <c r="I113" i="1" s="1"/>
  <c r="AL206" i="54"/>
  <c r="K113" i="1" s="1"/>
  <c r="G113" i="1"/>
  <c r="AI206" i="54"/>
  <c r="W113" i="1" s="1"/>
  <c r="G80" i="54"/>
  <c r="L355" i="54"/>
  <c r="G316" i="54" l="1"/>
  <c r="N22" i="2" s="1"/>
  <c r="C316" i="54"/>
  <c r="J281" i="54"/>
  <c r="W150" i="2" s="1"/>
  <c r="U150" i="2"/>
  <c r="E326" i="54"/>
  <c r="H290" i="54"/>
  <c r="K290" i="54"/>
  <c r="O159" i="2"/>
  <c r="J285" i="54"/>
  <c r="W154" i="2" s="1"/>
  <c r="U154" i="2"/>
  <c r="J304" i="54"/>
  <c r="W173" i="2" s="1"/>
  <c r="U173" i="2"/>
  <c r="J305" i="54"/>
  <c r="W174" i="2" s="1"/>
  <c r="U174" i="2"/>
  <c r="E327" i="54"/>
  <c r="J299" i="54"/>
  <c r="W168" i="2" s="1"/>
  <c r="U168" i="2"/>
  <c r="R28" i="2"/>
  <c r="K119" i="1"/>
  <c r="C317" i="54"/>
  <c r="G317" i="54"/>
  <c r="Q22" i="2" s="1"/>
  <c r="G315" i="54"/>
  <c r="K22" i="2" s="1"/>
  <c r="C315" i="54"/>
  <c r="E334" i="54"/>
  <c r="E282" i="54"/>
  <c r="L83" i="54"/>
  <c r="J293" i="54"/>
  <c r="W162" i="2" s="1"/>
  <c r="U162" i="2"/>
  <c r="J292" i="54"/>
  <c r="W161" i="2" s="1"/>
  <c r="U161" i="2"/>
  <c r="N28" i="2"/>
  <c r="Q119" i="1"/>
  <c r="J289" i="54"/>
  <c r="W158" i="2" s="1"/>
  <c r="U158" i="2"/>
  <c r="J287" i="54"/>
  <c r="W156" i="2" s="1"/>
  <c r="L28" i="2"/>
  <c r="U156" i="2"/>
  <c r="E330" i="54"/>
  <c r="J308" i="54"/>
  <c r="W177" i="2" s="1"/>
  <c r="U177" i="2"/>
  <c r="X28" i="2"/>
  <c r="H286" i="54"/>
  <c r="K286" i="54"/>
  <c r="F314" i="54"/>
  <c r="H21" i="2" s="1"/>
  <c r="O155" i="2"/>
  <c r="J26" i="2"/>
  <c r="J309" i="54"/>
  <c r="W178" i="2" s="1"/>
  <c r="U178" i="2"/>
  <c r="J302" i="54"/>
  <c r="W171" i="2" s="1"/>
  <c r="U171" i="2"/>
  <c r="J280" i="54"/>
  <c r="W149" i="2" s="1"/>
  <c r="U149" i="2"/>
  <c r="D28" i="2"/>
  <c r="E335" i="54"/>
  <c r="E329" i="54"/>
  <c r="J303" i="54"/>
  <c r="W172" i="2" s="1"/>
  <c r="U172" i="2"/>
  <c r="T21" i="2"/>
  <c r="E294" i="54"/>
  <c r="L93" i="54"/>
  <c r="C318" i="54"/>
  <c r="G318" i="54"/>
  <c r="T22" i="2" s="1"/>
  <c r="J306" i="54"/>
  <c r="W175" i="2" s="1"/>
  <c r="V28" i="2"/>
  <c r="U175" i="2"/>
  <c r="H284" i="54"/>
  <c r="K284" i="54"/>
  <c r="O153" i="2"/>
  <c r="E332" i="54"/>
  <c r="J279" i="54"/>
  <c r="U148" i="2"/>
  <c r="B28" i="2"/>
  <c r="U160" i="2"/>
  <c r="J291" i="54"/>
  <c r="W160" i="2" s="1"/>
  <c r="H294" i="54" l="1"/>
  <c r="K294" i="54"/>
  <c r="O163" i="2"/>
  <c r="K282" i="54"/>
  <c r="H282" i="54"/>
  <c r="F26" i="2"/>
  <c r="O151" i="2"/>
  <c r="D316" i="54"/>
  <c r="N20" i="2"/>
  <c r="W148" i="2"/>
  <c r="C320" i="54"/>
  <c r="D315" i="54"/>
  <c r="K20" i="2"/>
  <c r="C314" i="54"/>
  <c r="G314" i="54"/>
  <c r="H22" i="2" s="1"/>
  <c r="J284" i="54"/>
  <c r="W153" i="2" s="1"/>
  <c r="U153" i="2"/>
  <c r="C321" i="54"/>
  <c r="D317" i="54"/>
  <c r="Q20" i="2"/>
  <c r="J290" i="54"/>
  <c r="W159" i="2" s="1"/>
  <c r="U159" i="2"/>
  <c r="H28" i="2"/>
  <c r="J286" i="54"/>
  <c r="W155" i="2" s="1"/>
  <c r="J28" i="2"/>
  <c r="U155" i="2"/>
  <c r="D318" i="54"/>
  <c r="T20" i="2"/>
  <c r="D321" i="54" l="1"/>
  <c r="P16" i="2" s="1"/>
  <c r="P15" i="2"/>
  <c r="D314" i="54"/>
  <c r="H20" i="2"/>
  <c r="J294" i="54"/>
  <c r="W163" i="2" s="1"/>
  <c r="U163" i="2"/>
  <c r="D320" i="54"/>
  <c r="L16" i="2" s="1"/>
  <c r="L15" i="2"/>
  <c r="J282" i="54"/>
  <c r="U151" i="2"/>
  <c r="F28" i="2"/>
  <c r="G313" i="54"/>
  <c r="E22" i="2" s="1"/>
  <c r="C313" i="54"/>
  <c r="D313" i="54" l="1"/>
  <c r="C319" i="54"/>
  <c r="E20" i="2"/>
  <c r="W151" i="2"/>
  <c r="E322" i="54"/>
  <c r="R9" i="2" s="1"/>
  <c r="D319" i="54" l="1"/>
  <c r="H16" i="2" s="1"/>
  <c r="C322" i="54"/>
  <c r="H15" i="2"/>
  <c r="D322" i="54" l="1"/>
  <c r="K11" i="2" s="1"/>
  <c r="K12" i="2"/>
  <c r="K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 Audit 2026</author>
  </authors>
  <commentList>
    <comment ref="D8" authorId="0" shapeId="0" xr:uid="{00000000-0006-0000-0700-000001000000}">
      <text>
        <r>
          <rPr>
            <sz val="11"/>
            <rFont val="Arial"/>
          </rPr>
          <t>Audit: Emergency (69) &gt; total received (63). Correct the priority split for Jan-26.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 audit</author>
  </authors>
  <commentList>
    <comment ref="H9" authorId="0" shapeId="0" xr:uid="{00000000-0006-0000-0900-000001000000}">
      <text>
        <r>
          <rPr>
            <sz val="11"/>
            <rFont val="Arial"/>
          </rPr>
          <t>Baseline = MEDIAN(Avg 2023, Avg 2024, Avg 2025). Median is used because many building Avg-2025 values are 5–25× the 2023/2024 figures (flagged amber) and would inflate a mean.</t>
        </r>
      </text>
    </comment>
    <comment ref="C33" authorId="0" shapeId="0" xr:uid="{00000000-0006-0000-0900-000002000000}">
      <text>
        <r>
          <rPr>
            <sz val="11"/>
            <rFont val="Arial"/>
          </rPr>
          <t>WTP is a primary use of inlet water; building sub-meters sit downstream of it.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 Audit 2026</author>
  </authors>
  <commentList>
    <comment ref="C8" authorId="0" shapeId="0" xr:uid="{00000000-0006-0000-0B00-000001000000}">
      <text>
        <r>
          <rPr>
            <sz val="11"/>
            <rFont val="Arial"/>
          </rPr>
          <t>Audit: typed value 40,704 kL × 1,000 (was the formula =40704*1000). Link to metered source when available.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 Audit 2026</author>
  </authors>
  <commentList>
    <comment ref="C5" authorId="0" shapeId="0" xr:uid="{00000000-0006-0000-0D00-000001000000}">
      <text>
        <r>
          <rPr>
            <sz val="11"/>
            <rFont val="Arial"/>
          </rPr>
          <t>Audit: original entry 2,219,250 kWh was the 2024 ANNUAL total; converted to monthly average (÷12) to match the other 'Avg' rows.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  <author>MIS Audit 2026</author>
  </authors>
  <commentList>
    <comment ref="F6" authorId="0" shapeId="0" xr:uid="{00000000-0006-0000-1700-000001000000}">
      <text>
        <r>
          <rPr>
            <sz val="11"/>
            <rFont val="Arial"/>
          </rPr>
          <t>Original budget link was lost. Enter verified invoice amount/budget source rather than carrying forward an invalid reference.</t>
        </r>
      </text>
    </comment>
    <comment ref="F7" authorId="0" shapeId="0" xr:uid="{00000000-0006-0000-1700-000002000000}">
      <text>
        <r>
          <rPr>
            <sz val="11"/>
            <rFont val="Arial"/>
          </rPr>
          <t>Original budget link was lost. Enter verified invoice amount/budget source rather than carrying forward an invalid reference.</t>
        </r>
      </text>
    </comment>
    <comment ref="F8" authorId="0" shapeId="0" xr:uid="{00000000-0006-0000-1700-000003000000}">
      <text>
        <r>
          <rPr>
            <sz val="11"/>
            <rFont val="Arial"/>
          </rPr>
          <t>Original budget link was lost. Enter verified invoice amount/budget source rather than carrying forward an invalid reference.</t>
        </r>
      </text>
    </comment>
    <comment ref="F9" authorId="0" shapeId="0" xr:uid="{00000000-0006-0000-1700-000004000000}">
      <text>
        <r>
          <rPr>
            <sz val="11"/>
            <rFont val="Arial"/>
          </rPr>
          <t>Original budget link was lost. Enter verified invoice amount/budget source rather than carrying forward an invalid reference.</t>
        </r>
      </text>
    </comment>
    <comment ref="F10" authorId="0" shapeId="0" xr:uid="{00000000-0006-0000-1700-000005000000}">
      <text>
        <r>
          <rPr>
            <sz val="11"/>
            <rFont val="Arial"/>
          </rPr>
          <t>Original budget link was lost. Enter verified invoice amount/budget source rather than carrying forward an invalid reference.</t>
        </r>
      </text>
    </comment>
    <comment ref="F11" authorId="0" shapeId="0" xr:uid="{00000000-0006-0000-1700-000006000000}">
      <text>
        <r>
          <rPr>
            <sz val="11"/>
            <rFont val="Arial"/>
          </rPr>
          <t>Original budget link was lost. Enter verified invoice amount/budget source rather than carrying forward an invalid reference.</t>
        </r>
      </text>
    </comment>
    <comment ref="F12" authorId="0" shapeId="0" xr:uid="{00000000-0006-0000-1700-000007000000}">
      <text>
        <r>
          <rPr>
            <sz val="11"/>
            <rFont val="Arial"/>
          </rPr>
          <t>Original budget link was lost. Enter verified invoice amount/budget source rather than carrying forward an invalid reference.</t>
        </r>
      </text>
    </comment>
    <comment ref="F13" authorId="0" shapeId="0" xr:uid="{00000000-0006-0000-1700-000008000000}">
      <text>
        <r>
          <rPr>
            <sz val="11"/>
            <rFont val="Arial"/>
          </rPr>
          <t>Original budget link was lost. Enter verified invoice amount/budget source rather than carrying forward an invalid reference.</t>
        </r>
      </text>
    </comment>
    <comment ref="F14" authorId="0" shapeId="0" xr:uid="{00000000-0006-0000-1700-000009000000}">
      <text>
        <r>
          <rPr>
            <sz val="11"/>
            <rFont val="Arial"/>
          </rPr>
          <t>Original budget link was lost. Enter verified invoice amount/budget source rather than carrying forward an invalid reference.</t>
        </r>
      </text>
    </comment>
    <comment ref="F15" authorId="0" shapeId="0" xr:uid="{00000000-0006-0000-1700-00000A000000}">
      <text>
        <r>
          <rPr>
            <sz val="11"/>
            <rFont val="Arial"/>
          </rPr>
          <t>Original budget link was lost. Enter verified invoice amount/budget source rather than carrying forward an invalid reference.</t>
        </r>
      </text>
    </comment>
    <comment ref="E104" authorId="1" shapeId="0" xr:uid="{00000000-0006-0000-1700-00000B000000}">
      <text>
        <r>
          <rPr>
            <sz val="11"/>
            <rFont val="Arial"/>
          </rPr>
          <t>Audit: entered as 574,962 (rupees) in a ₹'000 column – converted to 574.962.</t>
        </r>
      </text>
    </comment>
  </commentList>
</comments>
</file>

<file path=xl/sharedStrings.xml><?xml version="1.0" encoding="utf-8"?>
<sst xmlns="http://schemas.openxmlformats.org/spreadsheetml/2006/main" count="1921" uniqueCount="941">
  <si>
    <t>AKA</t>
  </si>
  <si>
    <t>AGA KHAN ACADEMY  |  FACILITY MANAGEMENT MIS DASHBOARD</t>
  </si>
  <si>
    <t>HYDERABAD · FM</t>
  </si>
  <si>
    <t>MONTH</t>
  </si>
  <si>
    <t>FACILITY</t>
  </si>
  <si>
    <t>▶ FM Dashboard</t>
  </si>
  <si>
    <t>📅 Select ▸</t>
  </si>
  <si>
    <t>Aug-26</t>
  </si>
  <si>
    <t>🏢 Drill ▸</t>
  </si>
  <si>
    <t>All Facilities</t>
  </si>
  <si>
    <t>Pick a month (or 2026 YTD) from the yellow drop-down; the facility drop-down drives the drill-down charts &amp; highlights the scorecard. 'vs 2025' compares the monthly average with the Avg-2025 row of each source sheet.</t>
  </si>
  <si>
    <t xml:space="preserve">   Per-Capita Pyramid</t>
  </si>
  <si>
    <t>💧 WATER CONSUMED (kL)</t>
  </si>
  <si>
    <t>🚰 LPCD (L / person / day)</t>
  </si>
  <si>
    <t>⛲ BOREWELL DRAW (kL)</t>
  </si>
  <si>
    <t>⚡ HT GRID ENERGY (kWh)</t>
  </si>
  <si>
    <t>₹ ENERGY BILL (₹ Lakh)</t>
  </si>
  <si>
    <t>🏢 EPI (kWh / m² / month)</t>
  </si>
  <si>
    <t xml:space="preserve">   Monthly KPI</t>
  </si>
  <si>
    <t xml:space="preserve">   Complaints</t>
  </si>
  <si>
    <t>🔌 POWER FACTOR</t>
  </si>
  <si>
    <t>☀ SOLAR GENERATION (kWh)</t>
  </si>
  <si>
    <t>❄ HVAC ENERGY (kWh)</t>
  </si>
  <si>
    <t>🎫 COMPLAINTS RECEIVED</t>
  </si>
  <si>
    <t>👷 TECH DEPLOYMENT</t>
  </si>
  <si>
    <t>🚿 WTP TREATED WATER (kL)</t>
  </si>
  <si>
    <t xml:space="preserve">   Water - Bldg</t>
  </si>
  <si>
    <t xml:space="preserve">   LPCD</t>
  </si>
  <si>
    <t xml:space="preserve">   Water Quality</t>
  </si>
  <si>
    <t xml:space="preserve">   Power</t>
  </si>
  <si>
    <t xml:space="preserve">   EPI</t>
  </si>
  <si>
    <t xml:space="preserve">   Power - Bldg</t>
  </si>
  <si>
    <t xml:space="preserve">   Solar</t>
  </si>
  <si>
    <t xml:space="preserve">   HVAC</t>
  </si>
  <si>
    <t xml:space="preserve">   DG / Outages</t>
  </si>
  <si>
    <t xml:space="preserve">   Tech Manpower</t>
  </si>
  <si>
    <t xml:space="preserve">   Attendance</t>
  </si>
  <si>
    <t xml:space="preserve">   Building Master</t>
  </si>
  <si>
    <t xml:space="preserve">   Calc engine</t>
  </si>
  <si>
    <t>🏢 FACILITY SCORECARD  (month filter applies • selected facility highlighted • LPCD and kWh/person are per resident student, residences only; SR-1+SR-2 and SR-3+SR-4 are each one block)</t>
  </si>
  <si>
    <t>Facility</t>
  </si>
  <si>
    <t>Group</t>
  </si>
  <si>
    <t>Water kL / mo</t>
  </si>
  <si>
    <t>Water vs baseline</t>
  </si>
  <si>
    <t>Water share</t>
  </si>
  <si>
    <t>Power kWh / mo</t>
  </si>
  <si>
    <t>Power vs Avg-2025</t>
  </si>
  <si>
    <t>Power share</t>
  </si>
  <si>
    <t>Water YTD kL</t>
  </si>
  <si>
    <t>Power YTD kWh</t>
  </si>
  <si>
    <t>LPCD</t>
  </si>
  <si>
    <t>kWh / person</t>
  </si>
  <si>
    <t>METERED FACILITIES</t>
  </si>
  <si>
    <t>🚨 WATCHLIST (live, follows month filter)</t>
  </si>
  <si>
    <t>🔎 DATA-QUALITY FINDINGS IN SOURCE SHEETS (please verify)</t>
  </si>
  <si>
    <t>LPCD vs benchmark (L/person/day)</t>
  </si>
  <si>
    <t>1. DG Units Generated, Mar–Aug 2026: total units are typed (11–56 kWh) and do not equal 500 kVA + 750 kVA (44–150 kWh), while diesel reads 8,735–17,820 L against 266–1,523 L in Jan–Feb — verify against the DG log.</t>
  </si>
  <si>
    <t>Power factor vs 0.95 target</t>
  </si>
  <si>
    <t>2. Complaints summary: no entries for Mar–May 2026, and the pending column is blank from Jun-26 — please verify.</t>
  </si>
  <si>
    <t>EPI vs 8 kWh/m² benchmark</t>
  </si>
  <si>
    <t>3. WQ sheet: Bore 08 and Bore 10 values look shifted by one row (e.g. Turbidity 912/840 NTU, pH 360/150).</t>
  </si>
  <si>
    <t>Technical deployment vs 90% target</t>
  </si>
  <si>
    <t>Months of complaint data missing (to latest month)</t>
  </si>
  <si>
    <t>5. Technical manpower cost invoices are logged only for Jan–Feb 2026.</t>
  </si>
  <si>
    <t>Months of tech-manpower invoices missing</t>
  </si>
  <si>
    <t>6. LPCD sheet Avg-2025 (2,432 L/person/day; 100,169 kL/month) is more than 2× Avg-2023/2024, so water comparisons against 2025 overstate the 2026 improvement.</t>
  </si>
  <si>
    <t>Data completeness vs 80%</t>
  </si>
  <si>
    <t>7. LPCD sheet water (e.g. Jan-26 40,704 kL) is about twice the metered inlet on Building wise water (borewells + STP outlet 18,598 kL) — confirm which basis LPCD should use.</t>
  </si>
  <si>
    <t>Water-meter data-quality flags open</t>
  </si>
  <si>
    <t>8. Solar Power: Apr-26 export (227,564 kWh) exceeds generation (136,018 kWh) and Jun–Aug export equals generation exactly; savings are computed from export — verify the export readings.</t>
  </si>
  <si>
    <t>Borewell/WQ parameters above limit</t>
  </si>
  <si>
    <t>9. Building_Master: resident-student headcount (192, 2026-27 roster) is entered for the SR residences only. Other facilities' occupants and all floor areas are blank, and staff living in the residences are not counted, so residence LPCD is per student.</t>
  </si>
  <si>
    <t>HVAC energy vs Avg-2025</t>
  </si>
  <si>
    <t>HT energy bill vs Avg-2025</t>
  </si>
  <si>
    <t>Power failures per month (vs Avg-2025)</t>
  </si>
  <si>
    <t>Sources: Complaints summary, LPCD, Building wise water, Power data, EPI, Power Building wise, Solar Power, HVAC consumption, Technical manpower cost, Attendance, DG Units Generated, WQ, Monthly KPI Report — all linked live via MIS_Calc. Benchmarks: LPCD 135 (LPCD sheet), EPI 8 (EPI sheet), PF 0.95 &amp; deployment 90% (MIS_Calc B10:B11).</t>
  </si>
  <si>
    <t>▲ AGA KHAN ACADEMY  |  PER-CAPITA PERFORMANCE PYRAMID</t>
  </si>
  <si>
    <t>OFFICIAL MIS</t>
  </si>
  <si>
    <t xml:space="preserve">   FM Dashboard</t>
  </si>
  <si>
    <t>Per-person figures divide by campus occupants from the LPCD sheet; building pyramids use absolute kL / kWh per month (residence LPCD on FM_Dashboard uses the resident-student headcount in Building_Master). KPIs with no data for the month or no 2025 baseline are shown but not scored.</t>
  </si>
  <si>
    <t>▶ Per-Capita Pyramid</t>
  </si>
  <si>
    <t>▲  PERFORMANCE PYRAMID — apex index → pillars → categories → key per-capita KPIs → operational detail   (score 100 = Avg-2025 • above 100 = better)</t>
  </si>
  <si>
    <t>TIER 1 · APEX
One composite score for the campus vs its own 2025 performance</t>
  </si>
  <si>
    <t>▲ PER-CAPITA PERFORMANCE INDEX</t>
  </si>
  <si>
    <t>TIER 2 · PILLARS
Utilities · Sustainability · Operations</t>
  </si>
  <si>
    <t>⚡💧 UTILITIES</t>
  </si>
  <si>
    <t>☀♻ SUSTAINABILITY</t>
  </si>
  <si>
    <t>🛠 OPERATIONS</t>
  </si>
  <si>
    <t>Pillar = average of its two category scores
Colour key (pillar → category → KPI tile → chart):
Blue = Utilities  •  Green = Sustainability
Purple = Operations</t>
  </si>
  <si>
    <t>TIER 3 · CATEGORIES
6 MIS domains</t>
  </si>
  <si>
    <t>⚡ ENERGY</t>
  </si>
  <si>
    <t>💧 WATER</t>
  </si>
  <si>
    <t>☀ SOLAR</t>
  </si>
  <si>
    <t>♻ TREATMENT &amp; REUSE</t>
  </si>
  <si>
    <t>🎫 SERVICE DESK</t>
  </si>
  <si>
    <t>👷 PEOPLE &amp; COST</t>
  </si>
  <si>
    <t>Score = avg of core KPI scores (each capped 50–150)</t>
  </si>
  <si>
    <t>TIER 4 · 12 KEY KPIs grouped by pillar — Utilities (6) · Sustainability (2) · Operations (4)   (selected month / YTD average  •  Δ vs Avg-2025)</t>
  </si>
  <si>
    <t>⚡ Grid kWh</t>
  </si>
  <si>
    <t>₹ Energy</t>
  </si>
  <si>
    <t>❄ HVAC</t>
  </si>
  <si>
    <t>🏢 EPI</t>
  </si>
  <si>
    <t>💧 LPCD</t>
  </si>
  <si>
    <t>⛲ Borewell</t>
  </si>
  <si>
    <t>☀ Solar</t>
  </si>
  <si>
    <t>♻ STP</t>
  </si>
  <si>
    <t>🎫 Complaints</t>
  </si>
  <si>
    <t>✅ Closure</t>
  </si>
  <si>
    <t>💰 OPEX</t>
  </si>
  <si>
    <t>👷 Staff</t>
  </si>
  <si>
    <t>kWh/p/mo</t>
  </si>
  <si>
    <t>₹/p/mo</t>
  </si>
  <si>
    <t>kWh/p/mo</t>
  </si>
  <si>
    <t>kWh/m²/mo</t>
  </si>
  <si>
    <t>L/p/day</t>
  </si>
  <si>
    <t>L/p/day</t>
  </si>
  <si>
    <t>/100p/mo</t>
  </si>
  <si>
    <t>% closed</t>
  </si>
  <si>
    <t>₹/p/mo</t>
  </si>
  <si>
    <t>persons/tech</t>
  </si>
  <si>
    <t>TIER 5 · OPERATIONAL DETAIL — pyramids (apex = smallest of the top-10) &amp; butterflies (back-to-back comparisons)</t>
  </si>
  <si>
    <t>💧 WATER HEATMAP — building meter × month (kL)   •   darker red = higher use   •   Δ vs median 2023–25 baseline</t>
  </si>
  <si>
    <t>Building</t>
  </si>
  <si>
    <t>Jan-26</t>
  </si>
  <si>
    <t>Feb-26</t>
  </si>
  <si>
    <t>Mar-26</t>
  </si>
  <si>
    <t>Apr-26</t>
  </si>
  <si>
    <t>May-26</t>
  </si>
  <si>
    <t>Jun-26</t>
  </si>
  <si>
    <t>Jul-26</t>
  </si>
  <si>
    <t>Sep-26</t>
  </si>
  <si>
    <t>Oct-26</t>
  </si>
  <si>
    <t>Nov-26</t>
  </si>
  <si>
    <t>Dec-26</t>
  </si>
  <si>
    <t>Avg 2026</t>
  </si>
  <si>
    <t>Baseline</t>
  </si>
  <si>
    <t>Δ</t>
  </si>
  <si>
    <t>Share</t>
  </si>
  <si>
    <t>⚡ POWER HEATMAP — building meter × month (kWh)   •   darker red = higher use   •   Δ vs Avg-2025</t>
  </si>
  <si>
    <t>Avg 2025</t>
  </si>
  <si>
    <t>📋 PER-CAPITA KPI MATRIX — ALL MIS DOMAINS   (selected month / YTD average vs Avg-2025 and Avg-2024 baselines)</t>
  </si>
  <si>
    <t>Domain</t>
  </si>
  <si>
    <t>KPI</t>
  </si>
  <si>
    <t>Unit</t>
  </si>
  <si>
    <t>Selected</t>
  </si>
  <si>
    <t>Avg 2024</t>
  </si>
  <si>
    <t>Δ vs 2025</t>
  </si>
  <si>
    <t>Status</t>
  </si>
  <si>
    <t>Energy</t>
  </si>
  <si>
    <t>Grid energy per person</t>
  </si>
  <si>
    <t>kWh/person/month</t>
  </si>
  <si>
    <t>Energy bill per person</t>
  </si>
  <si>
    <t>₹/person/month</t>
  </si>
  <si>
    <t>EPI</t>
  </si>
  <si>
    <t>kWh/m²/month</t>
  </si>
  <si>
    <t>HVAC energy per person</t>
  </si>
  <si>
    <t>Power factor</t>
  </si>
  <si>
    <t>ratio</t>
  </si>
  <si>
    <t>Max-demand utilisation  (info)</t>
  </si>
  <si>
    <t>% of sanctioned</t>
  </si>
  <si>
    <t>Water</t>
  </si>
  <si>
    <t>L/person/day</t>
  </si>
  <si>
    <t>Borewell draw per person</t>
  </si>
  <si>
    <t>Treatment &amp; Reuse</t>
  </si>
  <si>
    <t>STP recycled per person</t>
  </si>
  <si>
    <t>STP share of inlet water</t>
  </si>
  <si>
    <t>%</t>
  </si>
  <si>
    <t>WTP treated water per person  (info)</t>
  </si>
  <si>
    <t>Drip irrigation per person  (info)</t>
  </si>
  <si>
    <t>Solar &amp; Renewables</t>
  </si>
  <si>
    <t>Solar generation per person</t>
  </si>
  <si>
    <t>Solar offset of grid energy</t>
  </si>
  <si>
    <t>Solar savings per person  (info)</t>
  </si>
  <si>
    <t>Service Desk</t>
  </si>
  <si>
    <t>Complaints per 100 persons</t>
  </si>
  <si>
    <t>per 100 persons/month</t>
  </si>
  <si>
    <t>Closure rate</t>
  </si>
  <si>
    <t>Pending complaints per 1,000 persons</t>
  </si>
  <si>
    <t>per 1,000 persons</t>
  </si>
  <si>
    <t>Emergency share of complaints  (info)</t>
  </si>
  <si>
    <t>Manpower &amp; Cost</t>
  </si>
  <si>
    <t>Deployment %</t>
  </si>
  <si>
    <t>Overtime per 100 man-days present</t>
  </si>
  <si>
    <t>hrs/100 man-days</t>
  </si>
  <si>
    <t>Technical manpower cost per person</t>
  </si>
  <si>
    <t>Technical manpower budget use  (info)</t>
  </si>
  <si>
    <t>Persons served per technician  (info)</t>
  </si>
  <si>
    <t>persons/technician</t>
  </si>
  <si>
    <t>DG energy per person  (info)</t>
  </si>
  <si>
    <t>Method: per-person = monthly quantity ÷ occupants (LPCD sheet, 1,354); L/person/day uses calendar days. Scores compare the selection with the Avg-2025 row of each source sheet (capped 50–150, direction-aware: lower is better for consumption &amp; cost, higher for PF, STP, solar, closure, deployment). '(info)' KPIs are shown but not scored (no 2025 baseline or known data issue). Tracked OPEX = HT energy bill + technical manpower cost (shown only for months where both are logged).</t>
  </si>
  <si>
    <t>COMPLAINTS SUMMARY  ·  Service Desk Performance 2026 vs 2023–2025</t>
  </si>
  <si>
    <t>Month</t>
  </si>
  <si>
    <t>Number of complains received</t>
  </si>
  <si>
    <t>Priority</t>
  </si>
  <si>
    <t>Complaints closed</t>
  </si>
  <si>
    <t>% Emergency</t>
  </si>
  <si>
    <t>%Non-Critical</t>
  </si>
  <si>
    <t>Pending</t>
  </si>
  <si>
    <t>Daily average Nos of Complaints</t>
  </si>
  <si>
    <t>Emergency</t>
  </si>
  <si>
    <t>Non Critical</t>
  </si>
  <si>
    <t>Avg 2023</t>
  </si>
  <si>
    <t>Total 2026 YTD</t>
  </si>
  <si>
    <t>AUDIT SNAPSHOT (live)</t>
  </si>
  <si>
    <t>AUDIT SNAPSHOT</t>
  </si>
  <si>
    <t>Current (latest)</t>
  </si>
  <si>
    <t>Total Complaints</t>
  </si>
  <si>
    <t>Completed</t>
  </si>
  <si>
    <t>BUILDING-WISE WATER CONSUMPTION (kL)  ·  2026 monthly vs 2023–2025 averages</t>
  </si>
  <si>
    <t>Flow hierarchy: Borewells + STP outlet → WTP / drip irrigation / sports field → building sub-meters downstream of WTP.   Blue = monthly meter entry · Baseline = MEDIAN of the 2023–25 monthly averages (robust to the suspect Avg-2025 building values) · tiles follow the month selected on FM_Dashboard (latest logged month when 2026 YTD is selected).</t>
  </si>
  <si>
    <t>BUILDINGS  ·  2026 YTD AVG (kL/month)</t>
  </si>
  <si>
    <t>TOP BUILDING  ·  2026 YTD AVG</t>
  </si>
  <si>
    <t>METERS REPORTING  ·  SELECTED MONTH</t>
  </si>
  <si>
    <t>DATA-QUALITY FLAGS OPEN</t>
  </si>
  <si>
    <t>S No</t>
  </si>
  <si>
    <t>Location</t>
  </si>
  <si>
    <t>Baseline
(median 23–25)</t>
  </si>
  <si>
    <t>Avg 2026
YTD</t>
  </si>
  <si>
    <t>Total 2026
YTD</t>
  </si>
  <si>
    <t>Δ YTD vs
Avg 2025</t>
  </si>
  <si>
    <t>Δ YTD vs
Baseline</t>
  </si>
  <si>
    <t>Months
logged</t>
  </si>
  <si>
    <t>Data-quality flag</t>
  </si>
  <si>
    <t>A  ·  BUILDING SUB-METERS  (downstream of WTP)</t>
  </si>
  <si>
    <t>SR-1</t>
  </si>
  <si>
    <t>Residence</t>
  </si>
  <si>
    <t>SR-2</t>
  </si>
  <si>
    <t>SR-3</t>
  </si>
  <si>
    <t>SR-4</t>
  </si>
  <si>
    <t>SR-9-10B1A</t>
  </si>
  <si>
    <t>SR-9-10B1B</t>
  </si>
  <si>
    <t>SR-11-12CA</t>
  </si>
  <si>
    <t>SR-11-12CB</t>
  </si>
  <si>
    <t>Junior School-1&amp;2</t>
  </si>
  <si>
    <t>Academic</t>
  </si>
  <si>
    <t>Junior School-3</t>
  </si>
  <si>
    <t>Senior School-1</t>
  </si>
  <si>
    <t>Senior School-2</t>
  </si>
  <si>
    <t>Senior School-3</t>
  </si>
  <si>
    <t>Academy Building</t>
  </si>
  <si>
    <t>Commons</t>
  </si>
  <si>
    <t>Amenity</t>
  </si>
  <si>
    <t>Swimming Pool</t>
  </si>
  <si>
    <t>Athletic Centre</t>
  </si>
  <si>
    <t>PCM</t>
  </si>
  <si>
    <t>Support</t>
  </si>
  <si>
    <t>Nursery</t>
  </si>
  <si>
    <t>Laundry</t>
  </si>
  <si>
    <t>Σ BUILDING SUB-METERS</t>
  </si>
  <si>
    <t>B  ·  PRIMARY USES  (fed from borewells + STP outlet)</t>
  </si>
  <si>
    <t>WTP (treated output)</t>
  </si>
  <si>
    <t>Primary use</t>
  </si>
  <si>
    <t>Drip irrigation</t>
  </si>
  <si>
    <t>Sports field</t>
  </si>
  <si>
    <t>Σ PRIMARY USES</t>
  </si>
  <si>
    <t>C  ·  SOURCES  (campus inlet)</t>
  </si>
  <si>
    <t>Borewells</t>
  </si>
  <si>
    <t>Source</t>
  </si>
  <si>
    <t>STP outlet (recycled)</t>
  </si>
  <si>
    <t>Σ INLET (borewells + STP outlet)</t>
  </si>
  <si>
    <t>D  ·  WATER BALANCE &amp; METER COVERAGE</t>
  </si>
  <si>
    <t>Inlet − primary uses (kL)</t>
  </si>
  <si>
    <t>Tank storage change, sprinklers &amp; losses. Negative = more used than metered inlet.</t>
  </si>
  <si>
    <t>WTP output − building meters (kL)</t>
  </si>
  <si>
    <t>Un-metered use + softener backwash/regeneration + distribution loss.</t>
  </si>
  <si>
    <t>Building sub-meter coverage of WTP</t>
  </si>
  <si>
    <t>Share of WTP output that building meters account for (YTD = months where both exist).</t>
  </si>
  <si>
    <t>Meters reporting (of 25)</t>
  </si>
  <si>
    <t>Months with fewer meters are incomplete – totals understate use.</t>
  </si>
  <si>
    <t>SAME-MONTH YEAR-ON-YEAR  ·  Jan-25 vs Jan-26 (kL)</t>
  </si>
  <si>
    <t>#</t>
  </si>
  <si>
    <t>Jan-25</t>
  </si>
  <si>
    <t>Δ kL</t>
  </si>
  <si>
    <t>Δ %</t>
  </si>
  <si>
    <t>Note</t>
  </si>
  <si>
    <t>Old table had 31 typed; meter table says 180 – verify</t>
  </si>
  <si>
    <t>No Jan-25 history</t>
  </si>
  <si>
    <t>Meter starts Mar-26</t>
  </si>
  <si>
    <t>Jan-26 equals STP outlet (3,596) – suspected copy</t>
  </si>
  <si>
    <t>Borewells</t>
  </si>
  <si>
    <t>STP outlet (recycled)</t>
  </si>
  <si>
    <t>Unlabelled legacy values (were at M63:M67, no location or month) – owner to identify or delete:</t>
  </si>
  <si>
    <t>values</t>
  </si>
  <si>
    <t>LPCD  ·  LITRES PER CAPITA PER DAY</t>
  </si>
  <si>
    <t>LPCD = monthly litres ÷ occupants ÷ days in month (averages ÷ 365/12).  Benchmark 135 LPCD is domestic.</t>
  </si>
  <si>
    <t>Water Consumption in Ltrs</t>
  </si>
  <si>
    <t>No. of occupants</t>
  </si>
  <si>
    <t>Benchmark</t>
  </si>
  <si>
    <t>Comparison</t>
  </si>
  <si>
    <t>Water Con in Lt</t>
  </si>
  <si>
    <t>No of Occupants</t>
  </si>
  <si>
    <t>Benchmark (LPCD)</t>
  </si>
  <si>
    <t>EPI  ·  ENERGY PERFORMANCE INDEX (kWh / m² / month)</t>
  </si>
  <si>
    <t>Electricity consumption / Sq.m/month</t>
  </si>
  <si>
    <t>kWh/Sq.m/month</t>
  </si>
  <si>
    <t>Avg-2024</t>
  </si>
  <si>
    <t>Avg-2025</t>
  </si>
  <si>
    <t>Built-up Area (sq.mtr)</t>
  </si>
  <si>
    <t>Power consumption / Sq.m/month</t>
  </si>
  <si>
    <t>HT POWER CONSUMPTION &amp; COST</t>
  </si>
  <si>
    <t>HT Units in kWh</t>
  </si>
  <si>
    <t>HT Units in kVAH</t>
  </si>
  <si>
    <t>PF</t>
  </si>
  <si>
    <t>Amount</t>
  </si>
  <si>
    <t>Unit Rate</t>
  </si>
  <si>
    <t>MD-Recorded</t>
  </si>
  <si>
    <t>Sanctioned MD</t>
  </si>
  <si>
    <t>TOTAL 2026 YTD</t>
  </si>
  <si>
    <t>Avg 2026 ('000)</t>
  </si>
  <si>
    <t>Parameter</t>
  </si>
  <si>
    <t>KWH</t>
  </si>
  <si>
    <t>KVAH</t>
  </si>
  <si>
    <t>MD Recorded</t>
  </si>
  <si>
    <t>Sanctiond MD</t>
  </si>
  <si>
    <t>BUILDING-WISE POWER CONSUMPTION (kWh)  ·  2026</t>
  </si>
  <si>
    <t>Buildings</t>
  </si>
  <si>
    <t>Avg 2026 YTD</t>
  </si>
  <si>
    <t>Feb-25</t>
  </si>
  <si>
    <t>SR1,2,3&amp;4 Emergency</t>
  </si>
  <si>
    <t>SR1,2,3&amp;4 Emgy.</t>
  </si>
  <si>
    <t>SR 9&amp;10A,B 11-12A,B Emergency</t>
  </si>
  <si>
    <t>SR9/10AB,SR11/12A,B Emgy.</t>
  </si>
  <si>
    <t>Substation</t>
  </si>
  <si>
    <t>SR-9-10A</t>
  </si>
  <si>
    <t>SR-9-10B</t>
  </si>
  <si>
    <t>Junior School-1,2&amp;3</t>
  </si>
  <si>
    <t>Senior School-1&amp;3</t>
  </si>
  <si>
    <t>Pump House</t>
  </si>
  <si>
    <t>On call</t>
  </si>
  <si>
    <t>Irrigation</t>
  </si>
  <si>
    <t>Street Lights</t>
  </si>
  <si>
    <t>WTP/STP</t>
  </si>
  <si>
    <t>Nursary</t>
  </si>
  <si>
    <t>Total ('000 kWh)</t>
  </si>
  <si>
    <t>SOLAR POWER  ·  GENERATION &amp; EXPORT TO TSSPDCL</t>
  </si>
  <si>
    <t>SOLAR POWER EXPORTED TO TSSPDCL</t>
  </si>
  <si>
    <t xml:space="preserve">Month </t>
  </si>
  <si>
    <t>KWh</t>
  </si>
  <si>
    <t>Savings Amount in INR</t>
  </si>
  <si>
    <t>Export tariff (₹/kWh)</t>
  </si>
  <si>
    <t>TOTAL</t>
  </si>
  <si>
    <t>Plant Name</t>
  </si>
  <si>
    <t>Generation (KWh)</t>
  </si>
  <si>
    <t>AB_BUILDING</t>
  </si>
  <si>
    <t>ART_AND_MUSIC</t>
  </si>
  <si>
    <t>ATHLETIC_CENTRE</t>
  </si>
  <si>
    <t>COMMONS_BUILDING</t>
  </si>
  <si>
    <t>FACILITY_BLOCK</t>
  </si>
  <si>
    <t>Ground_Mount_And_Substation</t>
  </si>
  <si>
    <t>JS_LIBRARY</t>
  </si>
  <si>
    <t>SENIOR_SCHOOL_1</t>
  </si>
  <si>
    <t>SQUASH_COURT</t>
  </si>
  <si>
    <t>SS_LABORATORY</t>
  </si>
  <si>
    <t>Total</t>
  </si>
  <si>
    <t xml:space="preserve">Solar Power </t>
  </si>
  <si>
    <t>HVAC ELECTRICITY CONSUMPTION (kWh)</t>
  </si>
  <si>
    <t>HVAC BY BUILDING</t>
  </si>
  <si>
    <t>JS</t>
  </si>
  <si>
    <t>SS</t>
  </si>
  <si>
    <t>SR1</t>
  </si>
  <si>
    <t>SR2</t>
  </si>
  <si>
    <t>SR3</t>
  </si>
  <si>
    <t>SR4</t>
  </si>
  <si>
    <t>SR9/10A</t>
  </si>
  <si>
    <t>SR9/10B</t>
  </si>
  <si>
    <t>SR11/12CA</t>
  </si>
  <si>
    <t>SR11/12CB</t>
  </si>
  <si>
    <t>Total (kWh)</t>
  </si>
  <si>
    <t>2024 (Avg)</t>
  </si>
  <si>
    <t>2025 (Avg)</t>
  </si>
  <si>
    <t>942</t>
  </si>
  <si>
    <t>1952</t>
  </si>
  <si>
    <t>1081</t>
  </si>
  <si>
    <t>1757</t>
  </si>
  <si>
    <t>983</t>
  </si>
  <si>
    <t>582</t>
  </si>
  <si>
    <t>2756</t>
  </si>
  <si>
    <t>1991</t>
  </si>
  <si>
    <t>1930</t>
  </si>
  <si>
    <t>1966</t>
  </si>
  <si>
    <t>2450</t>
  </si>
  <si>
    <t>Sodexo-Technical- Manpower Services Invoice Amounts</t>
  </si>
  <si>
    <t>Sodexo-Commons - Manpower Services Invoice Amounts</t>
  </si>
  <si>
    <t>Sodexo-HK- Manpower Services Invoice Amounts</t>
  </si>
  <si>
    <t>Description</t>
  </si>
  <si>
    <t>Amount(TINR,000)</t>
  </si>
  <si>
    <t>Budget</t>
  </si>
  <si>
    <t>Year</t>
  </si>
  <si>
    <t>Values in TINR</t>
  </si>
  <si>
    <t>Technical  Manpower Services</t>
  </si>
  <si>
    <t xml:space="preserve">Commons </t>
  </si>
  <si>
    <t>House Keeping</t>
  </si>
  <si>
    <t>Avg.2018</t>
  </si>
  <si>
    <t>Technical Arc -Flash suit rent &amp; Technical staff PPE Kit</t>
  </si>
  <si>
    <t>Avg.2019</t>
  </si>
  <si>
    <t>Avg.2020</t>
  </si>
  <si>
    <t>Avg.2021</t>
  </si>
  <si>
    <t>Avg.2022</t>
  </si>
  <si>
    <t>FM included</t>
  </si>
  <si>
    <t>FM yet to join</t>
  </si>
  <si>
    <t>FM Joined</t>
  </si>
  <si>
    <t>Average</t>
  </si>
  <si>
    <t>TECHNICAL MANPOWER COST  ·  Sodexo &amp; Trident invoices (₹'000)</t>
  </si>
  <si>
    <t>Particular</t>
  </si>
  <si>
    <t>Budget (,000)</t>
  </si>
  <si>
    <t>Budget Utilisation %</t>
  </si>
  <si>
    <t>Avg.23</t>
  </si>
  <si>
    <t>Avg.24</t>
  </si>
  <si>
    <t>Avg.25</t>
  </si>
  <si>
    <t>Avg-26</t>
  </si>
  <si>
    <t>Total YTD</t>
  </si>
  <si>
    <t>Trident  Manpower Services Invoice Amounts</t>
  </si>
  <si>
    <t xml:space="preserve">Trident Manpower Services </t>
  </si>
  <si>
    <t>Avg.22</t>
  </si>
  <si>
    <t>TECHNICAL TEAM ATTENDANCE &amp; DEPLOYMENT</t>
  </si>
  <si>
    <t>Technical Team Deployment – 2026</t>
  </si>
  <si>
    <t>Total Present</t>
  </si>
  <si>
    <t>Total Deployed</t>
  </si>
  <si>
    <t>% Deployment</t>
  </si>
  <si>
    <t>OT(in Hrs)</t>
  </si>
  <si>
    <t>OT Value(INR)</t>
  </si>
  <si>
    <t>Remarks</t>
  </si>
  <si>
    <t>Headcount</t>
  </si>
  <si>
    <t>Weekly Offs</t>
  </si>
  <si>
    <t>OT for 15th &amp; 26th Jan</t>
  </si>
  <si>
    <t>OT for 14,26 Jan-25</t>
  </si>
  <si>
    <t>OT for 27 Feb-25</t>
  </si>
  <si>
    <t>OT For 31 Mar-25</t>
  </si>
  <si>
    <t>OT For 01,24-May-25</t>
  </si>
  <si>
    <t>OT  02-Jun-2025</t>
  </si>
  <si>
    <t>OT  15 AUG-2025</t>
  </si>
  <si>
    <t>OT  02-OCT-2025</t>
  </si>
  <si>
    <t>DG GENERATION &amp; POWER FAILURE MONITORING</t>
  </si>
  <si>
    <t>Units Generated</t>
  </si>
  <si>
    <t>Diesel Consumed (in ltrs)Avg./ Month</t>
  </si>
  <si>
    <t>No. of power failures/Month (Avg)</t>
  </si>
  <si>
    <t>Total Failure Time ( in Hrs)</t>
  </si>
  <si>
    <t>500KVA</t>
  </si>
  <si>
    <t>750KVA</t>
  </si>
  <si>
    <t>Total Units Generated/Month</t>
  </si>
  <si>
    <t>Diesel Consumed (L)</t>
  </si>
  <si>
    <t>Power Failures / Month</t>
  </si>
  <si>
    <t>Failure Time (Hrs)</t>
  </si>
  <si>
    <t>Total units Generated/Month</t>
  </si>
  <si>
    <t>PARAMETERS Bore Well</t>
  </si>
  <si>
    <t>UNITS</t>
  </si>
  <si>
    <t>DESIRABLE LIMITS</t>
  </si>
  <si>
    <t>Bore 01</t>
  </si>
  <si>
    <t>Bore 02</t>
  </si>
  <si>
    <t>Bore 03</t>
  </si>
  <si>
    <t>Bore 04</t>
  </si>
  <si>
    <t>Bore 05</t>
  </si>
  <si>
    <t>Bore 06</t>
  </si>
  <si>
    <t>Bore 07</t>
  </si>
  <si>
    <t>Bore 08</t>
  </si>
  <si>
    <t>Bore 09</t>
  </si>
  <si>
    <t>Bore 10</t>
  </si>
  <si>
    <t>PHYSICAL</t>
  </si>
  <si>
    <t>Colour</t>
  </si>
  <si>
    <t>Hazen</t>
  </si>
  <si>
    <t>Colorless</t>
  </si>
  <si>
    <t>Turbidity</t>
  </si>
  <si>
    <t>NTU</t>
  </si>
  <si>
    <t>pH</t>
  </si>
  <si>
    <t>6.5 - 8.5</t>
  </si>
  <si>
    <t>Electrical Conductivity</t>
  </si>
  <si>
    <t>Us/cm</t>
  </si>
  <si>
    <t>NS</t>
  </si>
  <si>
    <t>CHEMICAL PARAMETERS</t>
  </si>
  <si>
    <t>HmmTotal Dissolved Solids</t>
  </si>
  <si>
    <t>mg/l</t>
  </si>
  <si>
    <t>Total Hardness as Caco3</t>
  </si>
  <si>
    <t>Alkalilnity to Phenolphthalein</t>
  </si>
  <si>
    <t>Methyl Orange Alkalinity</t>
  </si>
  <si>
    <t>Calcium as Ca,</t>
  </si>
  <si>
    <t>Magnesium as Mg</t>
  </si>
  <si>
    <t>Soldium as Na,</t>
  </si>
  <si>
    <t>Potassium as K,</t>
  </si>
  <si>
    <t>o.5</t>
  </si>
  <si>
    <t>Chloride as Cl,</t>
  </si>
  <si>
    <t>Sulphates as S04,</t>
  </si>
  <si>
    <t>Nitrates as No3,</t>
  </si>
  <si>
    <t>Fluoride as F</t>
  </si>
  <si>
    <t>Iron</t>
  </si>
  <si>
    <t>Silica</t>
  </si>
  <si>
    <t>MICROBIOLOGICAL PARAMETERS</t>
  </si>
  <si>
    <t>Total Bacterial Count</t>
  </si>
  <si>
    <t>Cfu/ml</t>
  </si>
  <si>
    <t>75 x 10 1</t>
  </si>
  <si>
    <t>68 x 10 1</t>
  </si>
  <si>
    <t>81 x 10 1</t>
  </si>
  <si>
    <t>37 x 10 2</t>
  </si>
  <si>
    <t>47 x 10 1</t>
  </si>
  <si>
    <t>71 x 10 1</t>
  </si>
  <si>
    <t>43 x 10 1</t>
  </si>
  <si>
    <t>55 x 10 1</t>
  </si>
  <si>
    <t>49 x 10 1</t>
  </si>
  <si>
    <t>Coli form</t>
  </si>
  <si>
    <t>MPN/100ml</t>
  </si>
  <si>
    <t>Nil</t>
  </si>
  <si>
    <t>E coli</t>
  </si>
  <si>
    <t>Absent/100ml</t>
  </si>
  <si>
    <t>Absent</t>
  </si>
  <si>
    <t>SWIMMING POOL</t>
  </si>
  <si>
    <t>Total Alkalinity as (Cac03)</t>
  </si>
  <si>
    <t>Aluminium as AI</t>
  </si>
  <si>
    <t>&lt;0.01</t>
  </si>
  <si>
    <t>&lt; 0.01</t>
  </si>
  <si>
    <t>Total Residue Chlorine</t>
  </si>
  <si>
    <t>Oxygen Observed in 4 hours at 27 C</t>
  </si>
  <si>
    <t>Total Dissolved Solids</t>
  </si>
  <si>
    <t>Chloride as CI</t>
  </si>
  <si>
    <t>Iron as Fe</t>
  </si>
  <si>
    <t>HAZEN</t>
  </si>
  <si>
    <t>Heavy metals (as Pb)</t>
  </si>
  <si>
    <t>&lt;0.001</t>
  </si>
  <si>
    <t>&lt; 0.001</t>
  </si>
  <si>
    <t>Color Odour Taste</t>
  </si>
  <si>
    <t>Odour</t>
  </si>
  <si>
    <t>Odourless</t>
  </si>
  <si>
    <t>Taste</t>
  </si>
  <si>
    <t>Un agreeable</t>
  </si>
  <si>
    <t>SEWARE WATER - DISCHARGE</t>
  </si>
  <si>
    <t>5.5 - 9.0</t>
  </si>
  <si>
    <t>Electrical conductivity</t>
  </si>
  <si>
    <t>Total Solids</t>
  </si>
  <si>
    <t>Total dissolved solids (TDS)</t>
  </si>
  <si>
    <t>Total suspended solids (TSS)</t>
  </si>
  <si>
    <t>30-100</t>
  </si>
  <si>
    <t>Chemical Oxygen demand (COD)</t>
  </si>
  <si>
    <t>100-250</t>
  </si>
  <si>
    <t>Biochemical Oxygen demand (BOD)</t>
  </si>
  <si>
    <t>20 -30</t>
  </si>
  <si>
    <t>Fecal Coliforms</t>
  </si>
  <si>
    <t>CFU/ml</t>
  </si>
  <si>
    <t>&lt;1000/100</t>
  </si>
  <si>
    <t>colourless</t>
  </si>
  <si>
    <t>Oil and Grease</t>
  </si>
  <si>
    <t>10-20</t>
  </si>
  <si>
    <t>&lt; 1.00</t>
  </si>
  <si>
    <t>&lt;5</t>
  </si>
  <si>
    <t>Sulphide content</t>
  </si>
  <si>
    <t>Chromium content</t>
  </si>
  <si>
    <t>Chloride content</t>
  </si>
  <si>
    <t>&lt;1.00</t>
  </si>
  <si>
    <t>Parameters above desirable limit</t>
  </si>
  <si>
    <t>count</t>
  </si>
  <si>
    <t>MONTHLY KPI REPORT  ·  FACILITY MANAGEMENT 2026  (monthly roll-up of all source sheets  ·  16 KPIs)</t>
  </si>
  <si>
    <t>Complaints Received</t>
  </si>
  <si>
    <t>Closure %</t>
  </si>
  <si>
    <t>Pending Complaints</t>
  </si>
  <si>
    <t>Water Consumption (KL)</t>
  </si>
  <si>
    <t>Borewell (KL)</t>
  </si>
  <si>
    <t>HT Units (kWh)</t>
  </si>
  <si>
    <t>EPI (kWh/m²)</t>
  </si>
  <si>
    <t>Solar Export (kWh)</t>
  </si>
  <si>
    <t>Solar Savings (₹)</t>
  </si>
  <si>
    <t>DG Generation (kWh)</t>
  </si>
  <si>
    <t>DG Failures</t>
  </si>
  <si>
    <t>HVAC (kWh)</t>
  </si>
  <si>
    <t>SOURCE BENCHMARKS / CONTROL NOTES</t>
  </si>
  <si>
    <t>Target / Benchmark</t>
  </si>
  <si>
    <t>Rule</t>
  </si>
  <si>
    <t>Control</t>
  </si>
  <si>
    <t>Monitoring use</t>
  </si>
  <si>
    <t>135</t>
  </si>
  <si>
    <t>≤ benchmark</t>
  </si>
  <si>
    <t>Lower is better</t>
  </si>
  <si>
    <t>Monthly water-efficiency KPI</t>
  </si>
  <si>
    <t>8.0</t>
  </si>
  <si>
    <t>Monthly energy-efficiency KPI</t>
  </si>
  <si>
    <t>Data Completeness</t>
  </si>
  <si>
    <t>80%</t>
  </si>
  <si>
    <t>≥ threshold</t>
  </si>
  <si>
    <t>KPI report</t>
  </si>
  <si>
    <t>Higher is better</t>
  </si>
  <si>
    <t>Minimum readiness for management review</t>
  </si>
  <si>
    <t>Tech Manpower (₹000)</t>
  </si>
  <si>
    <t>Data Completeness %</t>
  </si>
  <si>
    <t>Data Status</t>
  </si>
  <si>
    <t>BUILDING MASTER — facility map used by FM_Dashboard &amp; PerCapita_Pyramid</t>
  </si>
  <si>
    <t>Blue cells are inputs. Enter each facility's occupants (beds / regular users) and built-up area to unlock per-building per-capita (LPCD, kWh/person) and per-m² KPIs. Leave blank if unknown — dashboards then show '–'. Residences carry resident students from the 2026-27 roster (192); staff living in the residences are not counted. Where two buildings share one headcount, enter it on the first and name that building under 'Counted with' on the second — the per-person figures are then worked out for the pair.</t>
  </si>
  <si>
    <t>Water meter(s) — 'Building wise water'</t>
  </si>
  <si>
    <t>Power meter — 'Power Building wise'</t>
  </si>
  <si>
    <t>Occupants (input)</t>
  </si>
  <si>
    <t>Built-up area m² (input)</t>
  </si>
  <si>
    <t>Mapping note</t>
  </si>
  <si>
    <t>Counted with (shared headcount)</t>
  </si>
  <si>
    <t>Residence block (2026-27 roster)</t>
  </si>
  <si>
    <t>Charminar (with SR-2)</t>
  </si>
  <si>
    <t>SR-1</t>
  </si>
  <si>
    <t>Charminar (with SR-1)</t>
  </si>
  <si>
    <t>Falaknuma (with SR-4)</t>
  </si>
  <si>
    <t>SR-3</t>
  </si>
  <si>
    <t>Falaknuma (with SR-3)</t>
  </si>
  <si>
    <t>SR-9/10 A</t>
  </si>
  <si>
    <t>water meter SR-9-10B1A</t>
  </si>
  <si>
    <t>Chowmahalla-2</t>
  </si>
  <si>
    <t>SR-9/10 B</t>
  </si>
  <si>
    <t>water meter SR-9-10B1B</t>
  </si>
  <si>
    <t>Chowmahalla-1</t>
  </si>
  <si>
    <t>SR-11/12 CA</t>
  </si>
  <si>
    <t>Golconda-2</t>
  </si>
  <si>
    <t>SR-11/12 CB</t>
  </si>
  <si>
    <t>Golconda-1</t>
  </si>
  <si>
    <t>Junior School</t>
  </si>
  <si>
    <t>water JS-1&amp;2 + JS-3; power JS-1,2&amp;3</t>
  </si>
  <si>
    <t>Senior School 1 &amp; 3</t>
  </si>
  <si>
    <t>power meter covers SS-1 &amp; SS-3</t>
  </si>
  <si>
    <t>Senior School 2</t>
  </si>
  <si>
    <t>— (not metered)</t>
  </si>
  <si>
    <t>no separate power meter</t>
  </si>
  <si>
    <t>power meter 'Nursary'</t>
  </si>
  <si>
    <t>Campus occupants (LPCD sheet)</t>
  </si>
  <si>
    <t>Campus built-up area m² (EPI sheet)</t>
  </si>
  <si>
    <t>Sum of facility occupants entered</t>
  </si>
  <si>
    <t>Resident students entered for SR residences (roster total 192)</t>
  </si>
  <si>
    <t>MIS CALCULATION ENGINE — links every dashboard figure to the source MIS sheets. Do not type here.</t>
  </si>
  <si>
    <t>Month list</t>
  </si>
  <si>
    <t>Facility list (drop-down source)</t>
  </si>
  <si>
    <t>FM_Dashboard month</t>
  </si>
  <si>
    <t>2026 YTD</t>
  </si>
  <si>
    <t>All Facilities</t>
  </si>
  <si>
    <t>FM_Dashboard facility</t>
  </si>
  <si>
    <t>PerCapita_Pyramid month</t>
  </si>
  <si>
    <t>Latest month with HT power data</t>
  </si>
  <si>
    <t>Campus built-up area m²</t>
  </si>
  <si>
    <t>LPCD benchmark</t>
  </si>
  <si>
    <t>EPI benchmark (kWh/m²/month)</t>
  </si>
  <si>
    <t>PF target</t>
  </si>
  <si>
    <t>Deployment target</t>
  </si>
  <si>
    <t>Closure target</t>
  </si>
  <si>
    <t>Days in FM selection</t>
  </si>
  <si>
    <t>Days in Pyramid selection</t>
  </si>
  <si>
    <t>Campus occupants</t>
  </si>
  <si>
    <t>A. Monthly fact table (Jan–Dec 2026) + baselines (Avg 2023 / 2024 / 2025) — blank = not yet logged</t>
  </si>
  <si>
    <t>Days</t>
  </si>
  <si>
    <t>Complaints received (count)</t>
  </si>
  <si>
    <t>Complaints closed (count)</t>
  </si>
  <si>
    <t>Pending complaints (count)</t>
  </si>
  <si>
    <t>Emergency complaints (count)</t>
  </si>
  <si>
    <t>Water consumption (kL)</t>
  </si>
  <si>
    <t>Occupants (persons)</t>
  </si>
  <si>
    <t>LPCD (L/person/day)</t>
  </si>
  <si>
    <t>Borewell draw (kL)</t>
  </si>
  <si>
    <t>STP outlet (recycled) (kL)</t>
  </si>
  <si>
    <t>WTP treated output (kL)</t>
  </si>
  <si>
    <t>Drip irrigation (kL)</t>
  </si>
  <si>
    <t>HT grid energy (kWh)</t>
  </si>
  <si>
    <t>HT energy (kVAh)</t>
  </si>
  <si>
    <t>Power factor (ratio)</t>
  </si>
  <si>
    <t>HT energy bill (₹)</t>
  </si>
  <si>
    <t>Energy unit rate (₹/kVAh)</t>
  </si>
  <si>
    <t>Max demand recorded (kVA)</t>
  </si>
  <si>
    <t>Sanctioned MD (kVA)</t>
  </si>
  <si>
    <t>EPI (kWh/m²/month)</t>
  </si>
  <si>
    <t>Solar generation (kWh)</t>
  </si>
  <si>
    <t>Solar exported to TSSPDCL (kWh)</t>
  </si>
  <si>
    <t>Solar savings (₹)</t>
  </si>
  <si>
    <t>DG units generated (kWh)</t>
  </si>
  <si>
    <t>Power failures (count)</t>
  </si>
  <si>
    <t>Power failure time (hrs)</t>
  </si>
  <si>
    <t>HVAC energy (kWh)</t>
  </si>
  <si>
    <t>Technical manpower cost (₹)</t>
  </si>
  <si>
    <t>Technical manpower budget (₹)</t>
  </si>
  <si>
    <t>Technical man-days present (man-days)</t>
  </si>
  <si>
    <t>Technical man-days deployed (man-days)</t>
  </si>
  <si>
    <t>Deployment % (%)</t>
  </si>
  <si>
    <t>Overtime (hrs)</t>
  </si>
  <si>
    <t>Technical headcount (persons)</t>
  </si>
  <si>
    <t>Data completeness (%)</t>
  </si>
  <si>
    <t>Grid energy per person (kWh/person/month)</t>
  </si>
  <si>
    <t>Energy bill per person (₹/person/month)</t>
  </si>
  <si>
    <t>HVAC energy per person (kWh/person/month)</t>
  </si>
  <si>
    <t>Max-demand utilisation (% of sanctioned)</t>
  </si>
  <si>
    <t>Borewell draw per person (L/person/day)</t>
  </si>
  <si>
    <t>STP recycled per person (L/person/day)</t>
  </si>
  <si>
    <t>WTP treated water per person (L/person/day)</t>
  </si>
  <si>
    <t>Drip irrigation per person (L/person/day)</t>
  </si>
  <si>
    <t>STP share of inlet water (%)</t>
  </si>
  <si>
    <t>Solar generation per person (kWh/person/month)</t>
  </si>
  <si>
    <t>Solar offset of grid energy (%)</t>
  </si>
  <si>
    <t>Solar savings per person (₹/person/month)</t>
  </si>
  <si>
    <t>Complaints per 100 persons (per 100 persons/month)</t>
  </si>
  <si>
    <t>Closure rate (%)</t>
  </si>
  <si>
    <t>Emergency share of complaints (%)</t>
  </si>
  <si>
    <t>Pending complaints per 1,000 persons (per 1,000 persons)</t>
  </si>
  <si>
    <t>Technical manpower cost per person (₹/person/month)</t>
  </si>
  <si>
    <t>Technical manpower budget use (%)</t>
  </si>
  <si>
    <t>Overtime per 100 man-days present (hrs/100 man-days)</t>
  </si>
  <si>
    <t>Persons served per technician (persons/technician)</t>
  </si>
  <si>
    <t>Tracked OPEX: HT energy bill + technical manpower (₹)</t>
  </si>
  <si>
    <t>Tracked OPEX per person (₹/person/month)</t>
  </si>
  <si>
    <t>DG energy per person (kWh/person/month)</t>
  </si>
  <si>
    <t>chart:ht</t>
  </si>
  <si>
    <t>chart:solar</t>
  </si>
  <si>
    <t>chart:bore</t>
  </si>
  <si>
    <t>chart:stp</t>
  </si>
  <si>
    <t>chart:lpcd</t>
  </si>
  <si>
    <t>chart:epi</t>
  </si>
  <si>
    <t>chart:pf</t>
  </si>
  <si>
    <t>chart:bill</t>
  </si>
  <si>
    <t>chart:wtp</t>
  </si>
  <si>
    <t>chart:comp</t>
  </si>
  <si>
    <t>chart:closed</t>
  </si>
  <si>
    <t>chart:deploy</t>
  </si>
  <si>
    <t>chart:pc_kwh</t>
  </si>
  <si>
    <t>chart:pc_opex</t>
  </si>
  <si>
    <t>chart:hvac</t>
  </si>
  <si>
    <t>chart:dg</t>
  </si>
  <si>
    <t>chart:dgfail</t>
  </si>
  <si>
    <t>chart:water</t>
  </si>
  <si>
    <t>EPI benchmark</t>
  </si>
  <si>
    <t>Deploy target</t>
  </si>
  <si>
    <t>Baseline days = 365/12</t>
  </si>
  <si>
    <t>B. Selection engine — FM_Dashboard (month in B3) and PerCapita_Pyramid (month in B5)</t>
  </si>
  <si>
    <t>Key</t>
  </si>
  <si>
    <t>Agg</t>
  </si>
  <si>
    <t>FM: selected (total/value)</t>
  </si>
  <si>
    <t>FM: per month</t>
  </si>
  <si>
    <t>Months logged</t>
  </si>
  <si>
    <t>Avg 2025 (per month)</t>
  </si>
  <si>
    <t>Avg 2024 (per month)</t>
  </si>
  <si>
    <t>FM Δ vs 2025</t>
  </si>
  <si>
    <t>PYR: per month</t>
  </si>
  <si>
    <t>PYR Δ vs 2025</t>
  </si>
  <si>
    <t>Avg 2023 (per month)</t>
  </si>
  <si>
    <t>comp</t>
  </si>
  <si>
    <t>Complaints received</t>
  </si>
  <si>
    <t>sum</t>
  </si>
  <si>
    <t>closed</t>
  </si>
  <si>
    <t>pend</t>
  </si>
  <si>
    <t>Pending complaints</t>
  </si>
  <si>
    <t>last</t>
  </si>
  <si>
    <t>emerg</t>
  </si>
  <si>
    <t>Emergency complaints</t>
  </si>
  <si>
    <t>water</t>
  </si>
  <si>
    <t>Water consumption</t>
  </si>
  <si>
    <t>kL</t>
  </si>
  <si>
    <t>occ</t>
  </si>
  <si>
    <t>Occupants</t>
  </si>
  <si>
    <t>persons</t>
  </si>
  <si>
    <t>avg</t>
  </si>
  <si>
    <t>lpcd</t>
  </si>
  <si>
    <t>bore</t>
  </si>
  <si>
    <t>Borewell draw</t>
  </si>
  <si>
    <t>stp</t>
  </si>
  <si>
    <t>wtp</t>
  </si>
  <si>
    <t>WTP treated output</t>
  </si>
  <si>
    <t>drip</t>
  </si>
  <si>
    <t>ht</t>
  </si>
  <si>
    <t>HT grid energy</t>
  </si>
  <si>
    <t>kWh</t>
  </si>
  <si>
    <t>kvah</t>
  </si>
  <si>
    <t>HT energy (kVAh)</t>
  </si>
  <si>
    <t>kVAh</t>
  </si>
  <si>
    <t>pf</t>
  </si>
  <si>
    <t>ratio</t>
  </si>
  <si>
    <t>bill</t>
  </si>
  <si>
    <t>HT energy bill</t>
  </si>
  <si>
    <t>₹</t>
  </si>
  <si>
    <t>rate</t>
  </si>
  <si>
    <t>Energy unit rate</t>
  </si>
  <si>
    <t>₹/kVAh</t>
  </si>
  <si>
    <t>md</t>
  </si>
  <si>
    <t>Max demand recorded</t>
  </si>
  <si>
    <t>kVA</t>
  </si>
  <si>
    <t>smd</t>
  </si>
  <si>
    <t>epi</t>
  </si>
  <si>
    <t>solar</t>
  </si>
  <si>
    <t>Solar generation</t>
  </si>
  <si>
    <t>solexp</t>
  </si>
  <si>
    <t>Solar exported to TSSPDCL</t>
  </si>
  <si>
    <t>solsav</t>
  </si>
  <si>
    <t>Solar savings</t>
  </si>
  <si>
    <t>dg</t>
  </si>
  <si>
    <t>DG units generated</t>
  </si>
  <si>
    <t>dgfail</t>
  </si>
  <si>
    <t>Power failures</t>
  </si>
  <si>
    <t>dghrs</t>
  </si>
  <si>
    <t>Power failure time</t>
  </si>
  <si>
    <t>hrs</t>
  </si>
  <si>
    <t>hvac</t>
  </si>
  <si>
    <t>HVAC energy</t>
  </si>
  <si>
    <t>tech</t>
  </si>
  <si>
    <t>Technical manpower cost</t>
  </si>
  <si>
    <t>techb</t>
  </si>
  <si>
    <t>Technical manpower budget</t>
  </si>
  <si>
    <t>present</t>
  </si>
  <si>
    <t>Technical man-days present</t>
  </si>
  <si>
    <t>man-days</t>
  </si>
  <si>
    <t>deployed</t>
  </si>
  <si>
    <t>Technical man-days deployed</t>
  </si>
  <si>
    <t>deploy</t>
  </si>
  <si>
    <t>ot</t>
  </si>
  <si>
    <t>Overtime</t>
  </si>
  <si>
    <t>head</t>
  </si>
  <si>
    <t>Technical headcount</t>
  </si>
  <si>
    <t>complete</t>
  </si>
  <si>
    <t>Data completeness</t>
  </si>
  <si>
    <t>pc_kwh</t>
  </si>
  <si>
    <t>pc_bill</t>
  </si>
  <si>
    <t>pc_hvac</t>
  </si>
  <si>
    <t>md_util</t>
  </si>
  <si>
    <t>Max-demand utilisation</t>
  </si>
  <si>
    <t>pc_bore</t>
  </si>
  <si>
    <t>pc_stp</t>
  </si>
  <si>
    <t>pc_wtp</t>
  </si>
  <si>
    <t>WTP treated water per person</t>
  </si>
  <si>
    <t>pc_drip</t>
  </si>
  <si>
    <t>Drip irrigation per person</t>
  </si>
  <si>
    <t>stp_share</t>
  </si>
  <si>
    <t>pc_solar</t>
  </si>
  <si>
    <t>sol_off</t>
  </si>
  <si>
    <t>pc_solsav</t>
  </si>
  <si>
    <t>Solar savings per person</t>
  </si>
  <si>
    <t>pc_comp</t>
  </si>
  <si>
    <t>closure</t>
  </si>
  <si>
    <t>emerg_sh</t>
  </si>
  <si>
    <t>Emergency share of complaints</t>
  </si>
  <si>
    <t>pc_pend</t>
  </si>
  <si>
    <t>pc_tech</t>
  </si>
  <si>
    <t>tech_util</t>
  </si>
  <si>
    <t>Technical manpower budget use</t>
  </si>
  <si>
    <t>ot_pm</t>
  </si>
  <si>
    <t>pp_tech</t>
  </si>
  <si>
    <t>Persons served per technician</t>
  </si>
  <si>
    <t>opex</t>
  </si>
  <si>
    <t>Tracked OPEX (HT energy bill + technical manpower)</t>
  </si>
  <si>
    <t>pc_opex</t>
  </si>
  <si>
    <t>Tracked OPEX per person</t>
  </si>
  <si>
    <t>pc_dg</t>
  </si>
  <si>
    <t>DG energy per person</t>
  </si>
  <si>
    <t>C1. Water by building meter (kL) — 'Building wise water' rows 11–30</t>
  </si>
  <si>
    <t>Baseline (median 23–25)</t>
  </si>
  <si>
    <t>FM per month</t>
  </si>
  <si>
    <t>YTD total</t>
  </si>
  <si>
    <t>Δ vs baseline</t>
  </si>
  <si>
    <t>PYR per month</t>
  </si>
  <si>
    <t>C2. Power by building meter (kWh) — 'Power Building wise' rows 3–27, except row 24 (meter retired from the dashboards: row 157 is left blank, its rank key F270 is pinned last)</t>
  </si>
  <si>
    <t>—</t>
  </si>
  <si>
    <t>Δ vs Avg 2025</t>
  </si>
  <si>
    <t>C3. HVAC energy by building (kWh) — 'HVAC consumption'</t>
  </si>
  <si>
    <t>C4. Solar generation by plant (kWh) — 'Solar Power' rows 22–31</t>
  </si>
  <si>
    <t>Plant</t>
  </si>
  <si>
    <t>D. Facility view — water &amp; power mapped per facility (Building_Master)</t>
  </si>
  <si>
    <t>Water Jan-26</t>
  </si>
  <si>
    <t>Water Feb-26</t>
  </si>
  <si>
    <t>Water Mar-26</t>
  </si>
  <si>
    <t>Water Apr-26</t>
  </si>
  <si>
    <t>Water May-26</t>
  </si>
  <si>
    <t>Water Jun-26</t>
  </si>
  <si>
    <t>Water Jul-26</t>
  </si>
  <si>
    <t>Water Aug-26</t>
  </si>
  <si>
    <t>Water Sep-26</t>
  </si>
  <si>
    <t>Water Oct-26</t>
  </si>
  <si>
    <t>Water Nov-26</t>
  </si>
  <si>
    <t>Water Dec-26</t>
  </si>
  <si>
    <t>Power Jan-26</t>
  </si>
  <si>
    <t>Power Feb-26</t>
  </si>
  <si>
    <t>Power Mar-26</t>
  </si>
  <si>
    <t>Power Apr-26</t>
  </si>
  <si>
    <t>Power May-26</t>
  </si>
  <si>
    <t>Power Jun-26</t>
  </si>
  <si>
    <t>Power Jul-26</t>
  </si>
  <si>
    <t>Power Aug-26</t>
  </si>
  <si>
    <t>Power Sep-26</t>
  </si>
  <si>
    <t>Power Oct-26</t>
  </si>
  <si>
    <t>Power Nov-26</t>
  </si>
  <si>
    <t>Power Dec-26</t>
  </si>
  <si>
    <t>Water FM/month</t>
  </si>
  <si>
    <t>Water baseline</t>
  </si>
  <si>
    <t>Water Δ</t>
  </si>
  <si>
    <t>Power FM/month</t>
  </si>
  <si>
    <t>Power Avg 2025</t>
  </si>
  <si>
    <t>Power Δ</t>
  </si>
  <si>
    <t>Area m²</t>
  </si>
  <si>
    <t>kWh/person/mo</t>
  </si>
  <si>
    <t>kWh/m²/mo</t>
  </si>
  <si>
    <t>Water PYR/month</t>
  </si>
  <si>
    <t>Power PYR/month</t>
  </si>
  <si>
    <t>Water YTD</t>
  </si>
  <si>
    <t>Power YTD</t>
  </si>
  <si>
    <t>Selected facility drill-down</t>
  </si>
  <si>
    <t>Water kL</t>
  </si>
  <si>
    <t>Power kWh</t>
  </si>
  <si>
    <t>Water (chart)</t>
  </si>
  <si>
    <t>Power (chart)</t>
  </si>
  <si>
    <t>Water group</t>
  </si>
  <si>
    <t>FM per month (kL)</t>
  </si>
  <si>
    <t>Borewell</t>
  </si>
  <si>
    <t>HT energy</t>
  </si>
  <si>
    <t>HVAC</t>
  </si>
  <si>
    <t>WTP treated water</t>
  </si>
  <si>
    <t>Energy bill</t>
  </si>
  <si>
    <t>STP recycled</t>
  </si>
  <si>
    <t>Complaints</t>
  </si>
  <si>
    <t>water helper</t>
  </si>
  <si>
    <t>Rank</t>
  </si>
  <si>
    <t>Name</t>
  </si>
  <si>
    <t>Value</t>
  </si>
  <si>
    <t>power helper</t>
  </si>
  <si>
    <t>hvac helper</t>
  </si>
  <si>
    <t>solar helper</t>
  </si>
  <si>
    <t>E. Per-capita KPI matrix &amp; pyramid scores (PerCapita_Pyramid month; 100 = Avg-2025 baseline)</t>
  </si>
  <si>
    <t>Category</t>
  </si>
  <si>
    <t>Selected (per month)</t>
  </si>
  <si>
    <t>Direction</t>
  </si>
  <si>
    <t>Score (0.5–1.5)</t>
  </si>
  <si>
    <t>Core</t>
  </si>
  <si>
    <t>Format</t>
  </si>
  <si>
    <t>lower</t>
  </si>
  <si>
    <t>0.0</t>
  </si>
  <si>
    <t>#,##0</t>
  </si>
  <si>
    <t>0.00</t>
  </si>
  <si>
    <t>higher</t>
  </si>
  <si>
    <t>0.000</t>
  </si>
  <si>
    <t>0.0%</t>
  </si>
  <si>
    <t>Tier</t>
  </si>
  <si>
    <t>Score</t>
  </si>
  <si>
    <t>Headline KPI</t>
  </si>
  <si>
    <t>Headline value</t>
  </si>
  <si>
    <t>Core KPIs scored</t>
  </si>
  <si>
    <t>Tier 3 · Category</t>
  </si>
  <si>
    <t>STP recycled per person</t>
  </si>
  <si>
    <t>Tier 2 · Pillar</t>
  </si>
  <si>
    <t>Utilities</t>
  </si>
  <si>
    <t>Sustainability</t>
  </si>
  <si>
    <t>Operations</t>
  </si>
  <si>
    <t>Tier 1 · Apex</t>
  </si>
  <si>
    <t>Per-Capita Performance Index</t>
  </si>
  <si>
    <t>F. Pyramid &amp; butterfly chart blocks (PerCapita_Pyramid month)</t>
  </si>
  <si>
    <t>k</t>
  </si>
  <si>
    <t>Spacer</t>
  </si>
  <si>
    <t>Extra</t>
  </si>
  <si>
    <t>HT grid (left)</t>
  </si>
  <si>
    <t>Solar (right)</t>
  </si>
  <si>
    <t>Borewell (left)</t>
  </si>
  <si>
    <t>STP recycled (right)</t>
  </si>
  <si>
    <t>Man-days deployed (left)</t>
  </si>
  <si>
    <t>Man-days present (right)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</si>
</sst>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#,##0.0"/>
    <numFmt numFmtId="165" formatCode="0.0"/>
    <numFmt numFmtId="166" formatCode="#,##0.0;\(#,##0.0\);&quot;-&quot;"/>
    <numFmt numFmtId="167" formatCode="0.0%;\(0.0%\);&quot;-&quot;"/>
    <numFmt numFmtId="168" formatCode="#,##0;\(#,##0\);&quot;-&quot;"/>
    <numFmt numFmtId="169" formatCode="#,##0.00;\(#,##0.00\);&quot;-&quot;"/>
    <numFmt numFmtId="170" formatCode="0.0%"/>
    <numFmt numFmtId="171" formatCode="0.000"/>
    <numFmt numFmtId="172" formatCode="\₹#,##0"/>
    <numFmt numFmtId="173" formatCode="\+0.0%;\-0.0%;0.0%"/>
    <numFmt numFmtId="174" formatCode="\+#,##0;\-#,##0;&quot;-&quot;"/>
    <numFmt numFmtId="175" formatCode="0&quot;/25&quot;"/>
    <numFmt numFmtId="176" formatCode="\+#,##0;\-#,##0;&quot;✓&quot;"/>
    <numFmt numFmtId="177" formatCode="0&quot; / 25&quot;"/>
    <numFmt numFmtId="178" formatCode="#,##0;\-#,##0;;"/>
    <numFmt numFmtId="179" formatCode="0.0;\-0.0;;"/>
    <numFmt numFmtId="180" formatCode="0.00;\-0.00;;"/>
    <numFmt numFmtId="181" formatCode="0.000;\-0.000;;"/>
    <numFmt numFmtId="182" formatCode="0;\-0;;"/>
    <numFmt numFmtId="183" formatCode="0.0%;\-0.0%;;"/>
    <numFmt numFmtId="184" formatCode="\+0%;\-0%;0%"/>
    <numFmt numFmtId="185" formatCode="&quot;₹&quot;#,##0.0&quot; L&quot;"/>
    <numFmt numFmtId="186" formatCode="#,##0;#,##0;;"/>
  </numFmts>
  <fonts count="91" x14ac:knownFonts="1">
    <font>
      <sz val="11"/>
      <name val="Arial"/>
    </font>
    <font>
      <sz val="12"/>
      <color theme="1"/>
      <name val="Calibri"/>
      <family val="2"/>
      <scheme val="minor"/>
    </font>
    <font>
      <sz val="9.5"/>
      <color rgb="FF0F172A"/>
      <name val="Arial"/>
    </font>
    <font>
      <b/>
      <sz val="15"/>
      <color rgb="FFFFFFFF"/>
      <name val="Arial"/>
    </font>
    <font>
      <b/>
      <sz val="9"/>
      <color rgb="FFFFFFFF"/>
      <name val="Arial"/>
    </font>
    <font>
      <b/>
      <sz val="9.5"/>
      <color rgb="FF0F172A"/>
      <name val="Arial"/>
    </font>
    <font>
      <sz val="9.5"/>
      <color rgb="FF0000FF"/>
      <name val="Arial"/>
    </font>
    <font>
      <b/>
      <i/>
      <sz val="9.5"/>
      <color rgb="FF0F172A"/>
      <name val="Arial"/>
    </font>
    <font>
      <i/>
      <sz val="9.5"/>
      <color rgb="FF0000FF"/>
      <name val="Arial"/>
    </font>
    <font>
      <i/>
      <sz val="9.5"/>
      <color rgb="FF0F172A"/>
      <name val="Arial"/>
    </font>
    <font>
      <b/>
      <sz val="10.5"/>
      <color rgb="FF0E7490"/>
      <name val="Arial"/>
    </font>
    <font>
      <i/>
      <sz val="9"/>
      <color rgb="FF64748B"/>
      <name val="Arial"/>
    </font>
    <font>
      <b/>
      <sz val="9.5"/>
      <color rgb="FF0000FF"/>
      <name val="Arial"/>
    </font>
    <font>
      <sz val="9.5"/>
      <color rgb="FF047857"/>
      <name val="Arial"/>
    </font>
    <font>
      <i/>
      <sz val="9.5"/>
      <color rgb="FF047857"/>
      <name val="Arial"/>
    </font>
    <font>
      <b/>
      <i/>
      <sz val="9.5"/>
      <color rgb="FF0000FF"/>
      <name val="Arial"/>
    </font>
    <font>
      <b/>
      <sz val="9"/>
      <color rgb="FF334155"/>
      <name val="Arial"/>
    </font>
    <font>
      <b/>
      <sz val="10"/>
      <color rgb="FF0000FF"/>
      <name val="Arial"/>
    </font>
    <font>
      <b/>
      <sz val="9.5"/>
      <color rgb="FF0E7490"/>
      <name val="Arial"/>
    </font>
    <font>
      <b/>
      <sz val="7.5"/>
      <color rgb="FF22D3EE"/>
      <name val="Arial"/>
    </font>
    <font>
      <b/>
      <sz val="7.5"/>
      <color rgb="FF34D399"/>
      <name val="Arial"/>
    </font>
    <font>
      <b/>
      <sz val="7.5"/>
      <color rgb="FFFB7185"/>
      <name val="Arial"/>
    </font>
    <font>
      <b/>
      <sz val="7.5"/>
      <color rgb="FFA78BFA"/>
      <name val="Arial"/>
    </font>
    <font>
      <b/>
      <sz val="8.5"/>
      <color rgb="FFFFFFFF"/>
      <name val="Arial"/>
    </font>
    <font>
      <b/>
      <sz val="18"/>
      <color rgb="FFFFFFFF"/>
      <name val="Arial"/>
    </font>
    <font>
      <sz val="9"/>
      <color rgb="FF0F172A"/>
      <name val="Arial"/>
    </font>
    <font>
      <b/>
      <sz val="9"/>
      <color rgb="FF0F172A"/>
      <name val="Arial"/>
    </font>
    <font>
      <i/>
      <sz val="8.5"/>
      <color rgb="FF64748B"/>
      <name val="Arial"/>
    </font>
    <font>
      <b/>
      <sz val="9"/>
      <color rgb="FF22D3EE"/>
      <name val="Arial"/>
    </font>
    <font>
      <sz val="8.5"/>
      <color rgb="FF64748B"/>
      <name val="Arial"/>
    </font>
    <font>
      <b/>
      <sz val="9.5"/>
      <color rgb="FF4C1D95"/>
      <name val="Arial"/>
    </font>
    <font>
      <b/>
      <sz val="8"/>
      <color rgb="FF166534"/>
      <name val="Arial"/>
    </font>
    <font>
      <b/>
      <sz val="9"/>
      <color rgb="FFFBBF24"/>
      <name val="Arial"/>
    </font>
    <font>
      <b/>
      <sz val="9"/>
      <color rgb="FF34D399"/>
      <name val="Arial"/>
    </font>
    <font>
      <b/>
      <sz val="9"/>
      <color rgb="FFA78BFA"/>
      <name val="Arial"/>
    </font>
    <font>
      <i/>
      <sz val="7.5"/>
      <color rgb="FF64748B"/>
      <name val="Arial"/>
    </font>
    <font>
      <i/>
      <sz val="8"/>
      <color rgb="FF64748B"/>
      <name val="Arial"/>
    </font>
    <font>
      <b/>
      <sz val="7.5"/>
      <color rgb="FFA5B8D6"/>
      <name val="Arial"/>
    </font>
    <font>
      <b/>
      <sz val="7.5"/>
      <color rgb="FFFBBF24"/>
      <name val="Arial"/>
    </font>
    <font>
      <b/>
      <sz val="7.5"/>
      <color rgb="FF38BDF8"/>
      <name val="Arial"/>
    </font>
    <font>
      <sz val="9"/>
      <color rgb="FF0000FF"/>
      <name val="Arial"/>
    </font>
    <font>
      <i/>
      <sz val="7.5"/>
      <color rgb="FFB45309"/>
      <name val="Arial"/>
    </font>
    <font>
      <b/>
      <sz val="8"/>
      <color rgb="FFB45309"/>
      <name val="Arial"/>
    </font>
    <font>
      <sz val="8"/>
      <color rgb="FF64748B"/>
      <name val="Arial"/>
    </font>
    <font>
      <b/>
      <sz val="13"/>
      <color rgb="FF0B3D3A"/>
      <name val="Calibri"/>
    </font>
    <font>
      <i/>
      <sz val="9"/>
      <color rgb="FF5D6D7E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0000FF"/>
      <name val="Calibri"/>
    </font>
    <font>
      <i/>
      <sz val="11"/>
      <name val="Calibri"/>
    </font>
    <font>
      <b/>
      <sz val="12"/>
      <color rgb="FF0B3D3A"/>
      <name val="Calibri"/>
    </font>
    <font>
      <b/>
      <sz val="10"/>
      <color rgb="FFF7DC6F"/>
      <name val="Calibri"/>
    </font>
    <font>
      <b/>
      <sz val="10"/>
      <color rgb="FFFFFFFF"/>
      <name val="Calibri"/>
    </font>
    <font>
      <b/>
      <sz val="20"/>
      <color rgb="FFFFFFFF"/>
      <name val="Calibri"/>
    </font>
    <font>
      <b/>
      <sz val="8"/>
      <color rgb="FFA9DFBF"/>
      <name val="Calibri"/>
    </font>
    <font>
      <b/>
      <sz val="22"/>
      <color rgb="FFFFFFFF"/>
      <name val="Calibri"/>
    </font>
    <font>
      <i/>
      <sz val="10"/>
      <color rgb="FFFFFFFF"/>
      <name val="Calibri"/>
    </font>
    <font>
      <b/>
      <sz val="9"/>
      <color rgb="FF5D6D7E"/>
      <name val="Calibri"/>
    </font>
    <font>
      <b/>
      <sz val="10"/>
      <color rgb="FF0B3D3A"/>
      <name val="Calibri"/>
    </font>
    <font>
      <b/>
      <sz val="12"/>
      <color rgb="FF0000FF"/>
      <name val="Calibri"/>
    </font>
    <font>
      <b/>
      <sz val="10"/>
      <color rgb="FF1E8449"/>
      <name val="Calibri"/>
    </font>
    <font>
      <i/>
      <sz val="8"/>
      <color rgb="FF5D6D7E"/>
      <name val="Calibri"/>
    </font>
    <font>
      <b/>
      <sz val="9"/>
      <color rgb="FFFFFFFF"/>
      <name val="Calibri"/>
    </font>
    <font>
      <b/>
      <sz val="20"/>
      <color rgb="FF1B2631"/>
      <name val="Calibri"/>
    </font>
    <font>
      <sz val="8"/>
      <color rgb="FF5D6D7E"/>
      <name val="Calibri"/>
    </font>
    <font>
      <b/>
      <sz val="11"/>
      <color rgb="FFFFFFFF"/>
      <name val="Calibri"/>
    </font>
    <font>
      <b/>
      <sz val="8"/>
      <color rgb="FFFFFFFF"/>
      <name val="Calibri"/>
    </font>
    <font>
      <b/>
      <sz val="9"/>
      <color rgb="FF1B2631"/>
      <name val="Calibri"/>
    </font>
    <font>
      <sz val="9"/>
      <color rgb="FF1B2631"/>
      <name val="Calibri"/>
    </font>
    <font>
      <b/>
      <sz val="10"/>
      <color rgb="FF1B2631"/>
      <name val="Calibri"/>
    </font>
    <font>
      <b/>
      <sz val="9"/>
      <name val="Calibri"/>
    </font>
    <font>
      <sz val="8"/>
      <color rgb="FF1B2631"/>
      <name val="Calibri"/>
    </font>
    <font>
      <b/>
      <sz val="10"/>
      <color rgb="FF0A1F33"/>
      <name val="Calibri"/>
    </font>
    <font>
      <b/>
      <sz val="20"/>
      <color rgb="FFC9A227"/>
      <name val="Calibri"/>
    </font>
    <font>
      <b/>
      <i/>
      <sz val="10"/>
      <color rgb="FF0A1F33"/>
      <name val="Calibri"/>
    </font>
    <font>
      <b/>
      <sz val="10"/>
      <color rgb="FF0E5A43"/>
      <name val="Calibri"/>
    </font>
    <font>
      <b/>
      <sz val="30"/>
      <color rgb="FF1B2631"/>
      <name val="Calibri"/>
    </font>
    <font>
      <b/>
      <sz val="8"/>
      <color rgb="FF8D6E00"/>
      <name val="Calibri"/>
    </font>
    <font>
      <b/>
      <sz val="22"/>
      <color rgb="FF1B2631"/>
      <name val="Calibri"/>
    </font>
    <font>
      <b/>
      <sz val="8"/>
      <color rgb="FF196F3D"/>
      <name val="Calibri"/>
    </font>
    <font>
      <b/>
      <sz val="18"/>
      <color rgb="FF1B2631"/>
      <name val="Calibri"/>
    </font>
    <font>
      <b/>
      <sz val="9"/>
      <color rgb="FF0A1F33"/>
      <name val="Calibri"/>
    </font>
    <font>
      <b/>
      <sz val="14"/>
      <color rgb="FF1B2631"/>
      <name val="Calibri"/>
    </font>
    <font>
      <i/>
      <sz val="7"/>
      <color rgb="FF5D6D7E"/>
      <name val="Calibri"/>
    </font>
    <font>
      <b/>
      <sz val="8"/>
      <color rgb="FF0A1F33"/>
      <name val="Calibri"/>
    </font>
    <font>
      <b/>
      <sz val="8"/>
      <color rgb="FF1B2631"/>
      <name val="Calibri"/>
    </font>
    <font>
      <sz val="7"/>
      <color rgb="FF1B2631"/>
      <name val="Calibri"/>
    </font>
    <font>
      <b/>
      <sz val="8"/>
      <color rgb="FFFFFFFF"/>
      <name val="Calibri"/>
    </font>
    <font>
      <i/>
      <sz val="8"/>
      <color rgb="FF5D6D7E"/>
      <name val="Calibri"/>
    </font>
    <font>
      <b/>
      <sz val="8"/>
      <color rgb="FF2176C7"/>
      <name val="Calibri"/>
    </font>
    <font>
      <b/>
      <sz val="8"/>
      <color rgb="FF6C3483"/>
      <name val="Calibri"/>
    </font>
  </fonts>
  <fills count="55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EEF2FF"/>
        <bgColor rgb="FFEEF2FF"/>
      </patternFill>
    </fill>
    <fill>
      <patternFill patternType="solid">
        <fgColor rgb="FFE0F2FE"/>
        <bgColor rgb="FFE0F2FE"/>
      </patternFill>
    </fill>
    <fill>
      <patternFill patternType="solid">
        <fgColor rgb="FFFFFBEB"/>
        <bgColor rgb="FFFFFBEB"/>
      </patternFill>
    </fill>
    <fill>
      <gradientFill degree="90">
        <stop position="0">
          <color rgb="FF1E3A5F"/>
        </stop>
        <stop position="0.5">
          <color rgb="FF0F172A"/>
        </stop>
        <stop position="1">
          <color rgb="FF0B1120"/>
        </stop>
      </gradientFill>
    </fill>
    <fill>
      <patternFill patternType="solid">
        <fgColor rgb="FFF8FAFC"/>
      </patternFill>
    </fill>
    <fill>
      <gradientFill degree="90">
        <stop position="0">
          <color rgb="FF3B4A63"/>
        </stop>
        <stop position="0.5">
          <color rgb="FF1E293B"/>
        </stop>
        <stop position="1">
          <color rgb="FF111827"/>
        </stop>
      </gradientFill>
    </fill>
    <fill>
      <gradientFill degree="90">
        <stop position="0">
          <color rgb="FF1E3A5F"/>
        </stop>
        <stop position="0.5">
          <color rgb="FF15294A"/>
        </stop>
        <stop position="1">
          <color rgb="FF0F1E38"/>
        </stop>
      </gradientFill>
    </fill>
    <fill>
      <patternFill patternType="solid">
        <fgColor rgb="FFFFFFFF"/>
      </patternFill>
    </fill>
    <fill>
      <patternFill patternType="solid">
        <fgColor rgb="FFEEF2FF"/>
      </patternFill>
    </fill>
    <fill>
      <patternFill patternType="solid">
        <fgColor rgb="FFF5F3FF"/>
      </patternFill>
    </fill>
    <fill>
      <patternFill patternType="solid">
        <fgColor rgb="FFF0F9FF"/>
      </patternFill>
    </fill>
    <fill>
      <gradientFill degree="90">
        <stop position="0">
          <color rgb="FFF1F5F9"/>
        </stop>
        <stop position="1">
          <color rgb="FFE2E8F0"/>
        </stop>
      </gradientFill>
    </fill>
    <fill>
      <patternFill patternType="solid">
        <fgColor rgb="FFFAF5FF"/>
      </patternFill>
    </fill>
    <fill>
      <gradientFill degree="90">
        <stop position="0">
          <color rgb="FF24406E"/>
        </stop>
        <stop position="1">
          <color rgb="FF1B3158"/>
        </stop>
      </gradientFill>
    </fill>
    <fill>
      <gradientFill degree="90">
        <stop position="0">
          <color rgb="FF1B3158"/>
        </stop>
        <stop position="0.5">
          <color rgb="FF13244A"/>
        </stop>
        <stop position="1">
          <color rgb="FF0F1D3C"/>
        </stop>
      </gradientFill>
    </fill>
    <fill>
      <gradientFill degree="90">
        <stop position="0">
          <color rgb="FF0F1D3C"/>
        </stop>
        <stop position="1">
          <color rgb="FF0B1630"/>
        </stop>
      </gradientFill>
    </fill>
    <fill>
      <patternFill patternType="solid">
        <fgColor rgb="FFFEF3C7"/>
      </patternFill>
    </fill>
    <fill>
      <patternFill patternType="solid">
        <fgColor rgb="FF0B3D3A"/>
      </patternFill>
    </fill>
    <fill>
      <patternFill patternType="solid">
        <fgColor rgb="FFFEF9E7"/>
      </patternFill>
    </fill>
    <fill>
      <patternFill patternType="solid">
        <fgColor rgb="FFE8F0EC"/>
      </patternFill>
    </fill>
    <fill>
      <patternFill patternType="solid">
        <fgColor rgb="FF145A32"/>
      </patternFill>
    </fill>
    <fill>
      <patternFill patternType="solid">
        <fgColor rgb="FF1E8449"/>
      </patternFill>
    </fill>
    <fill>
      <patternFill patternType="solid">
        <fgColor rgb="FFFFFFFF"/>
      </patternFill>
    </fill>
    <fill>
      <patternFill patternType="solid">
        <fgColor rgb="FF2874A6"/>
      </patternFill>
    </fill>
    <fill>
      <patternFill patternType="solid">
        <fgColor rgb="FF13A89E"/>
      </patternFill>
    </fill>
    <fill>
      <patternFill patternType="solid">
        <fgColor rgb="FFD4A017"/>
      </patternFill>
    </fill>
    <fill>
      <patternFill patternType="solid">
        <fgColor rgb="FFC0562F"/>
      </patternFill>
    </fill>
    <fill>
      <patternFill patternType="solid">
        <fgColor rgb="FF6C5B9E"/>
      </patternFill>
    </fill>
    <fill>
      <patternFill patternType="solid">
        <fgColor rgb="FF922B21"/>
      </patternFill>
    </fill>
    <fill>
      <patternFill patternType="solid">
        <fgColor rgb="FF7D6608"/>
      </patternFill>
    </fill>
    <fill>
      <patternFill patternType="solid">
        <fgColor rgb="FF0A1F33"/>
      </patternFill>
    </fill>
    <fill>
      <patternFill patternType="solid">
        <fgColor rgb="FFF7F5EF"/>
      </patternFill>
    </fill>
    <fill>
      <patternFill patternType="solid">
        <fgColor rgb="FFC9A227"/>
      </patternFill>
    </fill>
    <fill>
      <gradientFill>
        <stop position="0">
          <color rgb="FF0A1F33"/>
        </stop>
        <stop position="1">
          <color rgb="FF0E5A43"/>
        </stop>
      </gradientFill>
    </fill>
    <fill>
      <gradientFill>
        <stop position="0">
          <color rgb="FFC9A227"/>
        </stop>
        <stop position="1">
          <color rgb="FFF4E4A6"/>
        </stop>
      </gradientFill>
    </fill>
    <fill>
      <gradientFill>
        <stop position="0">
          <color rgb="FFF4E4A6"/>
        </stop>
        <stop position="1">
          <color rgb="FFFFFFFF"/>
        </stop>
      </gradientFill>
    </fill>
    <fill>
      <gradientFill>
        <stop position="0">
          <color rgb="FF8D6E00"/>
        </stop>
        <stop position="1">
          <color rgb="FFC9A227"/>
        </stop>
      </gradientFill>
    </fill>
    <fill>
      <gradientFill>
        <stop position="0">
          <color rgb="FFC9A227"/>
        </stop>
        <stop position="1">
          <color rgb="FF8D6E00"/>
        </stop>
      </gradientFill>
    </fill>
    <fill>
      <gradientFill degree="90">
        <stop position="0">
          <color rgb="FFF4E4A6"/>
        </stop>
        <stop position="1">
          <color rgb="FFC9A227"/>
        </stop>
      </gradientFill>
    </fill>
    <fill>
      <patternFill patternType="solid">
        <fgColor rgb="FFF8F9F9"/>
      </patternFill>
    </fill>
    <fill>
      <patternFill patternType="solid">
        <fgColor rgb="FF196F3D"/>
      </patternFill>
    </fill>
    <fill>
      <gradientFill>
        <stop position="0">
          <color rgb="FF015DA7"/>
        </stop>
        <stop position="1">
          <color rgb="FF4495E9"/>
        </stop>
      </gradientFill>
    </fill>
    <fill>
      <gradientFill>
        <stop position="0">
          <color rgb="FF4495E9"/>
        </stop>
        <stop position="1">
          <color rgb="FF015DA7"/>
        </stop>
      </gradientFill>
    </fill>
    <fill>
      <gradientFill>
        <stop position="0">
          <color rgb="FF00552A"/>
        </stop>
        <stop position="1">
          <color rgb="FF3D8D59"/>
        </stop>
      </gradientFill>
    </fill>
    <fill>
      <gradientFill>
        <stop position="0">
          <color rgb="FF3D8D59"/>
        </stop>
        <stop position="1">
          <color rgb="FF00552A"/>
        </stop>
      </gradientFill>
    </fill>
    <fill>
      <gradientFill>
        <stop position="0">
          <color rgb="FF541B69"/>
        </stop>
        <stop position="1">
          <color rgb="FF8A51A2"/>
        </stop>
      </gradientFill>
    </fill>
    <fill>
      <gradientFill>
        <stop position="0">
          <color rgb="FF8A51A2"/>
        </stop>
        <stop position="1">
          <color rgb="FF541B69"/>
        </stop>
      </gradientFill>
    </fill>
    <fill>
      <patternFill patternType="solid">
        <fgColor rgb="FF2176C7"/>
      </patternFill>
    </fill>
    <fill>
      <patternFill patternType="solid">
        <fgColor rgb="FF6C3483"/>
      </patternFill>
    </fill>
  </fills>
  <borders count="66">
    <border>
      <left/>
      <right/>
      <top/>
      <bottom/>
      <diagonal/>
    </border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6B6D4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0369A1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06B6D4"/>
      </bottom>
      <diagonal/>
    </border>
    <border>
      <left style="thin">
        <color rgb="FF334155"/>
      </left>
      <right style="thin">
        <color rgb="FF334155"/>
      </right>
      <top/>
      <bottom style="medium">
        <color rgb="FF06B6D4"/>
      </bottom>
      <diagonal/>
    </border>
    <border>
      <left/>
      <right style="thin">
        <color rgb="FF334155"/>
      </right>
      <top style="thin">
        <color rgb="FF334155"/>
      </top>
      <bottom style="medium">
        <color rgb="FF06B6D4"/>
      </bottom>
      <diagonal/>
    </border>
    <border>
      <left/>
      <right style="thin">
        <color rgb="FFE2E8F0"/>
      </right>
      <top style="medium">
        <color rgb="FF0369A1"/>
      </top>
      <bottom style="thin">
        <color rgb="FFE2E8F0"/>
      </bottom>
      <diagonal/>
    </border>
    <border>
      <left/>
      <right/>
      <top/>
      <bottom style="medium">
        <color rgb="FF06B6D4"/>
      </bottom>
      <diagonal/>
    </border>
    <border>
      <left style="thin">
        <color rgb="FF334155"/>
      </left>
      <right style="thin">
        <color rgb="FF334155"/>
      </right>
      <top style="thin">
        <color rgb="FF475569"/>
      </top>
      <bottom style="medium">
        <color rgb="FF06B6D4"/>
      </bottom>
      <diagonal/>
    </border>
    <border>
      <left/>
      <right/>
      <top style="thin">
        <color rgb="FF22D3EE"/>
      </top>
      <bottom style="thin">
        <color rgb="FF0B1220"/>
      </bottom>
      <diagonal/>
    </border>
    <border>
      <left style="thin">
        <color rgb="FFE2E8F0"/>
      </left>
      <right style="thin">
        <color rgb="FFE2E8F0"/>
      </right>
      <top style="medium">
        <color rgb="FF0369A1"/>
      </top>
      <bottom style="medium">
        <color rgb="FF0369A1"/>
      </bottom>
      <diagonal/>
    </border>
    <border>
      <left/>
      <right/>
      <top style="thin">
        <color rgb="FFFBBF24"/>
      </top>
      <bottom style="thin">
        <color rgb="FF0B1220"/>
      </bottom>
      <diagonal/>
    </border>
    <border>
      <left style="thin">
        <color rgb="FFE2E8F0"/>
      </left>
      <right style="thin">
        <color rgb="FFE2E8F0"/>
      </right>
      <top style="medium">
        <color rgb="FFB45309"/>
      </top>
      <bottom style="medium">
        <color rgb="FFB45309"/>
      </bottom>
      <diagonal/>
    </border>
    <border>
      <left/>
      <right/>
      <top style="thin">
        <color rgb="FF34D399"/>
      </top>
      <bottom style="thin">
        <color rgb="FF0B1220"/>
      </bottom>
      <diagonal/>
    </border>
    <border>
      <left style="thin">
        <color rgb="FFE2E8F0"/>
      </left>
      <right style="thin">
        <color rgb="FFE2E8F0"/>
      </right>
      <top style="medium">
        <color rgb="FF047857"/>
      </top>
      <bottom style="medium">
        <color rgb="FF047857"/>
      </bottom>
      <diagonal/>
    </border>
    <border>
      <left/>
      <right/>
      <top style="thin">
        <color rgb="FFA78BFA"/>
      </top>
      <bottom style="thin">
        <color rgb="FF0B1220"/>
      </bottom>
      <diagonal/>
    </border>
    <border>
      <left/>
      <right/>
      <top style="medium">
        <color rgb="FF22D3EE"/>
      </top>
      <bottom/>
      <diagonal/>
    </border>
    <border>
      <left/>
      <right style="medium">
        <color rgb="FF94A3B8"/>
      </right>
      <top style="medium">
        <color rgb="FF22D3EE"/>
      </top>
      <bottom/>
      <diagonal/>
    </border>
    <border>
      <left style="thin">
        <color rgb="FF3B5B8F"/>
      </left>
      <right/>
      <top/>
      <bottom/>
      <diagonal/>
    </border>
    <border>
      <left/>
      <right/>
      <top/>
      <bottom/>
      <diagonal/>
    </border>
    <border>
      <left/>
      <right style="medium">
        <color rgb="FF94A3B8"/>
      </right>
      <top/>
      <bottom/>
      <diagonal/>
    </border>
    <border>
      <left/>
      <right/>
      <top/>
      <bottom style="medium">
        <color rgb="FF94A3B8"/>
      </bottom>
      <diagonal/>
    </border>
    <border>
      <left/>
      <right style="medium">
        <color rgb="FF94A3B8"/>
      </right>
      <top/>
      <bottom style="medium">
        <color rgb="FF94A3B8"/>
      </bottom>
      <diagonal/>
    </border>
    <border>
      <left/>
      <right/>
      <top style="medium">
        <color rgb="FF34D399"/>
      </top>
      <bottom/>
      <diagonal/>
    </border>
    <border>
      <left/>
      <right style="medium">
        <color rgb="FF94A3B8"/>
      </right>
      <top style="medium">
        <color rgb="FF34D399"/>
      </top>
      <bottom/>
      <diagonal/>
    </border>
    <border>
      <left/>
      <right/>
      <top style="medium">
        <color rgb="FFFBBF24"/>
      </top>
      <bottom/>
      <diagonal/>
    </border>
    <border>
      <left/>
      <right style="medium">
        <color rgb="FF94A3B8"/>
      </right>
      <top style="medium">
        <color rgb="FFFBBF24"/>
      </top>
      <bottom/>
      <diagonal/>
    </border>
    <border>
      <left/>
      <right/>
      <top style="medium">
        <color rgb="FFA78BFA"/>
      </top>
      <bottom/>
      <diagonal/>
    </border>
    <border>
      <left/>
      <right style="medium">
        <color rgb="FF94A3B8"/>
      </right>
      <top style="medium">
        <color rgb="FFA78BFA"/>
      </top>
      <bottom/>
      <diagonal/>
    </border>
    <border>
      <left/>
      <right/>
      <top style="medium">
        <color rgb="FF38BDF8"/>
      </top>
      <bottom/>
      <diagonal/>
    </border>
    <border>
      <left/>
      <right style="medium">
        <color rgb="FF94A3B8"/>
      </right>
      <top style="medium">
        <color rgb="FF38BDF8"/>
      </top>
      <bottom/>
      <diagonal/>
    </border>
    <border>
      <left/>
      <right/>
      <top style="medium">
        <color rgb="FFFB7185"/>
      </top>
      <bottom/>
      <diagonal/>
    </border>
    <border>
      <left/>
      <right style="medium">
        <color rgb="FF94A3B8"/>
      </right>
      <top style="medium">
        <color rgb="FFFB7185"/>
      </top>
      <bottom/>
      <diagonal/>
    </border>
    <border>
      <left/>
      <right/>
      <top style="thin">
        <color rgb="FF22D3EE"/>
      </top>
      <bottom/>
      <diagonal/>
    </border>
    <border>
      <left style="thin">
        <color rgb="FF3B5B8F"/>
      </left>
      <right style="medium">
        <color rgb="FF94A3B8"/>
      </right>
      <top/>
      <bottom style="medium">
        <color rgb="FF94A3B8"/>
      </bottom>
      <diagonal/>
    </border>
    <border>
      <left style="thin">
        <color rgb="FF3B5B8F"/>
      </left>
      <right style="medium">
        <color rgb="FF94A3B8"/>
      </right>
      <top/>
      <bottom/>
      <diagonal/>
    </border>
    <border>
      <left style="thin">
        <color rgb="FF3B5B8F"/>
      </left>
      <right style="medium">
        <color rgb="FF94A3B8"/>
      </right>
      <top style="medium">
        <color rgb="FFFB7185"/>
      </top>
      <bottom/>
      <diagonal/>
    </border>
    <border>
      <left style="thin">
        <color rgb="FF3B5B8F"/>
      </left>
      <right style="medium">
        <color rgb="FF94A3B8"/>
      </right>
      <top style="medium">
        <color rgb="FF34D399"/>
      </top>
      <bottom/>
      <diagonal/>
    </border>
    <border>
      <left style="thin">
        <color rgb="FF3B5B8F"/>
      </left>
      <right style="medium">
        <color rgb="FF94A3B8"/>
      </right>
      <top style="medium">
        <color rgb="FF22D3EE"/>
      </top>
      <bottom/>
      <diagonal/>
    </border>
    <border>
      <left style="thin">
        <color rgb="FF3B5B8F"/>
      </left>
      <right style="medium">
        <color rgb="FF94A3B8"/>
      </right>
      <top style="medium">
        <color rgb="FFFBBF24"/>
      </top>
      <bottom/>
      <diagonal/>
    </border>
    <border>
      <left style="thin">
        <color rgb="FF3B5B8F"/>
      </left>
      <right style="medium">
        <color rgb="FF94A3B8"/>
      </right>
      <top style="medium">
        <color rgb="FFA78BFA"/>
      </top>
      <bottom/>
      <diagonal/>
    </border>
    <border>
      <left style="thin">
        <color rgb="FF3B5B8F"/>
      </left>
      <right style="medium">
        <color rgb="FF94A3B8"/>
      </right>
      <top style="medium">
        <color rgb="FF38BDF8"/>
      </top>
      <bottom/>
      <diagonal/>
    </border>
    <border>
      <left style="thin">
        <color rgb="FFC9D6CF"/>
      </left>
      <right style="thin">
        <color rgb="FFC9D6CF"/>
      </right>
      <top style="thin">
        <color rgb="FFC9D6CF"/>
      </top>
      <bottom style="thin">
        <color rgb="FFC9D6CF"/>
      </bottom>
      <diagonal/>
    </border>
    <border>
      <left style="thick">
        <color rgb="FF2874A6"/>
      </left>
      <right/>
      <top/>
      <bottom/>
      <diagonal/>
    </border>
    <border>
      <left style="thick">
        <color rgb="FF13A89E"/>
      </left>
      <right/>
      <top/>
      <bottom/>
      <diagonal/>
    </border>
    <border>
      <left style="thick">
        <color rgb="FFD4A017"/>
      </left>
      <right/>
      <top/>
      <bottom/>
      <diagonal/>
    </border>
    <border>
      <left style="thick">
        <color rgb="FFC0562F"/>
      </left>
      <right/>
      <top/>
      <bottom/>
      <diagonal/>
    </border>
    <border>
      <left style="thick">
        <color rgb="FF6C5B9E"/>
      </left>
      <right/>
      <top/>
      <bottom/>
      <diagonal/>
    </border>
    <border>
      <left style="thick">
        <color rgb="FF0B3D3A"/>
      </left>
      <right/>
      <top/>
      <bottom/>
      <diagonal/>
    </border>
    <border>
      <left style="thick">
        <color rgb="FF1E8449"/>
      </left>
      <right/>
      <top/>
      <bottom/>
      <diagonal/>
    </border>
    <border>
      <left style="medium">
        <color rgb="FFC9A227"/>
      </left>
      <right style="medium">
        <color rgb="FFC9A227"/>
      </right>
      <top style="medium">
        <color rgb="FFC9A227"/>
      </top>
      <bottom style="medium">
        <color rgb="FFC9A227"/>
      </bottom>
      <diagonal/>
    </border>
    <border>
      <left style="thin">
        <color rgb="FF8D6E00"/>
      </left>
      <right/>
      <top/>
      <bottom/>
      <diagonal/>
    </border>
    <border>
      <left/>
      <right style="thin">
        <color rgb="FF8D6E00"/>
      </right>
      <top/>
      <bottom/>
      <diagonal/>
    </border>
    <border>
      <left style="thin">
        <color rgb="FF196F3D"/>
      </left>
      <right/>
      <top/>
      <bottom/>
      <diagonal/>
    </border>
    <border>
      <left/>
      <right style="thin">
        <color rgb="FF196F3D"/>
      </right>
      <top/>
      <bottom/>
      <diagonal/>
    </border>
    <border>
      <left style="thin">
        <color rgb="FF2176C7"/>
      </left>
      <right/>
      <top/>
      <bottom/>
      <diagonal/>
    </border>
    <border>
      <left/>
      <right style="thin">
        <color rgb="FF2176C7"/>
      </right>
      <top/>
      <bottom/>
      <diagonal/>
    </border>
    <border>
      <left style="thin">
        <color rgb="FF6C3483"/>
      </left>
      <right/>
      <top/>
      <bottom/>
      <diagonal/>
    </border>
    <border>
      <left/>
      <right style="thin">
        <color rgb="FF6C3483"/>
      </right>
      <top/>
      <bottom/>
      <diagonal/>
    </border>
    <border>
      <left/>
      <right/>
      <top/>
      <bottom style="medium">
        <color rgb="FF2176C7"/>
      </bottom>
      <diagonal/>
    </border>
    <border>
      <left/>
      <right/>
      <top/>
      <bottom style="medium">
        <color rgb="FF196F3D"/>
      </bottom>
      <diagonal/>
    </border>
    <border>
      <left/>
      <right/>
      <top/>
      <bottom style="medium">
        <color rgb="FF6C3483"/>
      </bottom>
      <diagonal/>
    </border>
    <border>
      <left/>
      <right/>
      <top style="thin">
        <color rgb="FFFFFFFF"/>
      </top>
      <bottom/>
      <diagonal/>
    </border>
  </borders>
  <cellStyleXfs count="2">
    <xf numFmtId="0" fontId="0" fillId="0" borderId="22"/>
    <xf numFmtId="0" fontId="1" fillId="0" borderId="22"/>
  </cellStyleXfs>
  <cellXfs count="480"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indent="1"/>
    </xf>
    <xf numFmtId="0" fontId="2" fillId="4" borderId="3" xfId="0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left" vertical="center" indent="1"/>
    </xf>
    <xf numFmtId="0" fontId="2" fillId="5" borderId="3" xfId="0" applyFont="1" applyFill="1" applyBorder="1" applyAlignment="1">
      <alignment horizontal="right" vertical="center"/>
    </xf>
    <xf numFmtId="0" fontId="5" fillId="7" borderId="4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7" fillId="6" borderId="3" xfId="0" applyFont="1" applyFill="1" applyBorder="1" applyAlignment="1">
      <alignment horizontal="left" vertical="center" indent="1"/>
    </xf>
    <xf numFmtId="166" fontId="8" fillId="6" borderId="3" xfId="0" applyNumberFormat="1" applyFont="1" applyFill="1" applyBorder="1" applyAlignment="1">
      <alignment horizontal="right" vertical="center"/>
    </xf>
    <xf numFmtId="167" fontId="9" fillId="6" borderId="3" xfId="0" applyNumberFormat="1" applyFont="1" applyFill="1" applyBorder="1" applyAlignment="1">
      <alignment horizontal="right" vertical="center"/>
    </xf>
    <xf numFmtId="168" fontId="8" fillId="6" borderId="3" xfId="0" applyNumberFormat="1" applyFont="1" applyFill="1" applyBorder="1" applyAlignment="1">
      <alignment horizontal="right" vertical="center"/>
    </xf>
    <xf numFmtId="169" fontId="8" fillId="6" borderId="3" xfId="0" applyNumberFormat="1" applyFont="1" applyFill="1" applyBorder="1" applyAlignment="1">
      <alignment horizontal="right" vertical="center"/>
    </xf>
    <xf numFmtId="17" fontId="5" fillId="5" borderId="3" xfId="0" applyNumberFormat="1" applyFont="1" applyFill="1" applyBorder="1" applyAlignment="1">
      <alignment horizontal="left" vertical="center" indent="1"/>
    </xf>
    <xf numFmtId="168" fontId="6" fillId="5" borderId="3" xfId="0" applyNumberFormat="1" applyFont="1" applyFill="1" applyBorder="1" applyAlignment="1">
      <alignment horizontal="right" vertical="center"/>
    </xf>
    <xf numFmtId="167" fontId="2" fillId="5" borderId="3" xfId="0" applyNumberFormat="1" applyFont="1" applyFill="1" applyBorder="1" applyAlignment="1">
      <alignment horizontal="right" vertical="center"/>
    </xf>
    <xf numFmtId="169" fontId="2" fillId="5" borderId="3" xfId="0" applyNumberFormat="1" applyFont="1" applyFill="1" applyBorder="1" applyAlignment="1">
      <alignment horizontal="right" vertical="center"/>
    </xf>
    <xf numFmtId="17" fontId="5" fillId="4" borderId="3" xfId="0" applyNumberFormat="1" applyFont="1" applyFill="1" applyBorder="1" applyAlignment="1">
      <alignment horizontal="left" vertical="center" indent="1"/>
    </xf>
    <xf numFmtId="168" fontId="6" fillId="4" borderId="3" xfId="0" applyNumberFormat="1" applyFont="1" applyFill="1" applyBorder="1" applyAlignment="1">
      <alignment horizontal="right" vertical="center"/>
    </xf>
    <xf numFmtId="167" fontId="2" fillId="4" borderId="3" xfId="0" applyNumberFormat="1" applyFont="1" applyFill="1" applyBorder="1" applyAlignment="1">
      <alignment horizontal="right" vertical="center"/>
    </xf>
    <xf numFmtId="169" fontId="2" fillId="4" borderId="3" xfId="0" applyNumberFormat="1" applyFont="1" applyFill="1" applyBorder="1" applyAlignment="1">
      <alignment horizontal="right" vertical="center"/>
    </xf>
    <xf numFmtId="168" fontId="2" fillId="5" borderId="3" xfId="0" applyNumberFormat="1" applyFont="1" applyFill="1" applyBorder="1" applyAlignment="1">
      <alignment horizontal="left" vertical="center" indent="1"/>
    </xf>
    <xf numFmtId="168" fontId="2" fillId="4" borderId="3" xfId="0" applyNumberFormat="1" applyFont="1" applyFill="1" applyBorder="1" applyAlignment="1">
      <alignment horizontal="left" vertical="center" indent="1"/>
    </xf>
    <xf numFmtId="166" fontId="5" fillId="7" borderId="4" xfId="0" applyNumberFormat="1" applyFont="1" applyFill="1" applyBorder="1" applyAlignment="1">
      <alignment horizontal="right" vertical="center"/>
    </xf>
    <xf numFmtId="167" fontId="5" fillId="7" borderId="4" xfId="0" applyNumberFormat="1" applyFont="1" applyFill="1" applyBorder="1" applyAlignment="1">
      <alignment horizontal="right" vertical="center"/>
    </xf>
    <xf numFmtId="168" fontId="5" fillId="7" borderId="4" xfId="0" applyNumberFormat="1" applyFont="1" applyFill="1" applyBorder="1" applyAlignment="1">
      <alignment horizontal="right" vertical="center"/>
    </xf>
    <xf numFmtId="169" fontId="5" fillId="7" borderId="4" xfId="0" applyNumberFormat="1" applyFont="1" applyFill="1" applyBorder="1" applyAlignment="1">
      <alignment horizontal="right" vertical="center"/>
    </xf>
    <xf numFmtId="167" fontId="5" fillId="7" borderId="4" xfId="0" applyNumberFormat="1" applyFont="1" applyFill="1" applyBorder="1" applyAlignment="1">
      <alignment horizontal="left" vertical="center" indent="1"/>
    </xf>
    <xf numFmtId="169" fontId="5" fillId="7" borderId="4" xfId="0" applyNumberFormat="1" applyFont="1" applyFill="1" applyBorder="1" applyAlignment="1">
      <alignment horizontal="left" vertical="center" indent="1"/>
    </xf>
    <xf numFmtId="164" fontId="2" fillId="0" borderId="1" xfId="0" applyNumberFormat="1" applyFont="1" applyBorder="1" applyAlignment="1">
      <alignment vertical="center"/>
    </xf>
    <xf numFmtId="170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168" fontId="2" fillId="4" borderId="3" xfId="0" applyNumberFormat="1" applyFont="1" applyFill="1" applyBorder="1" applyAlignment="1">
      <alignment horizontal="right" vertical="center"/>
    </xf>
    <xf numFmtId="168" fontId="2" fillId="5" borderId="3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2" fillId="4" borderId="3" xfId="0" applyFont="1" applyFill="1" applyBorder="1" applyAlignment="1">
      <alignment horizontal="left" vertical="center" indent="1"/>
    </xf>
    <xf numFmtId="1" fontId="6" fillId="4" borderId="3" xfId="0" applyNumberFormat="1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left" vertical="center" indent="1"/>
    </xf>
    <xf numFmtId="0" fontId="12" fillId="5" borderId="3" xfId="0" applyFont="1" applyFill="1" applyBorder="1" applyAlignment="1">
      <alignment horizontal="left" vertical="center" indent="1"/>
    </xf>
    <xf numFmtId="1" fontId="6" fillId="5" borderId="3" xfId="0" applyNumberFormat="1" applyFont="1" applyFill="1" applyBorder="1" applyAlignment="1">
      <alignment horizontal="right" vertical="center"/>
    </xf>
    <xf numFmtId="0" fontId="2" fillId="5" borderId="3" xfId="0" applyFont="1" applyFill="1" applyBorder="1" applyAlignment="1">
      <alignment horizontal="left" vertical="center" indent="1"/>
    </xf>
    <xf numFmtId="17" fontId="4" fillId="3" borderId="2" xfId="0" applyNumberFormat="1" applyFont="1" applyFill="1" applyBorder="1" applyAlignment="1">
      <alignment horizontal="center" vertical="center" wrapText="1"/>
    </xf>
    <xf numFmtId="168" fontId="9" fillId="6" borderId="3" xfId="0" applyNumberFormat="1" applyFont="1" applyFill="1" applyBorder="1" applyAlignment="1">
      <alignment horizontal="left" vertical="center" indent="1"/>
    </xf>
    <xf numFmtId="168" fontId="9" fillId="6" borderId="3" xfId="0" applyNumberFormat="1" applyFont="1" applyFill="1" applyBorder="1" applyAlignment="1">
      <alignment horizontal="right" vertical="center"/>
    </xf>
    <xf numFmtId="1" fontId="8" fillId="6" borderId="3" xfId="0" applyNumberFormat="1" applyFont="1" applyFill="1" applyBorder="1" applyAlignment="1">
      <alignment horizontal="right" vertical="center"/>
    </xf>
    <xf numFmtId="166" fontId="9" fillId="6" borderId="3" xfId="0" applyNumberFormat="1" applyFont="1" applyFill="1" applyBorder="1" applyAlignment="1">
      <alignment horizontal="right" vertical="center"/>
    </xf>
    <xf numFmtId="166" fontId="2" fillId="5" borderId="3" xfId="0" applyNumberFormat="1" applyFont="1" applyFill="1" applyBorder="1" applyAlignment="1">
      <alignment horizontal="right" vertical="center"/>
    </xf>
    <xf numFmtId="166" fontId="2" fillId="4" borderId="3" xfId="0" applyNumberFormat="1" applyFont="1" applyFill="1" applyBorder="1" applyAlignment="1">
      <alignment horizontal="right" vertical="center"/>
    </xf>
    <xf numFmtId="1" fontId="5" fillId="7" borderId="4" xfId="0" applyNumberFormat="1" applyFont="1" applyFill="1" applyBorder="1" applyAlignment="1">
      <alignment horizontal="right" vertical="center"/>
    </xf>
    <xf numFmtId="165" fontId="2" fillId="0" borderId="1" xfId="0" applyNumberFormat="1" applyFont="1" applyBorder="1" applyAlignment="1">
      <alignment vertical="center"/>
    </xf>
    <xf numFmtId="166" fontId="6" fillId="5" borderId="3" xfId="0" applyNumberFormat="1" applyFont="1" applyFill="1" applyBorder="1" applyAlignment="1">
      <alignment horizontal="right" vertical="center"/>
    </xf>
    <xf numFmtId="169" fontId="14" fillId="6" borderId="3" xfId="0" applyNumberFormat="1" applyFont="1" applyFill="1" applyBorder="1" applyAlignment="1">
      <alignment horizontal="right" vertical="center"/>
    </xf>
    <xf numFmtId="169" fontId="13" fillId="4" borderId="3" xfId="0" applyNumberFormat="1" applyFont="1" applyFill="1" applyBorder="1" applyAlignment="1">
      <alignment horizontal="right" vertical="center"/>
    </xf>
    <xf numFmtId="169" fontId="13" fillId="5" borderId="3" xfId="0" applyNumberFormat="1" applyFont="1" applyFill="1" applyBorder="1" applyAlignment="1">
      <alignment horizontal="right" vertical="center"/>
    </xf>
    <xf numFmtId="0" fontId="5" fillId="8" borderId="3" xfId="0" applyFont="1" applyFill="1" applyBorder="1" applyAlignment="1">
      <alignment horizontal="left" vertical="center" indent="1"/>
    </xf>
    <xf numFmtId="0" fontId="2" fillId="8" borderId="3" xfId="0" applyFont="1" applyFill="1" applyBorder="1" applyAlignment="1">
      <alignment horizontal="left" vertical="center" indent="1"/>
    </xf>
    <xf numFmtId="166" fontId="6" fillId="8" borderId="3" xfId="0" applyNumberFormat="1" applyFont="1" applyFill="1" applyBorder="1" applyAlignment="1">
      <alignment horizontal="right" vertical="center"/>
    </xf>
    <xf numFmtId="169" fontId="12" fillId="4" borderId="3" xfId="0" applyNumberFormat="1" applyFont="1" applyFill="1" applyBorder="1" applyAlignment="1">
      <alignment horizontal="left" vertical="center" indent="1"/>
    </xf>
    <xf numFmtId="169" fontId="6" fillId="4" borderId="3" xfId="0" applyNumberFormat="1" applyFont="1" applyFill="1" applyBorder="1" applyAlignment="1">
      <alignment horizontal="right" vertical="center"/>
    </xf>
    <xf numFmtId="171" fontId="9" fillId="6" borderId="3" xfId="0" applyNumberFormat="1" applyFont="1" applyFill="1" applyBorder="1" applyAlignment="1">
      <alignment horizontal="right" vertical="center"/>
    </xf>
    <xf numFmtId="169" fontId="9" fillId="6" borderId="3" xfId="0" applyNumberFormat="1" applyFont="1" applyFill="1" applyBorder="1" applyAlignment="1">
      <alignment horizontal="right" vertical="center"/>
    </xf>
    <xf numFmtId="171" fontId="2" fillId="5" borderId="3" xfId="0" applyNumberFormat="1" applyFont="1" applyFill="1" applyBorder="1" applyAlignment="1">
      <alignment horizontal="right" vertical="center"/>
    </xf>
    <xf numFmtId="171" fontId="2" fillId="4" borderId="3" xfId="0" applyNumberFormat="1" applyFont="1" applyFill="1" applyBorder="1" applyAlignment="1">
      <alignment horizontal="right" vertical="center"/>
    </xf>
    <xf numFmtId="171" fontId="5" fillId="7" borderId="4" xfId="0" applyNumberFormat="1" applyFont="1" applyFill="1" applyBorder="1" applyAlignment="1">
      <alignment horizontal="right" vertical="center"/>
    </xf>
    <xf numFmtId="168" fontId="5" fillId="7" borderId="4" xfId="0" applyNumberFormat="1" applyFont="1" applyFill="1" applyBorder="1" applyAlignment="1">
      <alignment horizontal="left" vertical="center" indent="1"/>
    </xf>
    <xf numFmtId="166" fontId="5" fillId="7" borderId="4" xfId="0" applyNumberFormat="1" applyFont="1" applyFill="1" applyBorder="1" applyAlignment="1">
      <alignment horizontal="left" vertical="center" indent="1"/>
    </xf>
    <xf numFmtId="171" fontId="2" fillId="0" borderId="1" xfId="0" applyNumberFormat="1" applyFont="1" applyBorder="1" applyAlignment="1">
      <alignment vertical="center"/>
    </xf>
    <xf numFmtId="172" fontId="2" fillId="0" borderId="1" xfId="0" applyNumberFormat="1" applyFont="1" applyBorder="1" applyAlignment="1">
      <alignment vertical="center"/>
    </xf>
    <xf numFmtId="167" fontId="6" fillId="4" borderId="3" xfId="0" applyNumberFormat="1" applyFont="1" applyFill="1" applyBorder="1" applyAlignment="1">
      <alignment horizontal="right" vertical="center"/>
    </xf>
    <xf numFmtId="0" fontId="15" fillId="6" borderId="3" xfId="0" applyFont="1" applyFill="1" applyBorder="1" applyAlignment="1">
      <alignment horizontal="left" vertical="center" indent="1"/>
    </xf>
    <xf numFmtId="168" fontId="13" fillId="4" borderId="3" xfId="0" applyNumberFormat="1" applyFont="1" applyFill="1" applyBorder="1" applyAlignment="1">
      <alignment horizontal="right" vertical="center"/>
    </xf>
    <xf numFmtId="168" fontId="13" fillId="5" borderId="3" xfId="0" applyNumberFormat="1" applyFont="1" applyFill="1" applyBorder="1" applyAlignment="1">
      <alignment horizontal="right" vertical="center"/>
    </xf>
    <xf numFmtId="0" fontId="16" fillId="0" borderId="1" xfId="0" applyFont="1" applyBorder="1" applyAlignment="1">
      <alignment vertical="center"/>
    </xf>
    <xf numFmtId="2" fontId="17" fillId="8" borderId="5" xfId="0" applyNumberFormat="1" applyFont="1" applyFill="1" applyBorder="1" applyAlignment="1">
      <alignment vertical="center"/>
    </xf>
    <xf numFmtId="172" fontId="2" fillId="4" borderId="3" xfId="0" applyNumberFormat="1" applyFont="1" applyFill="1" applyBorder="1" applyAlignment="1">
      <alignment horizontal="right" vertical="center"/>
    </xf>
    <xf numFmtId="172" fontId="2" fillId="5" borderId="3" xfId="0" applyNumberFormat="1" applyFont="1" applyFill="1" applyBorder="1" applyAlignment="1">
      <alignment horizontal="right" vertical="center"/>
    </xf>
    <xf numFmtId="172" fontId="5" fillId="7" borderId="4" xfId="0" applyNumberFormat="1" applyFont="1" applyFill="1" applyBorder="1" applyAlignment="1">
      <alignment horizontal="right" vertical="center"/>
    </xf>
    <xf numFmtId="17" fontId="2" fillId="0" borderId="1" xfId="0" applyNumberFormat="1" applyFont="1" applyBorder="1" applyAlignment="1">
      <alignment vertical="center"/>
    </xf>
    <xf numFmtId="0" fontId="4" fillId="3" borderId="2" xfId="1" applyFont="1" applyFill="1" applyBorder="1" applyAlignment="1">
      <alignment horizontal="center" vertical="center" wrapText="1"/>
    </xf>
    <xf numFmtId="168" fontId="2" fillId="4" borderId="3" xfId="1" applyNumberFormat="1" applyFont="1" applyFill="1" applyBorder="1" applyAlignment="1">
      <alignment horizontal="left" vertical="center" indent="1"/>
    </xf>
    <xf numFmtId="168" fontId="2" fillId="5" borderId="3" xfId="1" applyNumberFormat="1" applyFont="1" applyFill="1" applyBorder="1" applyAlignment="1">
      <alignment horizontal="left" vertical="center" indent="1"/>
    </xf>
    <xf numFmtId="168" fontId="12" fillId="4" borderId="3" xfId="0" applyNumberFormat="1" applyFont="1" applyFill="1" applyBorder="1" applyAlignment="1">
      <alignment horizontal="left" vertical="center" indent="1"/>
    </xf>
    <xf numFmtId="169" fontId="2" fillId="4" borderId="3" xfId="0" applyNumberFormat="1" applyFont="1" applyFill="1" applyBorder="1" applyAlignment="1">
      <alignment horizontal="left" vertical="center" indent="1"/>
    </xf>
    <xf numFmtId="166" fontId="2" fillId="4" borderId="3" xfId="0" applyNumberFormat="1" applyFont="1" applyFill="1" applyBorder="1" applyAlignment="1">
      <alignment horizontal="left" vertical="center" indent="1"/>
    </xf>
    <xf numFmtId="17" fontId="2" fillId="4" borderId="3" xfId="0" applyNumberFormat="1" applyFont="1" applyFill="1" applyBorder="1" applyAlignment="1">
      <alignment horizontal="right" vertical="center"/>
    </xf>
    <xf numFmtId="166" fontId="6" fillId="4" borderId="3" xfId="0" applyNumberFormat="1" applyFont="1" applyFill="1" applyBorder="1" applyAlignment="1">
      <alignment horizontal="right" vertical="center"/>
    </xf>
    <xf numFmtId="166" fontId="2" fillId="5" borderId="3" xfId="0" applyNumberFormat="1" applyFont="1" applyFill="1" applyBorder="1" applyAlignment="1">
      <alignment horizontal="left" vertical="center" indent="1"/>
    </xf>
    <xf numFmtId="17" fontId="2" fillId="5" borderId="3" xfId="0" applyNumberFormat="1" applyFont="1" applyFill="1" applyBorder="1" applyAlignment="1">
      <alignment horizontal="right" vertical="center"/>
    </xf>
    <xf numFmtId="169" fontId="2" fillId="5" borderId="3" xfId="0" applyNumberFormat="1" applyFont="1" applyFill="1" applyBorder="1" applyAlignment="1">
      <alignment horizontal="left" vertical="center" indent="1"/>
    </xf>
    <xf numFmtId="169" fontId="6" fillId="5" borderId="3" xfId="0" applyNumberFormat="1" applyFont="1" applyFill="1" applyBorder="1" applyAlignment="1">
      <alignment horizontal="right" vertical="center"/>
    </xf>
    <xf numFmtId="0" fontId="9" fillId="6" borderId="3" xfId="0" applyFont="1" applyFill="1" applyBorder="1" applyAlignment="1">
      <alignment horizontal="left" vertical="center" indent="1"/>
    </xf>
    <xf numFmtId="17" fontId="9" fillId="6" borderId="3" xfId="0" applyNumberFormat="1" applyFont="1" applyFill="1" applyBorder="1" applyAlignment="1">
      <alignment horizontal="left" vertical="center" indent="1"/>
    </xf>
    <xf numFmtId="17" fontId="5" fillId="7" borderId="4" xfId="0" applyNumberFormat="1" applyFont="1" applyFill="1" applyBorder="1" applyAlignment="1">
      <alignment horizontal="left" vertical="center" indent="1"/>
    </xf>
    <xf numFmtId="17" fontId="2" fillId="4" borderId="3" xfId="0" applyNumberFormat="1" applyFont="1" applyFill="1" applyBorder="1" applyAlignment="1">
      <alignment horizontal="left" vertical="center" indent="1"/>
    </xf>
    <xf numFmtId="0" fontId="12" fillId="7" borderId="4" xfId="0" applyFont="1" applyFill="1" applyBorder="1" applyAlignment="1">
      <alignment horizontal="left" vertical="center" indent="1"/>
    </xf>
    <xf numFmtId="172" fontId="8" fillId="6" borderId="3" xfId="0" applyNumberFormat="1" applyFont="1" applyFill="1" applyBorder="1" applyAlignment="1">
      <alignment horizontal="right" vertical="center"/>
    </xf>
    <xf numFmtId="1" fontId="9" fillId="6" borderId="3" xfId="0" applyNumberFormat="1" applyFont="1" applyFill="1" applyBorder="1" applyAlignment="1">
      <alignment horizontal="left" vertical="center" indent="1"/>
    </xf>
    <xf numFmtId="172" fontId="6" fillId="5" borderId="3" xfId="0" applyNumberFormat="1" applyFont="1" applyFill="1" applyBorder="1" applyAlignment="1">
      <alignment horizontal="right" vertical="center"/>
    </xf>
    <xf numFmtId="1" fontId="6" fillId="8" borderId="3" xfId="0" applyNumberFormat="1" applyFont="1" applyFill="1" applyBorder="1" applyAlignment="1">
      <alignment horizontal="right" vertical="center"/>
    </xf>
    <xf numFmtId="172" fontId="2" fillId="4" borderId="3" xfId="0" applyNumberFormat="1" applyFont="1" applyFill="1" applyBorder="1" applyAlignment="1">
      <alignment horizontal="left" vertical="center" indent="1"/>
    </xf>
    <xf numFmtId="172" fontId="2" fillId="5" borderId="3" xfId="0" applyNumberFormat="1" applyFont="1" applyFill="1" applyBorder="1" applyAlignment="1">
      <alignment horizontal="left" vertical="center" indent="1"/>
    </xf>
    <xf numFmtId="1" fontId="2" fillId="8" borderId="3" xfId="0" applyNumberFormat="1" applyFont="1" applyFill="1" applyBorder="1" applyAlignment="1">
      <alignment horizontal="left" vertical="center" indent="1"/>
    </xf>
    <xf numFmtId="1" fontId="5" fillId="7" borderId="4" xfId="0" applyNumberFormat="1" applyFont="1" applyFill="1" applyBorder="1" applyAlignment="1">
      <alignment horizontal="left" vertical="center" indent="1"/>
    </xf>
    <xf numFmtId="0" fontId="18" fillId="7" borderId="3" xfId="0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 vertical="center"/>
    </xf>
    <xf numFmtId="165" fontId="6" fillId="4" borderId="3" xfId="0" applyNumberFormat="1" applyFont="1" applyFill="1" applyBorder="1" applyAlignment="1">
      <alignment horizontal="right" vertical="center"/>
    </xf>
    <xf numFmtId="17" fontId="18" fillId="7" borderId="3" xfId="0" applyNumberFormat="1" applyFont="1" applyFill="1" applyBorder="1" applyAlignment="1">
      <alignment horizontal="left" vertical="center" indent="1"/>
    </xf>
    <xf numFmtId="17" fontId="18" fillId="7" borderId="3" xfId="0" applyNumberFormat="1" applyFont="1" applyFill="1" applyBorder="1" applyAlignment="1">
      <alignment horizontal="right" vertical="center"/>
    </xf>
    <xf numFmtId="49" fontId="2" fillId="4" borderId="3" xfId="0" applyNumberFormat="1" applyFont="1" applyFill="1" applyBorder="1" applyAlignment="1">
      <alignment horizontal="left" vertical="center" indent="1"/>
    </xf>
    <xf numFmtId="165" fontId="6" fillId="5" borderId="3" xfId="0" applyNumberFormat="1" applyFont="1" applyFill="1" applyBorder="1" applyAlignment="1">
      <alignment horizontal="right" vertical="center"/>
    </xf>
    <xf numFmtId="167" fontId="13" fillId="4" borderId="3" xfId="0" applyNumberFormat="1" applyFont="1" applyFill="1" applyBorder="1" applyAlignment="1">
      <alignment horizontal="right" vertical="center"/>
    </xf>
    <xf numFmtId="166" fontId="13" fillId="4" borderId="3" xfId="0" applyNumberFormat="1" applyFont="1" applyFill="1" applyBorder="1" applyAlignment="1">
      <alignment horizontal="right" vertical="center"/>
    </xf>
    <xf numFmtId="171" fontId="13" fillId="4" borderId="3" xfId="0" applyNumberFormat="1" applyFont="1" applyFill="1" applyBorder="1" applyAlignment="1">
      <alignment horizontal="right" vertical="center"/>
    </xf>
    <xf numFmtId="172" fontId="13" fillId="4" borderId="3" xfId="0" applyNumberFormat="1" applyFont="1" applyFill="1" applyBorder="1" applyAlignment="1">
      <alignment horizontal="right" vertical="center"/>
    </xf>
    <xf numFmtId="9" fontId="2" fillId="4" borderId="3" xfId="0" applyNumberFormat="1" applyFont="1" applyFill="1" applyBorder="1" applyAlignment="1">
      <alignment horizontal="right" vertical="center"/>
    </xf>
    <xf numFmtId="167" fontId="13" fillId="5" borderId="3" xfId="0" applyNumberFormat="1" applyFont="1" applyFill="1" applyBorder="1" applyAlignment="1">
      <alignment horizontal="right" vertical="center"/>
    </xf>
    <xf numFmtId="166" fontId="13" fillId="5" borderId="3" xfId="0" applyNumberFormat="1" applyFont="1" applyFill="1" applyBorder="1" applyAlignment="1">
      <alignment horizontal="right" vertical="center"/>
    </xf>
    <xf numFmtId="171" fontId="13" fillId="5" borderId="3" xfId="0" applyNumberFormat="1" applyFont="1" applyFill="1" applyBorder="1" applyAlignment="1">
      <alignment horizontal="right" vertical="center"/>
    </xf>
    <xf numFmtId="172" fontId="13" fillId="5" borderId="3" xfId="0" applyNumberFormat="1" applyFont="1" applyFill="1" applyBorder="1" applyAlignment="1">
      <alignment horizontal="right" vertical="center"/>
    </xf>
    <xf numFmtId="9" fontId="2" fillId="5" borderId="3" xfId="0" applyNumberFormat="1" applyFont="1" applyFill="1" applyBorder="1" applyAlignment="1">
      <alignment horizontal="right" vertical="center"/>
    </xf>
    <xf numFmtId="9" fontId="5" fillId="7" borderId="4" xfId="0" applyNumberFormat="1" applyFont="1" applyFill="1" applyBorder="1" applyAlignment="1">
      <alignment horizontal="right" vertical="center"/>
    </xf>
    <xf numFmtId="171" fontId="5" fillId="7" borderId="4" xfId="0" applyNumberFormat="1" applyFont="1" applyFill="1" applyBorder="1" applyAlignment="1">
      <alignment horizontal="left" vertical="center" indent="1"/>
    </xf>
    <xf numFmtId="9" fontId="5" fillId="7" borderId="4" xfId="0" applyNumberFormat="1" applyFont="1" applyFill="1" applyBorder="1" applyAlignment="1">
      <alignment horizontal="left" vertical="center" indent="1"/>
    </xf>
    <xf numFmtId="0" fontId="23" fillId="11" borderId="11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left" vertical="center" indent="1"/>
    </xf>
    <xf numFmtId="0" fontId="29" fillId="13" borderId="3" xfId="0" applyFont="1" applyFill="1" applyBorder="1" applyAlignment="1">
      <alignment horizontal="center" vertical="center"/>
    </xf>
    <xf numFmtId="168" fontId="6" fillId="14" borderId="3" xfId="0" applyNumberFormat="1" applyFont="1" applyFill="1" applyBorder="1" applyAlignment="1">
      <alignment horizontal="center" vertical="center"/>
    </xf>
    <xf numFmtId="168" fontId="30" fillId="15" borderId="3" xfId="0" applyNumberFormat="1" applyFont="1" applyFill="1" applyBorder="1" applyAlignment="1">
      <alignment horizontal="center" vertical="center"/>
    </xf>
    <xf numFmtId="168" fontId="6" fillId="13" borderId="3" xfId="0" applyNumberFormat="1" applyFont="1" applyFill="1" applyBorder="1" applyAlignment="1">
      <alignment horizontal="center" vertical="center"/>
    </xf>
    <xf numFmtId="168" fontId="5" fillId="16" borderId="3" xfId="0" applyNumberFormat="1" applyFont="1" applyFill="1" applyBorder="1" applyAlignment="1">
      <alignment horizontal="center" vertical="center"/>
    </xf>
    <xf numFmtId="173" fontId="2" fillId="16" borderId="3" xfId="0" applyNumberFormat="1" applyFont="1" applyFill="1" applyBorder="1" applyAlignment="1">
      <alignment horizontal="center" vertical="center"/>
    </xf>
    <xf numFmtId="1" fontId="2" fillId="13" borderId="3" xfId="0" applyNumberFormat="1" applyFont="1" applyFill="1" applyBorder="1" applyAlignment="1">
      <alignment horizontal="center" vertical="center"/>
    </xf>
    <xf numFmtId="0" fontId="31" fillId="13" borderId="3" xfId="0" applyFont="1" applyFill="1" applyBorder="1" applyAlignment="1">
      <alignment horizontal="left" vertical="center" indent="1"/>
    </xf>
    <xf numFmtId="0" fontId="2" fillId="10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left" vertical="center" indent="1"/>
    </xf>
    <xf numFmtId="0" fontId="29" fillId="10" borderId="3" xfId="0" applyFont="1" applyFill="1" applyBorder="1" applyAlignment="1">
      <alignment horizontal="center" vertical="center"/>
    </xf>
    <xf numFmtId="168" fontId="6" fillId="10" borderId="3" xfId="0" applyNumberFormat="1" applyFont="1" applyFill="1" applyBorder="1" applyAlignment="1">
      <alignment horizontal="center" vertical="center"/>
    </xf>
    <xf numFmtId="1" fontId="2" fillId="10" borderId="3" xfId="0" applyNumberFormat="1" applyFont="1" applyFill="1" applyBorder="1" applyAlignment="1">
      <alignment horizontal="center" vertical="center"/>
    </xf>
    <xf numFmtId="0" fontId="31" fillId="10" borderId="3" xfId="0" applyFont="1" applyFill="1" applyBorder="1" applyAlignment="1">
      <alignment horizontal="left" vertical="center" indent="1"/>
    </xf>
    <xf numFmtId="0" fontId="5" fillId="17" borderId="13" xfId="0" applyFont="1" applyFill="1" applyBorder="1" applyAlignment="1">
      <alignment horizontal="center" vertical="center"/>
    </xf>
    <xf numFmtId="0" fontId="5" fillId="17" borderId="13" xfId="0" applyFont="1" applyFill="1" applyBorder="1" applyAlignment="1">
      <alignment horizontal="left" vertical="center" indent="1"/>
    </xf>
    <xf numFmtId="168" fontId="5" fillId="17" borderId="13" xfId="0" applyNumberFormat="1" applyFont="1" applyFill="1" applyBorder="1" applyAlignment="1">
      <alignment horizontal="center" vertical="center"/>
    </xf>
    <xf numFmtId="173" fontId="5" fillId="17" borderId="13" xfId="0" applyNumberFormat="1" applyFont="1" applyFill="1" applyBorder="1" applyAlignment="1">
      <alignment horizontal="center" vertical="center"/>
    </xf>
    <xf numFmtId="0" fontId="5" fillId="17" borderId="15" xfId="0" applyFont="1" applyFill="1" applyBorder="1" applyAlignment="1">
      <alignment horizontal="center" vertical="center"/>
    </xf>
    <xf numFmtId="0" fontId="5" fillId="17" borderId="15" xfId="0" applyFont="1" applyFill="1" applyBorder="1" applyAlignment="1">
      <alignment horizontal="left" vertical="center" indent="1"/>
    </xf>
    <xf numFmtId="168" fontId="5" fillId="17" borderId="15" xfId="0" applyNumberFormat="1" applyFont="1" applyFill="1" applyBorder="1" applyAlignment="1">
      <alignment horizontal="center" vertical="center"/>
    </xf>
    <xf numFmtId="173" fontId="5" fillId="17" borderId="15" xfId="0" applyNumberFormat="1" applyFont="1" applyFill="1" applyBorder="1" applyAlignment="1">
      <alignment horizontal="center" vertical="center"/>
    </xf>
    <xf numFmtId="0" fontId="5" fillId="17" borderId="17" xfId="0" applyFont="1" applyFill="1" applyBorder="1" applyAlignment="1">
      <alignment horizontal="center" vertical="center"/>
    </xf>
    <xf numFmtId="0" fontId="5" fillId="17" borderId="17" xfId="0" applyFont="1" applyFill="1" applyBorder="1" applyAlignment="1">
      <alignment horizontal="left" vertical="center" indent="1"/>
    </xf>
    <xf numFmtId="168" fontId="5" fillId="17" borderId="17" xfId="0" applyNumberFormat="1" applyFont="1" applyFill="1" applyBorder="1" applyAlignment="1">
      <alignment horizontal="center" vertical="center"/>
    </xf>
    <xf numFmtId="173" fontId="5" fillId="17" borderId="17" xfId="0" applyNumberFormat="1" applyFont="1" applyFill="1" applyBorder="1" applyAlignment="1">
      <alignment horizontal="center" vertical="center"/>
    </xf>
    <xf numFmtId="174" fontId="2" fillId="18" borderId="3" xfId="0" applyNumberFormat="1" applyFont="1" applyFill="1" applyBorder="1" applyAlignment="1">
      <alignment horizontal="center" vertical="center"/>
    </xf>
    <xf numFmtId="174" fontId="30" fillId="18" borderId="3" xfId="0" applyNumberFormat="1" applyFont="1" applyFill="1" applyBorder="1" applyAlignment="1">
      <alignment horizontal="left" vertical="center" indent="1"/>
    </xf>
    <xf numFmtId="174" fontId="35" fillId="18" borderId="3" xfId="0" applyNumberFormat="1" applyFont="1" applyFill="1" applyBorder="1" applyAlignment="1">
      <alignment horizontal="left" vertical="center" wrapText="1" indent="1"/>
    </xf>
    <xf numFmtId="170" fontId="2" fillId="18" borderId="3" xfId="0" applyNumberFormat="1" applyFont="1" applyFill="1" applyBorder="1" applyAlignment="1">
      <alignment horizontal="center" vertical="center"/>
    </xf>
    <xf numFmtId="170" fontId="30" fillId="18" borderId="3" xfId="0" applyNumberFormat="1" applyFont="1" applyFill="1" applyBorder="1" applyAlignment="1">
      <alignment horizontal="left" vertical="center" indent="1"/>
    </xf>
    <xf numFmtId="170" fontId="35" fillId="18" borderId="3" xfId="0" applyNumberFormat="1" applyFont="1" applyFill="1" applyBorder="1" applyAlignment="1">
      <alignment horizontal="left" vertical="center" wrapText="1" indent="1"/>
    </xf>
    <xf numFmtId="175" fontId="2" fillId="18" borderId="3" xfId="0" applyNumberFormat="1" applyFont="1" applyFill="1" applyBorder="1" applyAlignment="1">
      <alignment horizontal="center" vertical="center"/>
    </xf>
    <xf numFmtId="175" fontId="30" fillId="18" borderId="3" xfId="0" applyNumberFormat="1" applyFont="1" applyFill="1" applyBorder="1" applyAlignment="1">
      <alignment horizontal="left" vertical="center" indent="1"/>
    </xf>
    <xf numFmtId="175" fontId="35" fillId="18" borderId="3" xfId="0" applyNumberFormat="1" applyFont="1" applyFill="1" applyBorder="1" applyAlignment="1">
      <alignment horizontal="left" vertical="center" wrapText="1" indent="1"/>
    </xf>
    <xf numFmtId="176" fontId="2" fillId="18" borderId="3" xfId="0" applyNumberFormat="1" applyFont="1" applyFill="1" applyBorder="1" applyAlignment="1">
      <alignment horizontal="center" vertical="center"/>
    </xf>
    <xf numFmtId="176" fontId="30" fillId="18" borderId="3" xfId="0" applyNumberFormat="1" applyFont="1" applyFill="1" applyBorder="1" applyAlignment="1">
      <alignment horizontal="left" vertical="center" indent="1"/>
    </xf>
    <xf numFmtId="176" fontId="35" fillId="18" borderId="3" xfId="0" applyNumberFormat="1" applyFont="1" applyFill="1" applyBorder="1" applyAlignment="1">
      <alignment horizontal="left" vertical="center" wrapText="1" indent="1"/>
    </xf>
    <xf numFmtId="0" fontId="25" fillId="13" borderId="3" xfId="0" applyFont="1" applyFill="1" applyBorder="1" applyAlignment="1">
      <alignment horizontal="center" vertical="center"/>
    </xf>
    <xf numFmtId="0" fontId="26" fillId="13" borderId="3" xfId="0" applyFont="1" applyFill="1" applyBorder="1" applyAlignment="1">
      <alignment horizontal="left" vertical="center" indent="1"/>
    </xf>
    <xf numFmtId="168" fontId="40" fillId="13" borderId="3" xfId="0" applyNumberFormat="1" applyFont="1" applyFill="1" applyBorder="1" applyAlignment="1">
      <alignment horizontal="center" vertical="center"/>
    </xf>
    <xf numFmtId="168" fontId="25" fillId="13" borderId="3" xfId="0" applyNumberFormat="1" applyFont="1" applyFill="1" applyBorder="1" applyAlignment="1">
      <alignment horizontal="center" vertical="center"/>
    </xf>
    <xf numFmtId="174" fontId="25" fillId="13" borderId="3" xfId="0" applyNumberFormat="1" applyFont="1" applyFill="1" applyBorder="1" applyAlignment="1">
      <alignment horizontal="center" vertical="center"/>
    </xf>
    <xf numFmtId="173" fontId="25" fillId="13" borderId="3" xfId="0" applyNumberFormat="1" applyFont="1" applyFill="1" applyBorder="1" applyAlignment="1">
      <alignment horizontal="center" vertical="center"/>
    </xf>
    <xf numFmtId="0" fontId="41" fillId="13" borderId="3" xfId="0" applyFont="1" applyFill="1" applyBorder="1" applyAlignment="1">
      <alignment horizontal="left" vertical="center" wrapText="1" indent="1"/>
    </xf>
    <xf numFmtId="0" fontId="25" fillId="10" borderId="3" xfId="0" applyFont="1" applyFill="1" applyBorder="1" applyAlignment="1">
      <alignment horizontal="center" vertical="center"/>
    </xf>
    <xf numFmtId="0" fontId="26" fillId="10" borderId="3" xfId="0" applyFont="1" applyFill="1" applyBorder="1" applyAlignment="1">
      <alignment horizontal="left" vertical="center" indent="1"/>
    </xf>
    <xf numFmtId="168" fontId="40" fillId="10" borderId="3" xfId="0" applyNumberFormat="1" applyFont="1" applyFill="1" applyBorder="1" applyAlignment="1">
      <alignment horizontal="center" vertical="center"/>
    </xf>
    <xf numFmtId="168" fontId="25" fillId="10" borderId="3" xfId="0" applyNumberFormat="1" applyFont="1" applyFill="1" applyBorder="1" applyAlignment="1">
      <alignment horizontal="center" vertical="center"/>
    </xf>
    <xf numFmtId="174" fontId="25" fillId="10" borderId="3" xfId="0" applyNumberFormat="1" applyFont="1" applyFill="1" applyBorder="1" applyAlignment="1">
      <alignment horizontal="center" vertical="center"/>
    </xf>
    <xf numFmtId="173" fontId="25" fillId="10" borderId="3" xfId="0" applyNumberFormat="1" applyFont="1" applyFill="1" applyBorder="1" applyAlignment="1">
      <alignment horizontal="center" vertical="center"/>
    </xf>
    <xf numFmtId="0" fontId="41" fillId="10" borderId="3" xfId="0" applyFont="1" applyFill="1" applyBorder="1" applyAlignment="1">
      <alignment horizontal="left" vertical="center" wrapText="1" indent="1"/>
    </xf>
    <xf numFmtId="0" fontId="42" fillId="0" borderId="0" xfId="0" applyFont="1" applyBorder="1"/>
    <xf numFmtId="0" fontId="43" fillId="0" borderId="1" xfId="0" applyFont="1" applyBorder="1"/>
    <xf numFmtId="0" fontId="40" fillId="22" borderId="3" xfId="0" applyFont="1" applyFill="1" applyBorder="1" applyAlignment="1">
      <alignment horizontal="center" vertical="center"/>
    </xf>
    <xf numFmtId="0" fontId="53" fillId="23" borderId="0" xfId="0" applyFont="1" applyFill="1" applyBorder="1" applyAlignment="1">
      <alignment horizontal="center" vertical="center" wrapText="1"/>
    </xf>
    <xf numFmtId="0" fontId="0" fillId="25" borderId="0" xfId="0" applyFill="1" applyBorder="1"/>
    <xf numFmtId="0" fontId="54" fillId="23" borderId="0" xfId="0" applyFont="1" applyFill="1" applyBorder="1" applyAlignment="1">
      <alignment horizontal="center" vertical="center" wrapText="1"/>
    </xf>
    <xf numFmtId="0" fontId="0" fillId="23" borderId="0" xfId="0" applyFill="1" applyBorder="1"/>
    <xf numFmtId="0" fontId="51" fillId="26" borderId="0" xfId="0" applyFont="1" applyFill="1" applyBorder="1" applyAlignment="1">
      <alignment vertical="center" indent="1"/>
    </xf>
    <xf numFmtId="0" fontId="52" fillId="23" borderId="0" xfId="0" applyFont="1" applyFill="1" applyBorder="1" applyAlignment="1">
      <alignment vertical="center" indent="1"/>
    </xf>
    <xf numFmtId="0" fontId="73" fillId="36" borderId="0" xfId="0" applyFont="1" applyFill="1" applyBorder="1" applyAlignment="1">
      <alignment horizontal="center" vertical="center" wrapText="1"/>
    </xf>
    <xf numFmtId="0" fontId="0" fillId="37" borderId="0" xfId="0" applyFill="1" applyBorder="1"/>
    <xf numFmtId="0" fontId="66" fillId="36" borderId="0" xfId="0" applyFont="1" applyFill="1" applyBorder="1" applyAlignment="1">
      <alignment horizontal="center" vertical="center" wrapText="1"/>
    </xf>
    <xf numFmtId="0" fontId="0" fillId="36" borderId="0" xfId="0" applyFill="1" applyBorder="1"/>
    <xf numFmtId="0" fontId="52" fillId="36" borderId="0" xfId="0" applyFont="1" applyFill="1" applyBorder="1" applyAlignment="1">
      <alignment vertical="center" indent="1"/>
    </xf>
    <xf numFmtId="0" fontId="72" fillId="38" borderId="0" xfId="0" applyFont="1" applyFill="1" applyBorder="1" applyAlignment="1">
      <alignment vertical="center" indent="1"/>
    </xf>
    <xf numFmtId="3" fontId="86" fillId="28" borderId="45" xfId="0" applyNumberFormat="1" applyFont="1" applyFill="1" applyBorder="1" applyAlignment="1">
      <alignment horizontal="center" vertical="center" wrapText="1"/>
    </xf>
    <xf numFmtId="0" fontId="44" fillId="0" borderId="0" xfId="0" applyFont="1" applyBorder="1"/>
    <xf numFmtId="0" fontId="45" fillId="0" borderId="0" xfId="0" applyFont="1" applyBorder="1"/>
    <xf numFmtId="0" fontId="46" fillId="23" borderId="0" xfId="0" applyFont="1" applyFill="1" applyBorder="1" applyAlignment="1">
      <alignment horizontal="center" vertical="center" wrapText="1"/>
    </xf>
    <xf numFmtId="0" fontId="47" fillId="0" borderId="0" xfId="0" applyFont="1" applyBorder="1"/>
    <xf numFmtId="3" fontId="48" fillId="24" borderId="45" xfId="0" applyNumberFormat="1" applyFont="1" applyFill="1" applyBorder="1"/>
    <xf numFmtId="3" fontId="0" fillId="0" borderId="0" xfId="0" applyNumberFormat="1" applyBorder="1"/>
    <xf numFmtId="0" fontId="49" fillId="0" borderId="0" xfId="0" applyFont="1" applyBorder="1"/>
    <xf numFmtId="0" fontId="46" fillId="23" borderId="0" xfId="0" applyFont="1" applyFill="1" applyBorder="1"/>
    <xf numFmtId="0" fontId="50" fillId="0" borderId="0" xfId="0" applyFont="1" applyBorder="1"/>
    <xf numFmtId="1" fontId="0" fillId="0" borderId="0" xfId="0" applyNumberFormat="1" applyBorder="1"/>
    <xf numFmtId="165" fontId="0" fillId="0" borderId="0" xfId="0" applyNumberFormat="1" applyBorder="1"/>
    <xf numFmtId="171" fontId="0" fillId="0" borderId="0" xfId="0" applyNumberFormat="1" applyBorder="1"/>
    <xf numFmtId="2" fontId="0" fillId="0" borderId="0" xfId="0" applyNumberFormat="1" applyBorder="1"/>
    <xf numFmtId="170" fontId="0" fillId="0" borderId="0" xfId="0" applyNumberFormat="1" applyBorder="1"/>
    <xf numFmtId="9" fontId="0" fillId="0" borderId="0" xfId="0" applyNumberFormat="1" applyBorder="1"/>
    <xf numFmtId="178" fontId="0" fillId="0" borderId="0" xfId="0" applyNumberFormat="1" applyBorder="1"/>
    <xf numFmtId="179" fontId="0" fillId="0" borderId="0" xfId="0" applyNumberFormat="1" applyBorder="1"/>
    <xf numFmtId="180" fontId="0" fillId="0" borderId="0" xfId="0" applyNumberFormat="1" applyBorder="1"/>
    <xf numFmtId="181" fontId="0" fillId="0" borderId="0" xfId="0" applyNumberFormat="1" applyBorder="1"/>
    <xf numFmtId="182" fontId="0" fillId="0" borderId="0" xfId="0" applyNumberFormat="1" applyBorder="1"/>
    <xf numFmtId="183" fontId="0" fillId="0" borderId="0" xfId="0" applyNumberFormat="1" applyBorder="1"/>
    <xf numFmtId="173" fontId="0" fillId="0" borderId="0" xfId="0" applyNumberFormat="1" applyBorder="1"/>
    <xf numFmtId="184" fontId="0" fillId="0" borderId="0" xfId="0" applyNumberFormat="1" applyBorder="1"/>
    <xf numFmtId="186" fontId="0" fillId="0" borderId="0" xfId="0" applyNumberFormat="1" applyBorder="1"/>
    <xf numFmtId="0" fontId="84" fillId="44" borderId="22" xfId="0" applyFont="1" applyFill="1" applyAlignment="1">
      <alignment horizontal="center" vertical="center" wrapText="1"/>
    </xf>
    <xf numFmtId="0" fontId="36" fillId="0" borderId="22" xfId="0" applyFont="1" applyAlignment="1">
      <alignment horizontal="left" vertical="center" indent="1"/>
    </xf>
    <xf numFmtId="0" fontId="61" fillId="25" borderId="22" xfId="0" applyFont="1" applyFill="1" applyAlignment="1">
      <alignment vertical="top" wrapText="1"/>
    </xf>
    <xf numFmtId="0" fontId="0" fillId="0" borderId="0" xfId="0" applyBorder="1"/>
    <xf numFmtId="170" fontId="68" fillId="28" borderId="45" xfId="0" applyNumberFormat="1" applyFont="1" applyFill="1" applyBorder="1" applyAlignment="1">
      <alignment horizontal="center" vertical="center" wrapText="1"/>
    </xf>
    <xf numFmtId="0" fontId="0" fillId="28" borderId="45" xfId="0" applyFill="1" applyBorder="1"/>
    <xf numFmtId="3" fontId="63" fillId="28" borderId="46" xfId="0" applyNumberFormat="1" applyFont="1" applyFill="1" applyBorder="1" applyAlignment="1">
      <alignment horizontal="left" vertical="center" indent="1"/>
    </xf>
    <xf numFmtId="0" fontId="0" fillId="28" borderId="0" xfId="0" applyFill="1" applyBorder="1"/>
    <xf numFmtId="3" fontId="68" fillId="28" borderId="45" xfId="0" applyNumberFormat="1" applyFont="1" applyFill="1" applyBorder="1" applyAlignment="1">
      <alignment horizontal="center" vertical="center" wrapText="1"/>
    </xf>
    <xf numFmtId="184" fontId="68" fillId="28" borderId="45" xfId="0" applyNumberFormat="1" applyFont="1" applyFill="1" applyBorder="1" applyAlignment="1">
      <alignment horizontal="center" vertical="center" wrapText="1"/>
    </xf>
    <xf numFmtId="0" fontId="68" fillId="28" borderId="45" xfId="0" applyFont="1" applyFill="1" applyBorder="1" applyAlignment="1">
      <alignment horizontal="left" vertical="center" indent="1"/>
    </xf>
    <xf numFmtId="184" fontId="62" fillId="27" borderId="22" xfId="0" applyNumberFormat="1" applyFont="1" applyFill="1" applyAlignment="1">
      <alignment horizontal="center" vertical="center" wrapText="1"/>
    </xf>
    <xf numFmtId="0" fontId="0" fillId="27" borderId="0" xfId="0" applyFill="1" applyBorder="1"/>
    <xf numFmtId="3" fontId="62" fillId="27" borderId="22" xfId="0" applyNumberFormat="1" applyFont="1" applyFill="1" applyAlignment="1">
      <alignment horizontal="center" vertical="center" wrapText="1"/>
    </xf>
    <xf numFmtId="1" fontId="68" fillId="28" borderId="45" xfId="0" applyNumberFormat="1" applyFont="1" applyFill="1" applyBorder="1" applyAlignment="1">
      <alignment horizontal="center" vertical="center" wrapText="1"/>
    </xf>
    <xf numFmtId="165" fontId="69" fillId="28" borderId="45" xfId="0" applyNumberFormat="1" applyFont="1" applyFill="1" applyBorder="1" applyAlignment="1">
      <alignment horizontal="center" vertical="center" wrapText="1"/>
    </xf>
    <xf numFmtId="1" fontId="69" fillId="28" borderId="45" xfId="0" applyNumberFormat="1" applyFont="1" applyFill="1" applyBorder="1" applyAlignment="1">
      <alignment horizontal="center" vertical="center" wrapText="1"/>
    </xf>
    <xf numFmtId="165" fontId="68" fillId="28" borderId="45" xfId="0" applyNumberFormat="1" applyFont="1" applyFill="1" applyBorder="1" applyAlignment="1">
      <alignment horizontal="center" vertical="center" wrapText="1"/>
    </xf>
    <xf numFmtId="184" fontId="69" fillId="28" borderId="45" xfId="0" applyNumberFormat="1" applyFont="1" applyFill="1" applyBorder="1" applyAlignment="1">
      <alignment horizontal="center" vertical="center" wrapText="1"/>
    </xf>
    <xf numFmtId="0" fontId="67" fillId="28" borderId="45" xfId="0" applyFont="1" applyFill="1" applyBorder="1" applyAlignment="1">
      <alignment horizontal="left" vertical="center" indent="1"/>
    </xf>
    <xf numFmtId="0" fontId="57" fillId="28" borderId="22" xfId="0" applyFont="1" applyFill="1" applyAlignment="1">
      <alignment horizontal="left" vertical="center" indent="1"/>
    </xf>
    <xf numFmtId="3" fontId="69" fillId="28" borderId="45" xfId="0" applyNumberFormat="1" applyFont="1" applyFill="1" applyBorder="1" applyAlignment="1">
      <alignment horizontal="center" vertical="center" wrapText="1"/>
    </xf>
    <xf numFmtId="0" fontId="62" fillId="31" borderId="48" xfId="0" applyFont="1" applyFill="1" applyBorder="1" applyAlignment="1">
      <alignment horizontal="left" vertical="center" indent="1"/>
    </xf>
    <xf numFmtId="0" fontId="0" fillId="31" borderId="0" xfId="0" applyFill="1" applyBorder="1"/>
    <xf numFmtId="3" fontId="63" fillId="28" borderId="48" xfId="0" applyNumberFormat="1" applyFont="1" applyFill="1" applyBorder="1" applyAlignment="1">
      <alignment horizontal="left" vertical="center" indent="1"/>
    </xf>
    <xf numFmtId="0" fontId="62" fillId="29" borderId="46" xfId="0" applyFont="1" applyFill="1" applyBorder="1" applyAlignment="1">
      <alignment horizontal="left" vertical="center" indent="1"/>
    </xf>
    <xf numFmtId="0" fontId="0" fillId="29" borderId="0" xfId="0" applyFill="1" applyBorder="1"/>
    <xf numFmtId="0" fontId="66" fillId="23" borderId="22" xfId="0" applyFont="1" applyFill="1" applyAlignment="1">
      <alignment horizontal="center" vertical="center" wrapText="1"/>
    </xf>
    <xf numFmtId="0" fontId="0" fillId="23" borderId="0" xfId="0" applyFill="1" applyBorder="1"/>
    <xf numFmtId="0" fontId="60" fillId="28" borderId="22" xfId="0" applyFont="1" applyFill="1" applyAlignment="1">
      <alignment horizontal="left" vertical="center" indent="1"/>
    </xf>
    <xf numFmtId="0" fontId="71" fillId="28" borderId="45" xfId="0" applyFont="1" applyFill="1" applyBorder="1" applyAlignment="1">
      <alignment horizontal="left" vertical="center" wrapText="1" indent="1"/>
    </xf>
    <xf numFmtId="170" fontId="63" fillId="28" borderId="52" xfId="0" applyNumberFormat="1" applyFont="1" applyFill="1" applyBorder="1" applyAlignment="1">
      <alignment horizontal="left" vertical="center" indent="1"/>
    </xf>
    <xf numFmtId="0" fontId="62" fillId="33" borderId="50" xfId="0" applyFont="1" applyFill="1" applyBorder="1" applyAlignment="1">
      <alignment horizontal="left" vertical="center" indent="1"/>
    </xf>
    <xf numFmtId="0" fontId="0" fillId="33" borderId="0" xfId="0" applyFill="1" applyBorder="1"/>
    <xf numFmtId="0" fontId="70" fillId="28" borderId="45" xfId="0" applyFont="1" applyFill="1" applyBorder="1" applyAlignment="1">
      <alignment horizontal="center" vertical="center" wrapText="1"/>
    </xf>
    <xf numFmtId="0" fontId="62" fillId="27" borderId="52" xfId="0" applyFont="1" applyFill="1" applyBorder="1" applyAlignment="1">
      <alignment horizontal="left" vertical="center" indent="1"/>
    </xf>
    <xf numFmtId="0" fontId="64" fillId="28" borderId="46" xfId="0" applyFont="1" applyFill="1" applyBorder="1" applyAlignment="1">
      <alignment horizontal="left" vertical="center" indent="1" shrinkToFit="1"/>
    </xf>
    <xf numFmtId="0" fontId="64" fillId="28" borderId="49" xfId="0" applyFont="1" applyFill="1" applyBorder="1" applyAlignment="1">
      <alignment horizontal="left" vertical="center" indent="1" shrinkToFit="1"/>
    </xf>
    <xf numFmtId="171" fontId="69" fillId="28" borderId="45" xfId="0" applyNumberFormat="1" applyFont="1" applyFill="1" applyBorder="1" applyAlignment="1">
      <alignment horizontal="center" vertical="center" wrapText="1"/>
    </xf>
    <xf numFmtId="0" fontId="64" fillId="28" borderId="47" xfId="0" applyFont="1" applyFill="1" applyBorder="1" applyAlignment="1">
      <alignment horizontal="left" vertical="center" indent="1" shrinkToFit="1"/>
    </xf>
    <xf numFmtId="2" fontId="63" fillId="28" borderId="50" xfId="0" applyNumberFormat="1" applyFont="1" applyFill="1" applyBorder="1" applyAlignment="1">
      <alignment horizontal="left" vertical="center" indent="1"/>
    </xf>
    <xf numFmtId="0" fontId="65" fillId="35" borderId="22" xfId="0" applyFont="1" applyFill="1" applyAlignment="1">
      <alignment horizontal="left" vertical="center" indent="1"/>
    </xf>
    <xf numFmtId="0" fontId="0" fillId="35" borderId="0" xfId="0" applyFill="1" applyBorder="1"/>
    <xf numFmtId="0" fontId="64" fillId="28" borderId="52" xfId="0" applyFont="1" applyFill="1" applyBorder="1" applyAlignment="1">
      <alignment horizontal="left" vertical="center" indent="1" shrinkToFit="1"/>
    </xf>
    <xf numFmtId="170" fontId="62" fillId="27" borderId="22" xfId="0" applyNumberFormat="1" applyFont="1" applyFill="1" applyAlignment="1">
      <alignment horizontal="center" vertical="center" wrapText="1"/>
    </xf>
    <xf numFmtId="165" fontId="62" fillId="27" borderId="22" xfId="0" applyNumberFormat="1" applyFont="1" applyFill="1" applyAlignment="1">
      <alignment horizontal="center" vertical="center" wrapText="1"/>
    </xf>
    <xf numFmtId="0" fontId="65" fillId="27" borderId="22" xfId="0" applyFont="1" applyFill="1" applyAlignment="1">
      <alignment horizontal="left" vertical="center" indent="1"/>
    </xf>
    <xf numFmtId="1" fontId="62" fillId="27" borderId="22" xfId="0" applyNumberFormat="1" applyFont="1" applyFill="1" applyAlignment="1">
      <alignment horizontal="center" vertical="center" wrapText="1"/>
    </xf>
    <xf numFmtId="0" fontId="56" fillId="27" borderId="22" xfId="0" applyFont="1" applyFill="1" applyAlignment="1">
      <alignment horizontal="left" vertical="center" indent="1"/>
    </xf>
    <xf numFmtId="0" fontId="62" fillId="27" borderId="22" xfId="0" applyFont="1" applyFill="1" applyAlignment="1">
      <alignment horizontal="left" vertical="center" indent="1"/>
    </xf>
    <xf numFmtId="3" fontId="63" fillId="28" borderId="47" xfId="0" applyNumberFormat="1" applyFont="1" applyFill="1" applyBorder="1" applyAlignment="1">
      <alignment horizontal="left" vertical="center" indent="1"/>
    </xf>
    <xf numFmtId="2" fontId="69" fillId="28" borderId="45" xfId="0" applyNumberFormat="1" applyFont="1" applyFill="1" applyBorder="1" applyAlignment="1">
      <alignment horizontal="center" vertical="center" wrapText="1"/>
    </xf>
    <xf numFmtId="0" fontId="0" fillId="28" borderId="22" xfId="0" applyFill="1"/>
    <xf numFmtId="0" fontId="61" fillId="28" borderId="22" xfId="0" applyFont="1" applyFill="1" applyAlignment="1">
      <alignment horizontal="left" vertical="center" wrapText="1" indent="1"/>
    </xf>
    <xf numFmtId="0" fontId="64" fillId="28" borderId="50" xfId="0" applyFont="1" applyFill="1" applyBorder="1" applyAlignment="1">
      <alignment horizontal="left" vertical="center" indent="1" shrinkToFit="1"/>
    </xf>
    <xf numFmtId="0" fontId="62" fillId="30" borderId="47" xfId="0" applyFont="1" applyFill="1" applyBorder="1" applyAlignment="1">
      <alignment horizontal="left" vertical="center" indent="1"/>
    </xf>
    <xf numFmtId="0" fontId="0" fillId="30" borderId="0" xfId="0" applyFill="1" applyBorder="1"/>
    <xf numFmtId="9" fontId="69" fillId="28" borderId="45" xfId="0" applyNumberFormat="1" applyFont="1" applyFill="1" applyBorder="1" applyAlignment="1">
      <alignment horizontal="center" vertical="center" wrapText="1"/>
    </xf>
    <xf numFmtId="3" fontId="63" fillId="28" borderId="49" xfId="0" applyNumberFormat="1" applyFont="1" applyFill="1" applyBorder="1" applyAlignment="1">
      <alignment horizontal="left" vertical="center" indent="1"/>
    </xf>
    <xf numFmtId="0" fontId="65" fillId="34" borderId="22" xfId="0" applyFont="1" applyFill="1" applyAlignment="1">
      <alignment horizontal="left" vertical="center" indent="1"/>
    </xf>
    <xf numFmtId="0" fontId="0" fillId="34" borderId="0" xfId="0" applyFill="1" applyBorder="1"/>
    <xf numFmtId="170" fontId="69" fillId="28" borderId="45" xfId="0" applyNumberFormat="1" applyFont="1" applyFill="1" applyBorder="1" applyAlignment="1">
      <alignment horizontal="center" vertical="center" wrapText="1"/>
    </xf>
    <xf numFmtId="0" fontId="64" fillId="28" borderId="48" xfId="0" applyFont="1" applyFill="1" applyBorder="1" applyAlignment="1">
      <alignment horizontal="left" vertical="center" indent="1" shrinkToFit="1"/>
    </xf>
    <xf numFmtId="0" fontId="62" fillId="32" borderId="49" xfId="0" applyFont="1" applyFill="1" applyBorder="1" applyAlignment="1">
      <alignment horizontal="left" vertical="center" indent="1"/>
    </xf>
    <xf numFmtId="0" fontId="0" fillId="32" borderId="0" xfId="0" applyFill="1" applyBorder="1"/>
    <xf numFmtId="0" fontId="58" fillId="28" borderId="22" xfId="0" applyFont="1" applyFill="1" applyAlignment="1">
      <alignment horizontal="left" vertical="center" indent="1"/>
    </xf>
    <xf numFmtId="0" fontId="62" fillId="27" borderId="22" xfId="0" applyFont="1" applyFill="1" applyAlignment="1">
      <alignment horizontal="center" vertical="center" wrapText="1"/>
    </xf>
    <xf numFmtId="171" fontId="63" fillId="28" borderId="51" xfId="0" applyNumberFormat="1" applyFont="1" applyFill="1" applyBorder="1" applyAlignment="1">
      <alignment horizontal="left" vertical="center" indent="1"/>
    </xf>
    <xf numFmtId="0" fontId="55" fillId="27" borderId="22" xfId="0" applyFont="1" applyFill="1" applyAlignment="1">
      <alignment horizontal="left" vertical="center" indent="1"/>
    </xf>
    <xf numFmtId="185" fontId="63" fillId="28" borderId="49" xfId="0" applyNumberFormat="1" applyFont="1" applyFill="1" applyBorder="1" applyAlignment="1">
      <alignment horizontal="left" vertical="center" indent="1"/>
    </xf>
    <xf numFmtId="0" fontId="62" fillId="23" borderId="51" xfId="0" applyFont="1" applyFill="1" applyBorder="1" applyAlignment="1">
      <alignment horizontal="left" vertical="center" indent="1"/>
    </xf>
    <xf numFmtId="0" fontId="59" fillId="24" borderId="45" xfId="0" applyFont="1" applyFill="1" applyBorder="1" applyAlignment="1">
      <alignment horizontal="center" vertical="center" wrapText="1"/>
    </xf>
    <xf numFmtId="0" fontId="0" fillId="24" borderId="45" xfId="0" applyFill="1" applyBorder="1"/>
    <xf numFmtId="0" fontId="64" fillId="28" borderId="51" xfId="0" applyFont="1" applyFill="1" applyBorder="1" applyAlignment="1">
      <alignment horizontal="left" vertical="center" indent="1" shrinkToFit="1"/>
    </xf>
    <xf numFmtId="0" fontId="75" fillId="28" borderId="22" xfId="0" applyFont="1" applyFill="1" applyAlignment="1">
      <alignment horizontal="left" vertical="center" indent="1"/>
    </xf>
    <xf numFmtId="3" fontId="85" fillId="28" borderId="45" xfId="0" applyNumberFormat="1" applyFont="1" applyFill="1" applyBorder="1" applyAlignment="1">
      <alignment horizontal="center" vertical="center" wrapText="1"/>
    </xf>
    <xf numFmtId="0" fontId="67" fillId="45" borderId="22" xfId="0" applyFont="1" applyFill="1" applyAlignment="1">
      <alignment horizontal="left" vertical="center" indent="1"/>
    </xf>
    <xf numFmtId="0" fontId="0" fillId="45" borderId="0" xfId="0" applyFill="1" applyBorder="1"/>
    <xf numFmtId="3" fontId="64" fillId="28" borderId="22" xfId="0" applyNumberFormat="1" applyFont="1" applyFill="1" applyAlignment="1">
      <alignment horizontal="center" vertical="center" wrapText="1"/>
    </xf>
    <xf numFmtId="0" fontId="67" fillId="28" borderId="22" xfId="0" applyFont="1" applyFill="1" applyAlignment="1">
      <alignment horizontal="left" vertical="center" indent="1"/>
    </xf>
    <xf numFmtId="0" fontId="61" fillId="28" borderId="22" xfId="0" applyFont="1" applyFill="1" applyAlignment="1">
      <alignment horizontal="left" vertical="center" indent="1"/>
    </xf>
    <xf numFmtId="0" fontId="85" fillId="28" borderId="45" xfId="0" applyFont="1" applyFill="1" applyBorder="1" applyAlignment="1">
      <alignment horizontal="left" vertical="center" indent="1"/>
    </xf>
    <xf numFmtId="0" fontId="84" fillId="44" borderId="22" xfId="0" applyFont="1" applyFill="1" applyAlignment="1">
      <alignment horizontal="center" vertical="center" wrapText="1"/>
    </xf>
    <xf numFmtId="0" fontId="0" fillId="44" borderId="0" xfId="0" applyFill="1" applyBorder="1"/>
    <xf numFmtId="184" fontId="85" fillId="28" borderId="45" xfId="0" applyNumberFormat="1" applyFont="1" applyFill="1" applyBorder="1" applyAlignment="1">
      <alignment horizontal="center" vertical="center" wrapText="1"/>
    </xf>
    <xf numFmtId="0" fontId="62" fillId="51" borderId="60" xfId="0" applyFont="1" applyFill="1" applyBorder="1" applyAlignment="1">
      <alignment horizontal="center" vertical="center" wrapText="1"/>
    </xf>
    <xf numFmtId="0" fontId="0" fillId="51" borderId="0" xfId="0" applyFill="1" applyBorder="1"/>
    <xf numFmtId="0" fontId="0" fillId="51" borderId="61" xfId="0" applyFill="1" applyBorder="1"/>
    <xf numFmtId="170" fontId="85" fillId="28" borderId="45" xfId="0" applyNumberFormat="1" applyFont="1" applyFill="1" applyBorder="1" applyAlignment="1">
      <alignment horizontal="center" vertical="center" wrapText="1"/>
    </xf>
    <xf numFmtId="2" fontId="82" fillId="28" borderId="58" xfId="0" applyNumberFormat="1" applyFont="1" applyFill="1" applyBorder="1" applyAlignment="1">
      <alignment horizontal="center" vertical="center" wrapText="1"/>
    </xf>
    <xf numFmtId="0" fontId="66" fillId="51" borderId="60" xfId="0" applyFont="1" applyFill="1" applyBorder="1" applyAlignment="1">
      <alignment horizontal="center" vertical="center" wrapText="1"/>
    </xf>
    <xf numFmtId="0" fontId="90" fillId="28" borderId="60" xfId="0" applyFont="1" applyFill="1" applyBorder="1" applyAlignment="1">
      <alignment horizontal="center" vertical="center" wrapText="1"/>
    </xf>
    <xf numFmtId="0" fontId="61" fillId="45" borderId="22" xfId="0" applyFont="1" applyFill="1" applyAlignment="1">
      <alignment horizontal="left" vertical="center" indent="1"/>
    </xf>
    <xf numFmtId="0" fontId="89" fillId="28" borderId="58" xfId="0" applyFont="1" applyFill="1" applyBorder="1" applyAlignment="1">
      <alignment horizontal="center" vertical="center" wrapText="1"/>
    </xf>
    <xf numFmtId="0" fontId="66" fillId="47" borderId="58" xfId="0" applyFont="1" applyFill="1" applyBorder="1" applyAlignment="1">
      <alignment horizontal="center" vertical="center" wrapText="1"/>
    </xf>
    <xf numFmtId="0" fontId="0" fillId="47" borderId="0" xfId="0" applyFill="1" applyBorder="1"/>
    <xf numFmtId="0" fontId="66" fillId="49" borderId="56" xfId="0" applyFont="1" applyFill="1" applyBorder="1" applyAlignment="1">
      <alignment horizontal="center" vertical="center" wrapText="1"/>
    </xf>
    <xf numFmtId="0" fontId="0" fillId="49" borderId="0" xfId="0" applyFill="1" applyBorder="1"/>
    <xf numFmtId="165" fontId="82" fillId="28" borderId="60" xfId="0" applyNumberFormat="1" applyFont="1" applyFill="1" applyBorder="1" applyAlignment="1">
      <alignment horizontal="center" vertical="center" wrapText="1"/>
    </xf>
    <xf numFmtId="0" fontId="88" fillId="37" borderId="64" xfId="0" applyFont="1" applyFill="1" applyBorder="1" applyAlignment="1">
      <alignment horizontal="center" vertical="center" shrinkToFit="1"/>
    </xf>
    <xf numFmtId="0" fontId="83" fillId="28" borderId="58" xfId="0" applyFont="1" applyFill="1" applyBorder="1" applyAlignment="1">
      <alignment horizontal="center" vertical="center" wrapText="1"/>
    </xf>
    <xf numFmtId="170" fontId="64" fillId="28" borderId="22" xfId="0" applyNumberFormat="1" applyFont="1" applyFill="1" applyAlignment="1">
      <alignment horizontal="center" vertical="center" wrapText="1"/>
    </xf>
    <xf numFmtId="0" fontId="79" fillId="28" borderId="56" xfId="0" applyFont="1" applyFill="1" applyBorder="1" applyAlignment="1">
      <alignment horizontal="center" vertical="center" shrinkToFit="1"/>
    </xf>
    <xf numFmtId="0" fontId="0" fillId="28" borderId="57" xfId="0" applyFill="1" applyBorder="1"/>
    <xf numFmtId="0" fontId="79" fillId="28" borderId="56" xfId="0" applyFont="1" applyFill="1" applyBorder="1" applyAlignment="1">
      <alignment horizontal="center" vertical="center" wrapText="1"/>
    </xf>
    <xf numFmtId="0" fontId="87" fillId="48" borderId="58" xfId="0" applyFont="1" applyFill="1" applyBorder="1" applyAlignment="1">
      <alignment horizontal="center" vertical="center" shrinkToFit="1"/>
    </xf>
    <xf numFmtId="0" fontId="87" fillId="48" borderId="0" xfId="0" applyFont="1" applyFill="1" applyBorder="1" applyAlignment="1">
      <alignment horizontal="center" vertical="center" shrinkToFit="1"/>
    </xf>
    <xf numFmtId="0" fontId="87" fillId="48" borderId="59" xfId="0" applyFont="1" applyFill="1" applyBorder="1" applyAlignment="1">
      <alignment horizontal="center" vertical="center" shrinkToFit="1"/>
    </xf>
    <xf numFmtId="1" fontId="80" fillId="28" borderId="60" xfId="0" applyNumberFormat="1" applyFont="1" applyFill="1" applyBorder="1" applyAlignment="1">
      <alignment horizontal="center" vertical="center" wrapText="1"/>
    </xf>
    <xf numFmtId="0" fontId="0" fillId="28" borderId="61" xfId="0" applyFill="1" applyBorder="1"/>
    <xf numFmtId="1" fontId="80" fillId="28" borderId="56" xfId="0" applyNumberFormat="1" applyFont="1" applyFill="1" applyBorder="1" applyAlignment="1">
      <alignment horizontal="center" vertical="center" wrapText="1"/>
    </xf>
    <xf numFmtId="0" fontId="89" fillId="28" borderId="58" xfId="0" applyFont="1" applyFill="1" applyBorder="1" applyAlignment="1">
      <alignment horizontal="center" vertical="center" shrinkToFit="1"/>
    </xf>
    <xf numFmtId="0" fontId="0" fillId="28" borderId="59" xfId="0" applyFill="1" applyBorder="1"/>
    <xf numFmtId="0" fontId="87" fillId="52" borderId="60" xfId="0" applyFont="1" applyFill="1" applyBorder="1" applyAlignment="1">
      <alignment horizontal="center" vertical="center" shrinkToFit="1"/>
    </xf>
    <xf numFmtId="0" fontId="87" fillId="52" borderId="0" xfId="0" applyFont="1" applyFill="1" applyBorder="1" applyAlignment="1">
      <alignment horizontal="center" vertical="center" shrinkToFit="1"/>
    </xf>
    <xf numFmtId="0" fontId="87" fillId="52" borderId="61" xfId="0" applyFont="1" applyFill="1" applyBorder="1" applyAlignment="1">
      <alignment horizontal="center" vertical="center" shrinkToFit="1"/>
    </xf>
    <xf numFmtId="0" fontId="85" fillId="28" borderId="22" xfId="0" applyFont="1" applyFill="1" applyAlignment="1">
      <alignment horizontal="center" vertical="center" wrapText="1"/>
    </xf>
    <xf numFmtId="170" fontId="64" fillId="45" borderId="22" xfId="0" applyNumberFormat="1" applyFont="1" applyFill="1" applyAlignment="1">
      <alignment horizontal="center" vertical="center" wrapText="1"/>
    </xf>
    <xf numFmtId="0" fontId="45" fillId="37" borderId="22" xfId="0" applyFont="1" applyFill="1" applyAlignment="1">
      <alignment horizontal="left" vertical="center" wrapText="1" indent="1"/>
    </xf>
    <xf numFmtId="165" fontId="67" fillId="45" borderId="22" xfId="0" applyNumberFormat="1" applyFont="1" applyFill="1" applyAlignment="1">
      <alignment horizontal="center" vertical="center" wrapText="1"/>
    </xf>
    <xf numFmtId="165" fontId="64" fillId="45" borderId="22" xfId="0" applyNumberFormat="1" applyFont="1" applyFill="1" applyAlignment="1">
      <alignment horizontal="center" vertical="center" wrapText="1"/>
    </xf>
    <xf numFmtId="165" fontId="64" fillId="28" borderId="22" xfId="0" applyNumberFormat="1" applyFont="1" applyFill="1" applyAlignment="1">
      <alignment horizontal="center" vertical="center" wrapText="1"/>
    </xf>
    <xf numFmtId="173" fontId="85" fillId="28" borderId="22" xfId="0" applyNumberFormat="1" applyFont="1" applyFill="1" applyAlignment="1">
      <alignment horizontal="center" vertical="center" wrapText="1"/>
    </xf>
    <xf numFmtId="0" fontId="66" fillId="48" borderId="58" xfId="0" applyFont="1" applyFill="1" applyBorder="1" applyAlignment="1">
      <alignment horizontal="center" vertical="center" shrinkToFit="1"/>
    </xf>
    <xf numFmtId="0" fontId="66" fillId="48" borderId="0" xfId="0" applyFont="1" applyFill="1" applyBorder="1" applyAlignment="1">
      <alignment horizontal="center" vertical="center" shrinkToFit="1"/>
    </xf>
    <xf numFmtId="0" fontId="66" fillId="48" borderId="59" xfId="0" applyFont="1" applyFill="1" applyBorder="1" applyAlignment="1">
      <alignment horizontal="center" vertical="center" shrinkToFit="1"/>
    </xf>
    <xf numFmtId="0" fontId="62" fillId="42" borderId="54" xfId="0" applyFont="1" applyFill="1" applyBorder="1" applyAlignment="1">
      <alignment horizontal="center" vertical="center" wrapText="1"/>
    </xf>
    <xf numFmtId="0" fontId="0" fillId="42" borderId="0" xfId="0" applyFill="1" applyBorder="1"/>
    <xf numFmtId="0" fontId="0" fillId="42" borderId="55" xfId="0" applyFill="1" applyBorder="1"/>
    <xf numFmtId="0" fontId="66" fillId="54" borderId="22" xfId="0" applyFont="1" applyFill="1" applyAlignment="1">
      <alignment horizontal="left" vertical="center" indent="1"/>
    </xf>
    <xf numFmtId="0" fontId="0" fillId="54" borderId="0" xfId="0" applyFill="1" applyBorder="1"/>
    <xf numFmtId="0" fontId="83" fillId="28" borderId="60" xfId="0" applyFont="1" applyFill="1" applyBorder="1" applyAlignment="1">
      <alignment horizontal="center" vertical="center" wrapText="1"/>
    </xf>
    <xf numFmtId="0" fontId="85" fillId="45" borderId="22" xfId="0" applyFont="1" applyFill="1" applyAlignment="1">
      <alignment horizontal="center" vertical="center" wrapText="1"/>
    </xf>
    <xf numFmtId="165" fontId="67" fillId="28" borderId="22" xfId="0" applyNumberFormat="1" applyFont="1" applyFill="1" applyAlignment="1">
      <alignment horizontal="center" vertical="center" wrapText="1"/>
    </xf>
    <xf numFmtId="170" fontId="67" fillId="28" borderId="22" xfId="0" applyNumberFormat="1" applyFont="1" applyFill="1" applyAlignment="1">
      <alignment horizontal="center" vertical="center" wrapText="1"/>
    </xf>
    <xf numFmtId="0" fontId="66" fillId="46" borderId="22" xfId="0" applyFont="1" applyFill="1" applyAlignment="1">
      <alignment horizontal="left" vertical="center" indent="1"/>
    </xf>
    <xf numFmtId="0" fontId="0" fillId="46" borderId="0" xfId="0" applyFill="1" applyBorder="1"/>
    <xf numFmtId="0" fontId="66" fillId="54" borderId="65" xfId="0" applyFont="1" applyFill="1" applyBorder="1" applyAlignment="1">
      <alignment horizontal="left" vertical="center" indent="1"/>
    </xf>
    <xf numFmtId="0" fontId="0" fillId="54" borderId="65" xfId="0" applyFill="1" applyBorder="1"/>
    <xf numFmtId="173" fontId="85" fillId="45" borderId="22" xfId="0" applyNumberFormat="1" applyFont="1" applyFill="1" applyAlignment="1">
      <alignment horizontal="center" vertical="center" wrapText="1"/>
    </xf>
    <xf numFmtId="0" fontId="59" fillId="24" borderId="53" xfId="0" applyFont="1" applyFill="1" applyBorder="1" applyAlignment="1">
      <alignment horizontal="center" vertical="center" wrapText="1"/>
    </xf>
    <xf numFmtId="0" fontId="0" fillId="24" borderId="53" xfId="0" applyFill="1" applyBorder="1"/>
    <xf numFmtId="2" fontId="64" fillId="28" borderId="22" xfId="0" applyNumberFormat="1" applyFont="1" applyFill="1" applyAlignment="1">
      <alignment horizontal="center" vertical="center" wrapText="1"/>
    </xf>
    <xf numFmtId="0" fontId="66" fillId="53" borderId="22" xfId="0" applyFont="1" applyFill="1" applyAlignment="1">
      <alignment horizontal="left" vertical="center" indent="1"/>
    </xf>
    <xf numFmtId="0" fontId="0" fillId="53" borderId="0" xfId="0" applyFill="1" applyBorder="1"/>
    <xf numFmtId="2" fontId="82" fillId="28" borderId="60" xfId="0" applyNumberFormat="1" applyFont="1" applyFill="1" applyBorder="1" applyAlignment="1">
      <alignment horizontal="center" vertical="center" wrapText="1"/>
    </xf>
    <xf numFmtId="170" fontId="82" fillId="28" borderId="60" xfId="0" applyNumberFormat="1" applyFont="1" applyFill="1" applyBorder="1" applyAlignment="1">
      <alignment horizontal="center" vertical="center" wrapText="1"/>
    </xf>
    <xf numFmtId="1" fontId="76" fillId="28" borderId="54" xfId="0" applyNumberFormat="1" applyFont="1" applyFill="1" applyBorder="1" applyAlignment="1">
      <alignment horizontal="center" vertical="center" wrapText="1"/>
    </xf>
    <xf numFmtId="0" fontId="0" fillId="28" borderId="55" xfId="0" applyFill="1" applyBorder="1"/>
    <xf numFmtId="1" fontId="78" fillId="28" borderId="56" xfId="0" applyNumberFormat="1" applyFont="1" applyFill="1" applyBorder="1" applyAlignment="1">
      <alignment horizontal="center" vertical="center" wrapText="1"/>
    </xf>
    <xf numFmtId="0" fontId="77" fillId="28" borderId="54" xfId="0" applyFont="1" applyFill="1" applyBorder="1" applyAlignment="1">
      <alignment horizontal="center" vertical="center" shrinkToFit="1"/>
    </xf>
    <xf numFmtId="171" fontId="64" fillId="45" borderId="22" xfId="0" applyNumberFormat="1" applyFont="1" applyFill="1" applyAlignment="1">
      <alignment horizontal="center" vertical="center" wrapText="1"/>
    </xf>
    <xf numFmtId="0" fontId="72" fillId="37" borderId="22" xfId="0" applyFont="1" applyFill="1" applyAlignment="1">
      <alignment horizontal="right" vertical="center" wrapText="1"/>
    </xf>
    <xf numFmtId="2" fontId="64" fillId="45" borderId="22" xfId="0" applyNumberFormat="1" applyFont="1" applyFill="1" applyAlignment="1">
      <alignment horizontal="center" vertical="center" wrapText="1"/>
    </xf>
    <xf numFmtId="2" fontId="67" fillId="28" borderId="22" xfId="0" applyNumberFormat="1" applyFont="1" applyFill="1" applyAlignment="1">
      <alignment horizontal="center" vertical="center" wrapText="1"/>
    </xf>
    <xf numFmtId="0" fontId="66" fillId="46" borderId="65" xfId="0" applyFont="1" applyFill="1" applyBorder="1" applyAlignment="1">
      <alignment horizontal="left" vertical="center" indent="1"/>
    </xf>
    <xf numFmtId="0" fontId="62" fillId="47" borderId="58" xfId="0" applyFont="1" applyFill="1" applyBorder="1" applyAlignment="1">
      <alignment horizontal="center" vertical="center" wrapText="1"/>
    </xf>
    <xf numFmtId="0" fontId="0" fillId="47" borderId="59" xfId="0" applyFill="1" applyBorder="1"/>
    <xf numFmtId="1" fontId="80" fillId="28" borderId="58" xfId="0" applyNumberFormat="1" applyFont="1" applyFill="1" applyBorder="1" applyAlignment="1">
      <alignment horizontal="center" vertical="center" wrapText="1"/>
    </xf>
    <xf numFmtId="0" fontId="66" fillId="50" borderId="56" xfId="0" applyFont="1" applyFill="1" applyBorder="1" applyAlignment="1">
      <alignment horizontal="center" vertical="center" shrinkToFit="1"/>
    </xf>
    <xf numFmtId="0" fontId="66" fillId="50" borderId="0" xfId="0" applyFont="1" applyFill="1" applyBorder="1" applyAlignment="1">
      <alignment horizontal="center" vertical="center" shrinkToFit="1"/>
    </xf>
    <xf numFmtId="0" fontId="66" fillId="50" borderId="57" xfId="0" applyFont="1" applyFill="1" applyBorder="1" applyAlignment="1">
      <alignment horizontal="center" vertical="center" shrinkToFit="1"/>
    </xf>
    <xf numFmtId="0" fontId="81" fillId="37" borderId="22" xfId="0" applyFont="1" applyFill="1" applyAlignment="1">
      <alignment horizontal="center" vertical="center"/>
    </xf>
    <xf numFmtId="0" fontId="61" fillId="37" borderId="22" xfId="0" applyFont="1" applyFill="1" applyAlignment="1">
      <alignment horizontal="left" vertical="center" wrapText="1" indent="1"/>
    </xf>
    <xf numFmtId="3" fontId="64" fillId="45" borderId="22" xfId="0" applyNumberFormat="1" applyFont="1" applyFill="1" applyAlignment="1">
      <alignment horizontal="center" vertical="center" wrapText="1"/>
    </xf>
    <xf numFmtId="0" fontId="83" fillId="28" borderId="56" xfId="0" applyFont="1" applyFill="1" applyBorder="1" applyAlignment="1">
      <alignment horizontal="center" vertical="center" wrapText="1"/>
    </xf>
    <xf numFmtId="170" fontId="67" fillId="45" borderId="22" xfId="0" applyNumberFormat="1" applyFont="1" applyFill="1" applyAlignment="1">
      <alignment horizontal="center" vertical="center" wrapText="1"/>
    </xf>
    <xf numFmtId="3" fontId="67" fillId="45" borderId="22" xfId="0" applyNumberFormat="1" applyFont="1" applyFill="1" applyAlignment="1">
      <alignment horizontal="center" vertical="center" wrapText="1"/>
    </xf>
    <xf numFmtId="0" fontId="90" fillId="28" borderId="60" xfId="0" applyFont="1" applyFill="1" applyBorder="1" applyAlignment="1">
      <alignment horizontal="center" vertical="center" shrinkToFit="1"/>
    </xf>
    <xf numFmtId="165" fontId="82" fillId="28" borderId="58" xfId="0" applyNumberFormat="1" applyFont="1" applyFill="1" applyBorder="1" applyAlignment="1">
      <alignment horizontal="center" vertical="center" wrapText="1"/>
    </xf>
    <xf numFmtId="1" fontId="78" fillId="28" borderId="60" xfId="0" applyNumberFormat="1" applyFont="1" applyFill="1" applyBorder="1" applyAlignment="1">
      <alignment horizontal="center" vertical="center" wrapText="1"/>
    </xf>
    <xf numFmtId="0" fontId="74" fillId="40" borderId="22" xfId="0" applyFont="1" applyFill="1" applyAlignment="1">
      <alignment horizontal="left" vertical="center" indent="1"/>
    </xf>
    <xf numFmtId="0" fontId="0" fillId="40" borderId="0" xfId="0" applyFill="1" applyBorder="1"/>
    <xf numFmtId="0" fontId="62" fillId="49" borderId="56" xfId="0" applyFont="1" applyFill="1" applyBorder="1" applyAlignment="1">
      <alignment horizontal="center" vertical="center" wrapText="1"/>
    </xf>
    <xf numFmtId="0" fontId="0" fillId="49" borderId="57" xfId="0" applyFill="1" applyBorder="1"/>
    <xf numFmtId="0" fontId="72" fillId="41" borderId="22" xfId="0" applyFont="1" applyFill="1" applyAlignment="1">
      <alignment horizontal="center" vertical="center"/>
    </xf>
    <xf numFmtId="0" fontId="0" fillId="41" borderId="0" xfId="0" applyFill="1" applyBorder="1"/>
    <xf numFmtId="2" fontId="67" fillId="45" borderId="22" xfId="0" applyNumberFormat="1" applyFont="1" applyFill="1" applyAlignment="1">
      <alignment horizontal="center" vertical="center" wrapText="1"/>
    </xf>
    <xf numFmtId="0" fontId="87" fillId="43" borderId="54" xfId="0" applyFont="1" applyFill="1" applyBorder="1" applyAlignment="1">
      <alignment horizontal="center" vertical="center" shrinkToFit="1"/>
    </xf>
    <xf numFmtId="0" fontId="87" fillId="43" borderId="0" xfId="0" applyFont="1" applyFill="1" applyBorder="1" applyAlignment="1">
      <alignment horizontal="center" vertical="center" shrinkToFit="1"/>
    </xf>
    <xf numFmtId="0" fontId="87" fillId="43" borderId="55" xfId="0" applyFont="1" applyFill="1" applyBorder="1" applyAlignment="1">
      <alignment horizontal="center" vertical="center" shrinkToFit="1"/>
    </xf>
    <xf numFmtId="0" fontId="87" fillId="50" borderId="56" xfId="0" applyFont="1" applyFill="1" applyBorder="1" applyAlignment="1">
      <alignment horizontal="center" vertical="center" shrinkToFit="1"/>
    </xf>
    <xf numFmtId="0" fontId="87" fillId="50" borderId="0" xfId="0" applyFont="1" applyFill="1" applyBorder="1" applyAlignment="1">
      <alignment horizontal="center" vertical="center" shrinkToFit="1"/>
    </xf>
    <xf numFmtId="0" fontId="87" fillId="50" borderId="57" xfId="0" applyFont="1" applyFill="1" applyBorder="1" applyAlignment="1">
      <alignment horizontal="center" vertical="center" shrinkToFit="1"/>
    </xf>
    <xf numFmtId="171" fontId="67" fillId="45" borderId="22" xfId="0" applyNumberFormat="1" applyFont="1" applyFill="1" applyAlignment="1">
      <alignment horizontal="center" vertical="center" wrapText="1"/>
    </xf>
    <xf numFmtId="0" fontId="65" fillId="39" borderId="22" xfId="0" applyFont="1" applyFill="1" applyAlignment="1">
      <alignment horizontal="left" vertical="center" indent="1"/>
    </xf>
    <xf numFmtId="0" fontId="0" fillId="39" borderId="0" xfId="0" applyFill="1" applyBorder="1"/>
    <xf numFmtId="3" fontId="82" fillId="28" borderId="60" xfId="0" applyNumberFormat="1" applyFont="1" applyFill="1" applyBorder="1" applyAlignment="1">
      <alignment horizontal="center" vertical="center" wrapText="1"/>
    </xf>
    <xf numFmtId="3" fontId="82" fillId="28" borderId="58" xfId="0" applyNumberFormat="1" applyFont="1" applyFill="1" applyBorder="1" applyAlignment="1">
      <alignment horizontal="center" vertical="center" wrapText="1"/>
    </xf>
    <xf numFmtId="0" fontId="61" fillId="37" borderId="22" xfId="0" applyFont="1" applyFill="1" applyAlignment="1">
      <alignment vertical="top" wrapText="1"/>
    </xf>
    <xf numFmtId="0" fontId="0" fillId="46" borderId="65" xfId="0" applyFill="1" applyBorder="1"/>
    <xf numFmtId="1" fontId="78" fillId="28" borderId="58" xfId="0" applyNumberFormat="1" applyFont="1" applyFill="1" applyBorder="1" applyAlignment="1">
      <alignment horizontal="center" vertical="center" wrapText="1"/>
    </xf>
    <xf numFmtId="165" fontId="82" fillId="28" borderId="56" xfId="0" applyNumberFormat="1" applyFont="1" applyFill="1" applyBorder="1" applyAlignment="1">
      <alignment horizontal="center" vertical="center" wrapText="1"/>
    </xf>
    <xf numFmtId="0" fontId="55" fillId="39" borderId="22" xfId="0" applyFont="1" applyFill="1" applyAlignment="1">
      <alignment horizontal="left" vertical="center" indent="1"/>
    </xf>
    <xf numFmtId="0" fontId="72" fillId="28" borderId="22" xfId="0" applyFont="1" applyFill="1" applyAlignment="1">
      <alignment horizontal="left" vertical="center" indent="1"/>
    </xf>
    <xf numFmtId="0" fontId="88" fillId="37" borderId="62" xfId="0" applyFont="1" applyFill="1" applyBorder="1" applyAlignment="1">
      <alignment horizontal="center" vertical="center" shrinkToFit="1"/>
    </xf>
    <xf numFmtId="3" fontId="67" fillId="28" borderId="22" xfId="0" applyNumberFormat="1" applyFont="1" applyFill="1" applyAlignment="1">
      <alignment horizontal="center" vertical="center" wrapText="1"/>
    </xf>
    <xf numFmtId="0" fontId="88" fillId="37" borderId="63" xfId="0" applyFont="1" applyFill="1" applyBorder="1" applyAlignment="1">
      <alignment horizontal="center" vertical="center" shrinkToFit="1"/>
    </xf>
    <xf numFmtId="0" fontId="66" fillId="53" borderId="65" xfId="0" applyFont="1" applyFill="1" applyBorder="1" applyAlignment="1">
      <alignment horizontal="left" vertical="center" indent="1"/>
    </xf>
    <xf numFmtId="0" fontId="0" fillId="53" borderId="65" xfId="0" applyFill="1" applyBorder="1"/>
    <xf numFmtId="0" fontId="4" fillId="3" borderId="2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3" fillId="2" borderId="10" xfId="0" applyFont="1" applyFill="1" applyBorder="1" applyAlignment="1">
      <alignment horizontal="left" vertical="center" indent="1"/>
    </xf>
    <xf numFmtId="0" fontId="0" fillId="0" borderId="10" xfId="0" applyBorder="1"/>
    <xf numFmtId="0" fontId="27" fillId="10" borderId="22" xfId="0" applyFont="1" applyFill="1" applyAlignment="1">
      <alignment horizontal="left" vertical="center" wrapText="1" indent="1"/>
    </xf>
    <xf numFmtId="0" fontId="28" fillId="12" borderId="36" xfId="0" applyFont="1" applyFill="1" applyBorder="1" applyAlignment="1">
      <alignment horizontal="left" vertical="center" indent="1"/>
    </xf>
    <xf numFmtId="0" fontId="0" fillId="0" borderId="36" xfId="0" applyBorder="1"/>
    <xf numFmtId="0" fontId="3" fillId="9" borderId="10" xfId="0" applyFont="1" applyFill="1" applyBorder="1" applyAlignment="1">
      <alignment horizontal="left" vertical="center" indent="1"/>
    </xf>
    <xf numFmtId="0" fontId="21" fillId="21" borderId="37" xfId="0" applyFont="1" applyFill="1" applyBorder="1" applyAlignment="1">
      <alignment horizontal="left" vertical="center" indent="1"/>
    </xf>
    <xf numFmtId="0" fontId="0" fillId="0" borderId="24" xfId="0" applyBorder="1"/>
    <xf numFmtId="0" fontId="0" fillId="0" borderId="25" xfId="0" applyBorder="1"/>
    <xf numFmtId="49" fontId="3" fillId="20" borderId="38" xfId="0" applyNumberFormat="1" applyFont="1" applyFill="1" applyBorder="1" applyAlignment="1">
      <alignment horizontal="left" vertical="center" indent="1"/>
    </xf>
    <xf numFmtId="0" fontId="0" fillId="0" borderId="23" xfId="0" applyBorder="1"/>
    <xf numFmtId="0" fontId="0" fillId="0" borderId="21" xfId="0" applyBorder="1"/>
    <xf numFmtId="0" fontId="37" fillId="19" borderId="39" xfId="0" applyFont="1" applyFill="1" applyBorder="1" applyAlignment="1">
      <alignment horizontal="left" vertical="center" indent="1"/>
    </xf>
    <xf numFmtId="0" fontId="0" fillId="0" borderId="34" xfId="0" applyBorder="1"/>
    <xf numFmtId="0" fontId="0" fillId="0" borderId="35" xfId="0" applyBorder="1"/>
    <xf numFmtId="0" fontId="34" fillId="12" borderId="18" xfId="0" applyFont="1" applyFill="1" applyBorder="1" applyAlignment="1">
      <alignment horizontal="left" vertical="center" indent="1"/>
    </xf>
    <xf numFmtId="0" fontId="0" fillId="0" borderId="18" xfId="0" applyBorder="1"/>
    <xf numFmtId="0" fontId="32" fillId="12" borderId="14" xfId="0" applyFont="1" applyFill="1" applyBorder="1" applyAlignment="1">
      <alignment horizontal="left" vertical="center" indent="1"/>
    </xf>
    <xf numFmtId="0" fontId="0" fillId="0" borderId="14" xfId="0" applyBorder="1"/>
    <xf numFmtId="3" fontId="24" fillId="20" borderId="38" xfId="0" applyNumberFormat="1" applyFont="1" applyFill="1" applyBorder="1" applyAlignment="1">
      <alignment horizontal="left" vertical="center" indent="1"/>
    </xf>
    <xf numFmtId="177" fontId="24" fillId="20" borderId="38" xfId="0" applyNumberFormat="1" applyFont="1" applyFill="1" applyBorder="1" applyAlignment="1">
      <alignment horizontal="left" vertical="center" indent="1"/>
    </xf>
    <xf numFmtId="0" fontId="37" fillId="19" borderId="40" xfId="0" applyFont="1" applyFill="1" applyBorder="1" applyAlignment="1">
      <alignment horizontal="left" vertical="center" indent="1"/>
    </xf>
    <xf numFmtId="0" fontId="0" fillId="0" borderId="26" xfId="0" applyBorder="1"/>
    <xf numFmtId="0" fontId="0" fillId="0" borderId="27" xfId="0" applyBorder="1"/>
    <xf numFmtId="0" fontId="37" fillId="19" borderId="41" xfId="0" applyFont="1" applyFill="1" applyBorder="1" applyAlignment="1">
      <alignment horizontal="left" vertical="center" indent="1"/>
    </xf>
    <xf numFmtId="0" fontId="0" fillId="0" borderId="19" xfId="0" applyBorder="1"/>
    <xf numFmtId="0" fontId="0" fillId="0" borderId="20" xfId="0" applyBorder="1"/>
    <xf numFmtId="0" fontId="39" fillId="21" borderId="37" xfId="0" applyFont="1" applyFill="1" applyBorder="1" applyAlignment="1">
      <alignment horizontal="left" vertical="center" indent="1"/>
    </xf>
    <xf numFmtId="0" fontId="19" fillId="21" borderId="37" xfId="0" applyFont="1" applyFill="1" applyBorder="1" applyAlignment="1">
      <alignment horizontal="left" vertical="center" indent="1"/>
    </xf>
    <xf numFmtId="0" fontId="37" fillId="19" borderId="42" xfId="0" applyFont="1" applyFill="1" applyBorder="1" applyAlignment="1">
      <alignment horizontal="left" vertical="center" indent="1"/>
    </xf>
    <xf numFmtId="0" fontId="0" fillId="0" borderId="28" xfId="0" applyBorder="1"/>
    <xf numFmtId="0" fontId="0" fillId="0" borderId="29" xfId="0" applyBorder="1"/>
    <xf numFmtId="0" fontId="37" fillId="19" borderId="43" xfId="0" applyFont="1" applyFill="1" applyBorder="1" applyAlignment="1">
      <alignment horizontal="left" vertical="center" indent="1"/>
    </xf>
    <xf numFmtId="0" fontId="0" fillId="0" borderId="30" xfId="0" applyBorder="1"/>
    <xf numFmtId="0" fontId="0" fillId="0" borderId="31" xfId="0" applyBorder="1"/>
    <xf numFmtId="0" fontId="28" fillId="12" borderId="12" xfId="0" applyFont="1" applyFill="1" applyBorder="1" applyAlignment="1">
      <alignment horizontal="left" vertical="center" indent="1"/>
    </xf>
    <xf numFmtId="0" fontId="0" fillId="0" borderId="12" xfId="0" applyBorder="1"/>
    <xf numFmtId="1" fontId="24" fillId="20" borderId="38" xfId="0" applyNumberFormat="1" applyFont="1" applyFill="1" applyBorder="1" applyAlignment="1">
      <alignment horizontal="left" vertical="center" indent="1"/>
    </xf>
    <xf numFmtId="0" fontId="33" fillId="12" borderId="16" xfId="0" applyFont="1" applyFill="1" applyBorder="1" applyAlignment="1">
      <alignment horizontal="left" vertical="center" indent="1"/>
    </xf>
    <xf numFmtId="0" fontId="0" fillId="0" borderId="16" xfId="0" applyBorder="1"/>
    <xf numFmtId="0" fontId="22" fillId="21" borderId="37" xfId="0" applyFont="1" applyFill="1" applyBorder="1" applyAlignment="1">
      <alignment horizontal="left" vertical="center" indent="1"/>
    </xf>
    <xf numFmtId="0" fontId="20" fillId="21" borderId="37" xfId="0" applyFont="1" applyFill="1" applyBorder="1" applyAlignment="1">
      <alignment horizontal="left" vertical="center" indent="1"/>
    </xf>
    <xf numFmtId="0" fontId="37" fillId="19" borderId="44" xfId="0" applyFont="1" applyFill="1" applyBorder="1" applyAlignment="1">
      <alignment horizontal="left" vertical="center" indent="1"/>
    </xf>
    <xf numFmtId="0" fontId="0" fillId="0" borderId="32" xfId="0" applyBorder="1"/>
    <xf numFmtId="0" fontId="0" fillId="0" borderId="33" xfId="0" applyBorder="1"/>
    <xf numFmtId="0" fontId="38" fillId="21" borderId="37" xfId="0" applyFont="1" applyFill="1" applyBorder="1" applyAlignment="1">
      <alignment horizontal="left" vertical="center" indent="1"/>
    </xf>
    <xf numFmtId="0" fontId="11" fillId="0" borderId="22" xfId="0" applyFont="1" applyAlignment="1">
      <alignment vertical="center"/>
    </xf>
    <xf numFmtId="0" fontId="2" fillId="0" borderId="22" xfId="0" applyFont="1" applyAlignment="1">
      <alignment vertical="center"/>
    </xf>
    <xf numFmtId="0" fontId="10" fillId="0" borderId="22" xfId="0" applyFont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0" fillId="0" borderId="6" xfId="0" applyBorder="1"/>
    <xf numFmtId="0" fontId="5" fillId="7" borderId="4" xfId="0" applyFont="1" applyFill="1" applyBorder="1" applyAlignment="1">
      <alignment horizontal="left" vertical="center" indent="1"/>
    </xf>
    <xf numFmtId="0" fontId="0" fillId="0" borderId="9" xfId="0" applyBorder="1"/>
  </cellXfs>
  <cellStyles count="2">
    <cellStyle name="Normal" xfId="0" builtinId="0"/>
    <cellStyle name="Normal 3" xfId="1" xr:uid="{00000000-0005-0000-0000-000001000000}"/>
  </cellStyles>
  <dxfs count="93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BF9000"/>
      </font>
      <fill>
        <patternFill patternType="solid">
          <bgColor rgb="FFFFF2CC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BE123C"/>
      </font>
    </dxf>
    <dxf>
      <font>
        <b/>
        <color rgb="FF9C0006"/>
      </font>
      <fill>
        <patternFill>
          <bgColor rgb="FFF4CCCC"/>
        </patternFill>
      </fill>
    </dxf>
    <dxf>
      <font>
        <b/>
        <color rgb="FFBE123C"/>
      </font>
      <fill>
        <patternFill patternType="solid">
          <fgColor rgb="FFFFE4E6"/>
          <bgColor rgb="FFFFE4E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BE123C"/>
      </font>
      <fill>
        <patternFill patternType="solid">
          <fgColor rgb="FFFFE4E6"/>
          <bgColor rgb="FFFFE4E6"/>
        </patternFill>
      </fill>
    </dxf>
    <dxf>
      <font>
        <b/>
        <color rgb="FFB45309"/>
      </font>
      <fill>
        <patternFill patternType="solid">
          <fgColor rgb="FFFEF3C7"/>
          <bgColor rgb="FFFEF3C7"/>
        </patternFill>
      </fill>
    </dxf>
    <dxf>
      <font>
        <b/>
        <color rgb="FFB45309"/>
      </font>
      <fill>
        <patternFill patternType="solid">
          <fgColor rgb="FFFEF3C7"/>
          <bgColor rgb="FFFEF3C7"/>
        </patternFill>
      </fill>
    </dxf>
    <dxf>
      <font>
        <b/>
        <color rgb="FFB45309"/>
      </font>
      <fill>
        <patternFill patternType="solid">
          <fgColor rgb="FFFEF3C7"/>
          <bgColor rgb="FFFEF3C7"/>
        </patternFill>
      </fill>
    </dxf>
    <dxf>
      <font>
        <b/>
        <color rgb="FF15803D"/>
      </font>
    </dxf>
    <dxf>
      <font>
        <b/>
        <color rgb="FFB91C1C"/>
      </font>
    </dxf>
    <dxf>
      <font>
        <b/>
        <color rgb="FF15803D"/>
      </font>
    </dxf>
    <dxf>
      <font>
        <b/>
        <color rgb="FFB91C1C"/>
      </font>
    </dxf>
    <dxf>
      <font>
        <b/>
        <color rgb="FF15803D"/>
      </font>
    </dxf>
    <dxf>
      <font>
        <b/>
        <color rgb="FFB91C1C"/>
      </font>
    </dxf>
    <dxf>
      <font>
        <b/>
        <color rgb="FFB45309"/>
      </font>
      <fill>
        <patternFill patternType="solid">
          <fgColor rgb="FFFEF3C7"/>
          <bgColor rgb="FFFEF3C7"/>
        </patternFill>
      </fill>
    </dxf>
    <dxf>
      <font>
        <color rgb="FF15803D"/>
      </font>
      <fill>
        <patternFill patternType="solid">
          <fgColor rgb="FFDCFCE7"/>
          <bgColor rgb="FFDCFCE7"/>
        </patternFill>
      </fill>
    </dxf>
    <dxf>
      <font>
        <b/>
        <color rgb="FFB91C1C"/>
      </font>
      <fill>
        <patternFill patternType="solid">
          <fgColor rgb="FFFEE2E2"/>
          <bgColor rgb="FFFEE2E2"/>
        </patternFill>
      </fill>
    </dxf>
    <dxf>
      <font>
        <color rgb="FF15803D"/>
      </font>
      <fill>
        <patternFill patternType="solid">
          <fgColor rgb="FFDCFCE7"/>
          <bgColor rgb="FFDCFCE7"/>
        </patternFill>
      </fill>
    </dxf>
    <dxf>
      <font>
        <b/>
        <color rgb="FFB91C1C"/>
      </font>
      <fill>
        <patternFill patternType="solid">
          <fgColor rgb="FFFEE2E2"/>
          <bgColor rgb="FFFEE2E2"/>
        </patternFill>
      </fill>
    </dxf>
    <dxf>
      <font>
        <color rgb="FF15803D"/>
      </font>
      <fill>
        <patternFill patternType="solid">
          <fgColor rgb="FFDCFCE7"/>
          <bgColor rgb="FFDCFCE7"/>
        </patternFill>
      </fill>
    </dxf>
    <dxf>
      <font>
        <b/>
        <color rgb="FFB91C1C"/>
      </font>
      <fill>
        <patternFill patternType="solid">
          <fgColor rgb="FFFEE2E2"/>
          <bgColor rgb="FFFEE2E2"/>
        </patternFill>
      </fill>
    </dxf>
    <dxf>
      <font>
        <b/>
        <color rgb="FF15803D"/>
      </font>
    </dxf>
    <dxf>
      <font>
        <b/>
        <color rgb="FFB91C1C"/>
      </font>
    </dxf>
    <dxf>
      <font>
        <b/>
        <color rgb="FFB45309"/>
      </font>
      <fill>
        <patternFill patternType="solid">
          <fgColor rgb="FFFEF3C7"/>
          <bgColor rgb="FFFEF3C7"/>
        </patternFill>
      </fill>
    </dxf>
    <dxf>
      <font>
        <b/>
        <color rgb="FFB45309"/>
      </font>
      <fill>
        <patternFill patternType="solid">
          <fgColor rgb="FFFEF3C7"/>
          <bgColor rgb="FFFEF3C7"/>
        </patternFill>
      </fill>
    </dxf>
    <dxf>
      <font>
        <b/>
        <color rgb="FFB45309"/>
      </font>
      <fill>
        <patternFill patternType="solid">
          <fgColor rgb="FFFEF3C7"/>
          <bgColor rgb="FFFEF3C7"/>
        </patternFill>
      </fill>
    </dxf>
    <dxf>
      <font>
        <b/>
        <color rgb="FF922B21"/>
      </font>
      <fill>
        <patternFill patternType="solid">
          <fgColor rgb="FFFADBD8"/>
        </patternFill>
      </fill>
    </dxf>
    <dxf>
      <font>
        <b/>
        <color rgb="FF145A32"/>
      </font>
      <fill>
        <patternFill patternType="solid">
          <fgColor rgb="FFD5F5E3"/>
        </patternFill>
      </fill>
    </dxf>
    <dxf>
      <font>
        <b/>
        <color rgb="FF145A32"/>
      </font>
      <fill>
        <patternFill patternType="solid">
          <fgColor rgb="FFD5F5E3"/>
        </patternFill>
      </fill>
    </dxf>
    <dxf>
      <font>
        <b/>
        <color rgb="FF922B21"/>
      </font>
      <fill>
        <patternFill patternType="solid">
          <fgColor rgb="FFFADBD8"/>
        </patternFill>
      </fill>
    </dxf>
    <dxf>
      <font>
        <b/>
        <color rgb="FF7D6608"/>
      </font>
      <fill>
        <patternFill patternType="solid">
          <fgColor rgb="FFFCF3CF"/>
        </patternFill>
      </fill>
    </dxf>
    <dxf>
      <font>
        <b/>
        <color rgb="FF145A32"/>
      </font>
      <fill>
        <patternFill patternType="solid">
          <fgColor rgb="FFD5F5E3"/>
        </patternFill>
      </fill>
    </dxf>
    <dxf>
      <font>
        <b/>
        <color rgb="FF922B21"/>
      </font>
      <fill>
        <patternFill patternType="solid">
          <fgColor rgb="FFFADBD8"/>
        </patternFill>
      </fill>
    </dxf>
    <dxf>
      <font>
        <b/>
        <color rgb="FF145A32"/>
      </font>
      <fill>
        <patternFill patternType="solid">
          <fgColor rgb="FFD5F5E3"/>
        </patternFill>
      </fill>
    </dxf>
    <dxf>
      <font>
        <b/>
        <color rgb="FF922B21"/>
      </font>
      <fill>
        <patternFill patternType="solid">
          <fgColor rgb="FFFADBD8"/>
        </patternFill>
      </fill>
    </dxf>
    <dxf>
      <font>
        <b/>
        <color rgb="FF145A32"/>
      </font>
      <fill>
        <patternFill patternType="solid">
          <fgColor rgb="FFD5F5E3"/>
        </patternFill>
      </fill>
    </dxf>
    <dxf>
      <font>
        <b/>
        <color rgb="FF922B21"/>
      </font>
      <fill>
        <patternFill patternType="solid">
          <fgColor rgb="FFFADBD8"/>
        </patternFill>
      </fill>
    </dxf>
    <dxf>
      <font>
        <b/>
        <color rgb="FF145A32"/>
      </font>
      <fill>
        <patternFill patternType="solid">
          <fgColor rgb="FFD5F5E3"/>
        </patternFill>
      </fill>
    </dxf>
    <dxf>
      <font>
        <b/>
        <color rgb="FF922B21"/>
      </font>
      <fill>
        <patternFill patternType="solid">
          <fgColor rgb="FFFADBD8"/>
        </patternFill>
      </fill>
    </dxf>
    <dxf>
      <font>
        <b/>
        <color rgb="FF1E8449"/>
      </font>
    </dxf>
    <dxf>
      <font>
        <b/>
        <color rgb="FFB03A2E"/>
      </font>
    </dxf>
    <dxf>
      <font>
        <b/>
        <color rgb="FF145A32"/>
      </font>
      <fill>
        <patternFill patternType="solid">
          <fgColor rgb="FFD5F5E3"/>
        </patternFill>
      </fill>
    </dxf>
    <dxf>
      <font>
        <b/>
        <color rgb="FF922B21"/>
      </font>
      <fill>
        <patternFill patternType="solid">
          <fgColor rgb="FFFADBD8"/>
        </patternFill>
      </fill>
    </dxf>
    <dxf>
      <font>
        <b/>
        <color rgb="FF1E8449"/>
      </font>
    </dxf>
    <dxf>
      <font>
        <b/>
        <color rgb="FFB03A2E"/>
      </font>
    </dxf>
    <dxf>
      <font>
        <b/>
        <color rgb="FF145A32"/>
      </font>
      <fill>
        <patternFill patternType="solid">
          <fgColor rgb="FFD5F5E3"/>
        </patternFill>
      </fill>
    </dxf>
    <dxf>
      <font>
        <b/>
        <color rgb="FF922B21"/>
      </font>
      <fill>
        <patternFill patternType="solid">
          <fgColor rgb="FFFADBD8"/>
        </patternFill>
      </fill>
    </dxf>
    <dxf>
      <font>
        <b/>
        <color rgb="FF1E8449"/>
      </font>
    </dxf>
    <dxf>
      <font>
        <b/>
        <color rgb="FFB03A2E"/>
      </font>
    </dxf>
    <dxf>
      <font>
        <b/>
        <color rgb="FF145A32"/>
      </font>
      <fill>
        <patternFill patternType="solid">
          <fgColor rgb="FFD5F5E3"/>
        </patternFill>
      </fill>
    </dxf>
    <dxf>
      <font>
        <b/>
        <color rgb="FF922B21"/>
      </font>
      <fill>
        <patternFill patternType="solid">
          <fgColor rgb="FFFADBD8"/>
        </patternFill>
      </fill>
    </dxf>
    <dxf>
      <font>
        <b/>
        <color rgb="FFB03A2E"/>
      </font>
    </dxf>
    <dxf>
      <font>
        <b/>
        <color rgb="FF1E8449"/>
      </font>
    </dxf>
    <dxf>
      <font>
        <b/>
        <color rgb="FF145A32"/>
      </font>
      <fill>
        <patternFill patternType="solid">
          <fgColor rgb="FFD5F5E3"/>
        </patternFill>
      </fill>
    </dxf>
    <dxf>
      <font>
        <b/>
        <color rgb="FF922B21"/>
      </font>
      <fill>
        <patternFill patternType="solid">
          <fgColor rgb="FFFADBD8"/>
        </patternFill>
      </fill>
    </dxf>
    <dxf>
      <font>
        <b/>
        <color rgb="FFB03A2E"/>
      </font>
    </dxf>
    <dxf>
      <font>
        <b/>
        <color rgb="FF1E8449"/>
      </font>
    </dxf>
    <dxf>
      <font>
        <b/>
        <color rgb="FF1E8449"/>
      </font>
    </dxf>
    <dxf>
      <font>
        <b/>
        <color rgb="FFB03A2E"/>
      </font>
    </dxf>
    <dxf>
      <font>
        <b/>
        <color rgb="FFB03A2E"/>
      </font>
    </dxf>
    <dxf>
      <font>
        <b/>
        <color rgb="FF1E8449"/>
      </font>
    </dxf>
    <dxf>
      <font>
        <b/>
        <color rgb="FF922B21"/>
      </font>
      <fill>
        <patternFill patternType="solid">
          <fgColor rgb="FFFADBD8"/>
        </patternFill>
      </fill>
    </dxf>
    <dxf>
      <font>
        <b/>
        <color rgb="FF145A32"/>
      </font>
      <fill>
        <patternFill patternType="solid">
          <fgColor rgb="FFD5F5E3"/>
        </patternFill>
      </fill>
    </dxf>
    <dxf>
      <font>
        <b/>
        <color rgb="FF922B21"/>
      </font>
      <fill>
        <patternFill patternType="solid">
          <fgColor rgb="FFFADBD8"/>
        </patternFill>
      </fill>
    </dxf>
    <dxf>
      <font>
        <b/>
        <color rgb="FF145A32"/>
      </font>
      <fill>
        <patternFill patternType="solid">
          <fgColor rgb="FFD5F5E3"/>
        </patternFill>
      </fill>
    </dxf>
    <dxf>
      <font>
        <b/>
        <color rgb="FFB03A2E"/>
      </font>
    </dxf>
    <dxf>
      <font>
        <b/>
        <color rgb="FF1E8449"/>
      </font>
    </dxf>
    <dxf>
      <font>
        <b/>
        <color rgb="FFB03A2E"/>
      </font>
    </dxf>
    <dxf>
      <font>
        <b/>
        <color rgb="FF1E8449"/>
      </font>
    </dxf>
    <dxf>
      <font>
        <b/>
        <color rgb="FF145A32"/>
      </font>
      <fill>
        <patternFill patternType="solid">
          <fgColor rgb="FFD5F5E3"/>
        </patternFill>
      </fill>
    </dxf>
    <dxf>
      <font>
        <b/>
        <color rgb="FF922B21"/>
      </font>
      <fill>
        <patternFill patternType="solid">
          <fgColor rgb="FFFADBD8"/>
        </patternFill>
      </fill>
    </dxf>
    <dxf>
      <font>
        <b/>
        <color rgb="FFB03A2E"/>
      </font>
    </dxf>
    <dxf>
      <font>
        <b/>
        <color rgb="FF1E8449"/>
      </font>
    </dxf>
    <dxf>
      <font>
        <b/>
        <color rgb="FF145A32"/>
      </font>
      <fill>
        <patternFill patternType="solid">
          <fgColor rgb="FFD5F5E3"/>
        </patternFill>
      </fill>
    </dxf>
    <dxf>
      <font>
        <b/>
        <color rgb="FF922B21"/>
      </font>
      <fill>
        <patternFill patternType="solid">
          <fgColor rgb="FFFADBD8"/>
        </patternFill>
      </fill>
    </dxf>
    <dxf>
      <font>
        <b/>
        <color rgb="FF145A32"/>
      </font>
      <fill>
        <patternFill patternType="solid">
          <fgColor rgb="FFD5F5E3"/>
        </patternFill>
      </fill>
    </dxf>
    <dxf>
      <font>
        <b/>
        <color rgb="FF922B21"/>
      </font>
      <fill>
        <patternFill patternType="solid">
          <fgColor rgb="FFFADBD8"/>
        </patternFill>
      </fill>
    </dxf>
    <dxf>
      <font>
        <b/>
        <color rgb="FF145A32"/>
      </font>
      <fill>
        <patternFill patternType="solid">
          <fgColor rgb="FFD5F5E3"/>
        </patternFill>
      </fill>
    </dxf>
    <dxf>
      <font>
        <b/>
        <color rgb="FF922B21"/>
      </font>
      <fill>
        <patternFill patternType="solid">
          <fgColor rgb="FFF5B7B1"/>
        </patternFill>
      </fill>
    </dxf>
    <dxf>
      <font>
        <b/>
        <color rgb="FF145A32"/>
      </font>
      <fill>
        <patternFill patternType="solid">
          <fgColor rgb="FFD5F5E3"/>
        </patternFill>
      </fill>
    </dxf>
    <dxf>
      <font>
        <b/>
        <color rgb="FF922B21"/>
      </font>
      <fill>
        <patternFill patternType="solid">
          <fgColor rgb="FFF5B7B1"/>
        </patternFill>
      </fill>
    </dxf>
    <dxf>
      <font>
        <b/>
        <color rgb="FF145A32"/>
      </font>
      <fill>
        <patternFill patternType="solid">
          <fgColor rgb="FFD5F5E3"/>
        </patternFill>
      </fill>
    </dxf>
    <dxf>
      <font>
        <b/>
        <color rgb="FF922B21"/>
      </font>
      <fill>
        <patternFill patternType="solid">
          <fgColor rgb="FFF5B7B1"/>
        </patternFill>
      </fill>
    </dxf>
    <dxf>
      <font>
        <b/>
        <color rgb="FF145A32"/>
      </font>
      <fill>
        <patternFill patternType="solid">
          <fgColor rgb="FFFCF3CF"/>
        </patternFill>
      </fill>
    </dxf>
    <dxf>
      <font>
        <strike val="0"/>
        <condense val="0"/>
        <extend val="0"/>
        <outline val="0"/>
        <shadow val="0"/>
        <vertAlign val="baseline"/>
        <sz val="9.5"/>
        <color rgb="FF0000FF"/>
        <name val="Arial"/>
      </font>
      <numFmt numFmtId="168" formatCode="#,##0;\(#,##0\);&quot;-&quot;"/>
      <fill>
        <patternFill patternType="solid">
          <fgColor rgb="FFFFFFFF"/>
          <bgColor rgb="FFFFFFFF"/>
        </patternFill>
      </fill>
      <alignment horizontal="right" vertical="center"/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.5"/>
        <color rgb="FF0000FF"/>
        <name val="Arial"/>
      </font>
      <numFmt numFmtId="168" formatCode="#,##0;\(#,##0\);&quot;-&quot;"/>
      <fill>
        <patternFill patternType="solid">
          <fgColor rgb="FFFFFFFF"/>
          <bgColor rgb="FFFFFFFF"/>
        </patternFill>
      </fill>
      <alignment horizontal="right" vertical="center"/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.5"/>
        <color rgb="FF0000FF"/>
        <name val="Arial"/>
      </font>
      <numFmt numFmtId="168" formatCode="#,##0;\(#,##0\);&quot;-&quot;"/>
      <fill>
        <patternFill patternType="solid">
          <fgColor rgb="FFFFFFFF"/>
          <bgColor rgb="FFFFFFFF"/>
        </patternFill>
      </fill>
      <alignment horizontal="right" vertical="center"/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.5"/>
        <color rgb="FF0000FF"/>
        <name val="Arial"/>
      </font>
      <numFmt numFmtId="168" formatCode="#,##0;\(#,##0\);&quot;-&quot;"/>
      <fill>
        <patternFill patternType="solid">
          <fgColor rgb="FFFFFFFF"/>
          <bgColor rgb="FFFFFFFF"/>
        </patternFill>
      </fill>
      <alignment horizontal="right" vertical="center"/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.5"/>
        <color rgb="FF0000FF"/>
        <name val="Arial"/>
      </font>
      <numFmt numFmtId="168" formatCode="#,##0;\(#,##0\);&quot;-&quot;"/>
      <fill>
        <patternFill patternType="solid">
          <fgColor rgb="FFFFFFFF"/>
          <bgColor rgb="FFFFFFFF"/>
        </patternFill>
      </fill>
      <alignment horizontal="right" vertical="center"/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.5"/>
        <color rgb="FF0000FF"/>
        <name val="Arial"/>
      </font>
      <numFmt numFmtId="168" formatCode="#,##0;\(#,##0\);&quot;-&quot;"/>
      <fill>
        <patternFill patternType="solid">
          <fgColor rgb="FFFFFFFF"/>
          <bgColor rgb="FFFFFFFF"/>
        </patternFill>
      </fill>
      <alignment horizontal="right" vertical="center"/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B3D3A"/>
                </a:solidFill>
                <a:latin typeface="Calibri"/>
              </a:defRPr>
            </a:pPr>
            <a:r>
              <a:rPr lang="en-IN" sz="1050" b="1">
                <a:solidFill>
                  <a:srgbClr val="0B3D3A"/>
                </a:solidFill>
                <a:latin typeface="Calibri"/>
              </a:rPr>
              <a:t>Monthly HT Grid Energy vs Solar Generation (kWh)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HT grid</c:v>
          </c:tx>
          <c:spPr>
            <a:solidFill>
              <a:srgbClr val="2874A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MIS_Calc!$A$21:$A$32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MIS_Calc!$BT$21:$BT$32</c:f>
              <c:numCache>
                <c:formatCode>#,##0;\-#,##0;;</c:formatCode>
                <c:ptCount val="12"/>
                <c:pt idx="0">
                  <c:v>66600</c:v>
                </c:pt>
                <c:pt idx="1">
                  <c:v>95736</c:v>
                </c:pt>
                <c:pt idx="2">
                  <c:v>125154</c:v>
                </c:pt>
                <c:pt idx="3">
                  <c:v>198066</c:v>
                </c:pt>
                <c:pt idx="4">
                  <c:v>222144</c:v>
                </c:pt>
                <c:pt idx="5">
                  <c:v>72912</c:v>
                </c:pt>
                <c:pt idx="6">
                  <c:v>122658</c:v>
                </c:pt>
                <c:pt idx="7">
                  <c:v>146382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7E8-49FD-8A5D-89CF57E9E29F}"/>
            </c:ext>
          </c:extLst>
        </c:ser>
        <c:ser>
          <c:idx val="1"/>
          <c:order val="1"/>
          <c:tx>
            <c:v>Solar generation</c:v>
          </c:tx>
          <c:spPr>
            <a:solidFill>
              <a:srgbClr val="D4A01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MIS_Calc!$A$21:$A$32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MIS_Calc!$BU$21:$BU$32</c:f>
              <c:numCache>
                <c:formatCode>#,##0;\-#,##0;;</c:formatCode>
                <c:ptCount val="12"/>
                <c:pt idx="0">
                  <c:v>95805.700000000012</c:v>
                </c:pt>
                <c:pt idx="1">
                  <c:v>119500.8</c:v>
                </c:pt>
                <c:pt idx="2">
                  <c:v>152604.70000000001</c:v>
                </c:pt>
                <c:pt idx="3">
                  <c:v>136018.1</c:v>
                </c:pt>
                <c:pt idx="4">
                  <c:v>145805.6</c:v>
                </c:pt>
                <c:pt idx="5">
                  <c:v>128018</c:v>
                </c:pt>
                <c:pt idx="6">
                  <c:v>100380</c:v>
                </c:pt>
                <c:pt idx="7">
                  <c:v>115911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7E8-49FD-8A5D-89CF57E9E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5E8E8"/>
              </a:solidFill>
              <a:prstDash val="solid"/>
            </a:ln>
          </c:spPr>
        </c:majorGridlines>
        <c:numFmt formatCode="#,##0,&quot;K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64019070961718016"/>
          <c:y val="0.20210905349794234"/>
          <c:w val="0.33623832866479925"/>
          <c:h val="8.1882716049382714E-2"/>
        </c:manualLayout>
      </c:layout>
      <c:overlay val="1"/>
      <c:txPr>
        <a:bodyPr/>
        <a:lstStyle/>
        <a:p>
          <a:pPr>
            <a:defRPr sz="800" b="0">
              <a:solidFill>
                <a:srgbClr val="5D6D7E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B3D3A"/>
                </a:solidFill>
                <a:latin typeface="Calibri"/>
              </a:defRPr>
            </a:pPr>
            <a:r>
              <a:rPr lang="en-IN" sz="1050" b="1">
                <a:solidFill>
                  <a:srgbClr val="0B3D3A"/>
                </a:solidFill>
                <a:latin typeface="Calibri"/>
              </a:rPr>
              <a:t>Power by Building — Top 12 (kWh / month)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D4A01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MIS_Calc!$H$249:$H$260</c:f>
              <c:strCache>
                <c:ptCount val="12"/>
                <c:pt idx="0">
                  <c:v>Commons</c:v>
                </c:pt>
                <c:pt idx="1">
                  <c:v>Academy Building</c:v>
                </c:pt>
                <c:pt idx="2">
                  <c:v>SR-9-10B</c:v>
                </c:pt>
                <c:pt idx="3">
                  <c:v>Pump House</c:v>
                </c:pt>
                <c:pt idx="4">
                  <c:v>Junior School-1,2&amp;3</c:v>
                </c:pt>
                <c:pt idx="5">
                  <c:v>On call</c:v>
                </c:pt>
                <c:pt idx="6">
                  <c:v>Athletic Centre</c:v>
                </c:pt>
                <c:pt idx="7">
                  <c:v>Senior School-1&amp;3</c:v>
                </c:pt>
                <c:pt idx="8">
                  <c:v>SR-11-12CB</c:v>
                </c:pt>
                <c:pt idx="9">
                  <c:v>Senior School-2</c:v>
                </c:pt>
                <c:pt idx="10">
                  <c:v>SR-4</c:v>
                </c:pt>
                <c:pt idx="11">
                  <c:v>SR-11-12CA</c:v>
                </c:pt>
              </c:strCache>
            </c:strRef>
          </c:cat>
          <c:val>
            <c:numRef>
              <c:f>MIS_Calc!$I$249:$I$260</c:f>
              <c:numCache>
                <c:formatCode>#,##0</c:formatCode>
                <c:ptCount val="12"/>
                <c:pt idx="0">
                  <c:v>25640</c:v>
                </c:pt>
                <c:pt idx="1">
                  <c:v>18300</c:v>
                </c:pt>
                <c:pt idx="2">
                  <c:v>12306</c:v>
                </c:pt>
                <c:pt idx="3">
                  <c:v>11500</c:v>
                </c:pt>
                <c:pt idx="4">
                  <c:v>10905</c:v>
                </c:pt>
                <c:pt idx="5">
                  <c:v>10147</c:v>
                </c:pt>
                <c:pt idx="6">
                  <c:v>9768</c:v>
                </c:pt>
                <c:pt idx="7">
                  <c:v>8760</c:v>
                </c:pt>
                <c:pt idx="8">
                  <c:v>8718</c:v>
                </c:pt>
                <c:pt idx="9">
                  <c:v>8229</c:v>
                </c:pt>
                <c:pt idx="10">
                  <c:v>6408</c:v>
                </c:pt>
                <c:pt idx="11">
                  <c:v>5498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123-4FBD-9599-5B50CE66F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B3D3A"/>
                </a:solidFill>
                <a:latin typeface="Calibri"/>
              </a:defRPr>
            </a:pPr>
            <a:r>
              <a:rPr lang="en-IN" sz="1050" b="1">
                <a:solidFill>
                  <a:srgbClr val="0B3D3A"/>
                </a:solidFill>
                <a:latin typeface="Calibri"/>
              </a:rPr>
              <a:t>Solar Generation by Plant (kWh / month)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D4AC0D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MIS_Calc!$R$249:$R$258</c:f>
              <c:strCache>
                <c:ptCount val="10"/>
                <c:pt idx="0">
                  <c:v>Ground Mount And Substation</c:v>
                </c:pt>
                <c:pt idx="1">
                  <c:v>Ab Building</c:v>
                </c:pt>
                <c:pt idx="2">
                  <c:v>Commons Building</c:v>
                </c:pt>
                <c:pt idx="3">
                  <c:v>Facility Block</c:v>
                </c:pt>
                <c:pt idx="4">
                  <c:v>Ss Laboratory</c:v>
                </c:pt>
                <c:pt idx="5">
                  <c:v>Art And Music</c:v>
                </c:pt>
                <c:pt idx="6">
                  <c:v>Squash Court</c:v>
                </c:pt>
                <c:pt idx="7">
                  <c:v>Js Library</c:v>
                </c:pt>
                <c:pt idx="8">
                  <c:v>Athletic Centre</c:v>
                </c:pt>
                <c:pt idx="9">
                  <c:v>Senior School 1</c:v>
                </c:pt>
              </c:strCache>
            </c:strRef>
          </c:cat>
          <c:val>
            <c:numRef>
              <c:f>MIS_Calc!$S$249:$S$258</c:f>
              <c:numCache>
                <c:formatCode>#,##0</c:formatCode>
                <c:ptCount val="10"/>
                <c:pt idx="0">
                  <c:v>44867</c:v>
                </c:pt>
                <c:pt idx="1">
                  <c:v>19530</c:v>
                </c:pt>
                <c:pt idx="2">
                  <c:v>17451</c:v>
                </c:pt>
                <c:pt idx="3">
                  <c:v>6770</c:v>
                </c:pt>
                <c:pt idx="4">
                  <c:v>6643</c:v>
                </c:pt>
                <c:pt idx="5">
                  <c:v>4783</c:v>
                </c:pt>
                <c:pt idx="6">
                  <c:v>4047</c:v>
                </c:pt>
                <c:pt idx="7">
                  <c:v>4045</c:v>
                </c:pt>
                <c:pt idx="8">
                  <c:v>3955</c:v>
                </c:pt>
                <c:pt idx="9">
                  <c:v>3820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B0F-4A6D-8542-F32734D34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B3D3A"/>
                </a:solidFill>
                <a:latin typeface="Calibri"/>
              </a:defRPr>
            </a:pPr>
            <a:r>
              <a:rPr lang="en-IN" sz="1050" b="1">
                <a:solidFill>
                  <a:srgbClr val="0B3D3A"/>
                </a:solidFill>
                <a:latin typeface="Calibri"/>
              </a:rPr>
              <a:t>Monthly Inlet Water: Borewell vs STP Recycled (kL)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Borewell</c:v>
          </c:tx>
          <c:spPr>
            <a:solidFill>
              <a:srgbClr val="2874A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MIS_Calc!$A$21:$A$32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MIS_Calc!$BV$21:$BV$32</c:f>
              <c:numCache>
                <c:formatCode>#,##0;\-#,##0;;</c:formatCode>
                <c:ptCount val="12"/>
                <c:pt idx="0">
                  <c:v>15002</c:v>
                </c:pt>
                <c:pt idx="1">
                  <c:v>19302.669999999998</c:v>
                </c:pt>
                <c:pt idx="2">
                  <c:v>17647.45</c:v>
                </c:pt>
                <c:pt idx="3">
                  <c:v>18490.490000000002</c:v>
                </c:pt>
                <c:pt idx="4">
                  <c:v>21759.4</c:v>
                </c:pt>
                <c:pt idx="5">
                  <c:v>11528.59</c:v>
                </c:pt>
                <c:pt idx="6">
                  <c:v>15618.59</c:v>
                </c:pt>
                <c:pt idx="7">
                  <c:v>11995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9B6-4DEB-86B7-033066EF023E}"/>
            </c:ext>
          </c:extLst>
        </c:ser>
        <c:ser>
          <c:idx val="1"/>
          <c:order val="1"/>
          <c:tx>
            <c:v>STP recycled</c:v>
          </c:tx>
          <c:spPr>
            <a:solidFill>
              <a:srgbClr val="1E844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MIS_Calc!$A$21:$A$32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MIS_Calc!$BW$21:$BW$32</c:f>
              <c:numCache>
                <c:formatCode>#,##0;\-#,##0;;</c:formatCode>
                <c:ptCount val="12"/>
                <c:pt idx="0">
                  <c:v>3596</c:v>
                </c:pt>
                <c:pt idx="1">
                  <c:v>5654</c:v>
                </c:pt>
                <c:pt idx="2">
                  <c:v>4885</c:v>
                </c:pt>
                <c:pt idx="3">
                  <c:v>3764</c:v>
                </c:pt>
                <c:pt idx="4">
                  <c:v>1496</c:v>
                </c:pt>
                <c:pt idx="5">
                  <c:v>1929</c:v>
                </c:pt>
                <c:pt idx="6">
                  <c:v>2303</c:v>
                </c:pt>
                <c:pt idx="7">
                  <c:v>2683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9B6-4DEB-86B7-033066EF0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5E8E8"/>
              </a:solidFill>
              <a:prstDash val="solid"/>
            </a:ln>
          </c:spPr>
        </c:majorGridlines>
        <c:numFmt formatCode="#,##0,&quot;K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66840732959850613"/>
          <c:y val="0.19688271604938265"/>
          <c:w val="0.30945051353874881"/>
          <c:h val="8.1882716049382714E-2"/>
        </c:manualLayout>
      </c:layout>
      <c:overlay val="1"/>
      <c:txPr>
        <a:bodyPr/>
        <a:lstStyle/>
        <a:p>
          <a:pPr>
            <a:defRPr sz="800" b="0">
              <a:solidFill>
                <a:srgbClr val="5D6D7E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B3D3A"/>
                </a:solidFill>
                <a:latin typeface="Calibri"/>
              </a:defRPr>
            </a:pPr>
            <a:r>
              <a:rPr lang="en-IN" sz="1050" b="1">
                <a:solidFill>
                  <a:srgbClr val="0B3D3A"/>
                </a:solidFill>
                <a:latin typeface="Calibri"/>
              </a:rPr>
              <a:t>Water by Building — Top 12 (kL / month)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13A89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MIS_Calc!$C$249:$C$260</c:f>
              <c:strCache>
                <c:ptCount val="12"/>
                <c:pt idx="0">
                  <c:v>Swimming Pool</c:v>
                </c:pt>
                <c:pt idx="1">
                  <c:v>SR-9-10B1A</c:v>
                </c:pt>
                <c:pt idx="2">
                  <c:v>Commons</c:v>
                </c:pt>
                <c:pt idx="3">
                  <c:v>SR-11-12CA</c:v>
                </c:pt>
                <c:pt idx="4">
                  <c:v>PCM</c:v>
                </c:pt>
                <c:pt idx="5">
                  <c:v>SR-1</c:v>
                </c:pt>
                <c:pt idx="6">
                  <c:v>SR-2</c:v>
                </c:pt>
                <c:pt idx="7">
                  <c:v>Nursery</c:v>
                </c:pt>
                <c:pt idx="8">
                  <c:v>SR-4</c:v>
                </c:pt>
                <c:pt idx="9">
                  <c:v>Laundry</c:v>
                </c:pt>
                <c:pt idx="10">
                  <c:v>Junior School-3</c:v>
                </c:pt>
                <c:pt idx="11">
                  <c:v>Senior School-1</c:v>
                </c:pt>
              </c:strCache>
            </c:strRef>
          </c:cat>
          <c:val>
            <c:numRef>
              <c:f>MIS_Calc!$D$249:$D$260</c:f>
              <c:numCache>
                <c:formatCode>#,##0</c:formatCode>
                <c:ptCount val="12"/>
                <c:pt idx="0">
                  <c:v>1559</c:v>
                </c:pt>
                <c:pt idx="1">
                  <c:v>1468</c:v>
                </c:pt>
                <c:pt idx="2">
                  <c:v>1094</c:v>
                </c:pt>
                <c:pt idx="3">
                  <c:v>710</c:v>
                </c:pt>
                <c:pt idx="4">
                  <c:v>570</c:v>
                </c:pt>
                <c:pt idx="5">
                  <c:v>329</c:v>
                </c:pt>
                <c:pt idx="6">
                  <c:v>312</c:v>
                </c:pt>
                <c:pt idx="7">
                  <c:v>209</c:v>
                </c:pt>
                <c:pt idx="8">
                  <c:v>194</c:v>
                </c:pt>
                <c:pt idx="9">
                  <c:v>135</c:v>
                </c:pt>
                <c:pt idx="10">
                  <c:v>120</c:v>
                </c:pt>
                <c:pt idx="11">
                  <c:v>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D23-4F45-8751-858E6AD85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B3D3A"/>
                </a:solidFill>
                <a:latin typeface="Calibri"/>
              </a:defRPr>
            </a:pPr>
            <a:r>
              <a:rPr lang="en-IN" sz="1050" b="1">
                <a:solidFill>
                  <a:srgbClr val="0B3D3A"/>
                </a:solidFill>
                <a:latin typeface="Calibri"/>
              </a:rPr>
              <a:t>Building Water by Group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874A6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CB7-4FA8-8CA6-552C5B715460}"/>
              </c:ext>
            </c:extLst>
          </c:dPt>
          <c:dPt>
            <c:idx val="1"/>
            <c:bubble3D val="0"/>
            <c:spPr>
              <a:solidFill>
                <a:srgbClr val="D4A017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CB7-4FA8-8CA6-552C5B715460}"/>
              </c:ext>
            </c:extLst>
          </c:dPt>
          <c:dPt>
            <c:idx val="2"/>
            <c:bubble3D val="0"/>
            <c:spPr>
              <a:solidFill>
                <a:srgbClr val="13A89E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CB7-4FA8-8CA6-552C5B715460}"/>
              </c:ext>
            </c:extLst>
          </c:dPt>
          <c:dPt>
            <c:idx val="3"/>
            <c:bubble3D val="0"/>
            <c:spPr>
              <a:solidFill>
                <a:srgbClr val="C0562F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CB7-4FA8-8CA6-552C5B7154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MIS_Calc!$A$230:$A$233</c:f>
              <c:strCache>
                <c:ptCount val="4"/>
                <c:pt idx="0">
                  <c:v>Residence</c:v>
                </c:pt>
                <c:pt idx="1">
                  <c:v>Academic</c:v>
                </c:pt>
                <c:pt idx="2">
                  <c:v>Amenity</c:v>
                </c:pt>
                <c:pt idx="3">
                  <c:v>Support</c:v>
                </c:pt>
              </c:strCache>
            </c:strRef>
          </c:cat>
          <c:val>
            <c:numRef>
              <c:f>MIS_Calc!$B$230:$B$233</c:f>
              <c:numCache>
                <c:formatCode>#,##0</c:formatCode>
                <c:ptCount val="4"/>
                <c:pt idx="0">
                  <c:v>3122</c:v>
                </c:pt>
                <c:pt idx="1">
                  <c:v>285</c:v>
                </c:pt>
                <c:pt idx="2">
                  <c:v>2707</c:v>
                </c:pt>
                <c:pt idx="3">
                  <c:v>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CB7-4FA8-8CA6-552C5B715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overlay val="1"/>
      <c:txPr>
        <a:bodyPr/>
        <a:lstStyle/>
        <a:p>
          <a:pPr>
            <a:defRPr sz="800" b="0">
              <a:solidFill>
                <a:srgbClr val="5D6D7E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B3D3A"/>
                </a:solidFill>
                <a:latin typeface="Calibri"/>
              </a:defRPr>
            </a:pPr>
            <a:r>
              <a:rPr lang="en-IN" sz="1050" b="1">
                <a:solidFill>
                  <a:srgbClr val="0B3D3A"/>
                </a:solidFill>
                <a:latin typeface="Calibri"/>
              </a:rPr>
              <a:t>LPCD vs Benchmark (L / person / day)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LPCD</c:v>
          </c:tx>
          <c:spPr>
            <a:solidFill>
              <a:srgbClr val="13A89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MIS_Calc!$A$21:$A$32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MIS_Calc!$BX$21:$BX$32</c:f>
              <c:numCache>
                <c:formatCode>0.0;\-0.0;;</c:formatCode>
                <c:ptCount val="12"/>
                <c:pt idx="0">
                  <c:v>969.74317434602369</c:v>
                </c:pt>
                <c:pt idx="1">
                  <c:v>1742.0869381726102</c:v>
                </c:pt>
                <c:pt idx="2">
                  <c:v>474.55567732405774</c:v>
                </c:pt>
                <c:pt idx="3">
                  <c:v>537.37075332348593</c:v>
                </c:pt>
                <c:pt idx="4">
                  <c:v>633.89240958688708</c:v>
                </c:pt>
                <c:pt idx="5">
                  <c:v>319.74396848842935</c:v>
                </c:pt>
                <c:pt idx="6">
                  <c:v>229.49921379901843</c:v>
                </c:pt>
                <c:pt idx="7">
                  <c:v>334.15924143517418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EC7-4504-AF8B-7E483B35F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lineChart>
        <c:grouping val="standard"/>
        <c:varyColors val="1"/>
        <c:ser>
          <c:idx val="1"/>
          <c:order val="1"/>
          <c:tx>
            <c:v>Benchmark 135</c:v>
          </c:tx>
          <c:spPr>
            <a:ln w="22225">
              <a:solidFill>
                <a:srgbClr val="C0392B"/>
              </a:solidFill>
              <a:prstDash val="dash"/>
            </a:ln>
          </c:spPr>
          <c:marker>
            <c:symbol val="none"/>
          </c:marker>
          <c:val>
            <c:numRef>
              <c:f>MIS_Calc!$CP$21:$CP$32</c:f>
              <c:numCache>
                <c:formatCode>General</c:formatCode>
                <c:ptCount val="12"/>
                <c:pt idx="0">
                  <c:v>135</c:v>
                </c:pt>
                <c:pt idx="1">
                  <c:v>135</c:v>
                </c:pt>
                <c:pt idx="2">
                  <c:v>135</c:v>
                </c:pt>
                <c:pt idx="3">
                  <c:v>135</c:v>
                </c:pt>
                <c:pt idx="4">
                  <c:v>135</c:v>
                </c:pt>
                <c:pt idx="5">
                  <c:v>135</c:v>
                </c:pt>
                <c:pt idx="6">
                  <c:v>135</c:v>
                </c:pt>
                <c:pt idx="7">
                  <c:v>135</c:v>
                </c:pt>
                <c:pt idx="8">
                  <c:v>135</c:v>
                </c:pt>
                <c:pt idx="9">
                  <c:v>135</c:v>
                </c:pt>
                <c:pt idx="10">
                  <c:v>135</c:v>
                </c:pt>
                <c:pt idx="11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7-4504-AF8B-7E483B35F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5E8E8"/>
              </a:solidFill>
              <a:prstDash val="solid"/>
            </a:ln>
          </c:spPr>
        </c:majorGridlines>
        <c:numFmt formatCode="0.0;\-0.0;;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53480859010270776"/>
          <c:y val="0.16029835390946498"/>
          <c:w val="0.46399603174603177"/>
          <c:h val="8.1882716049382714E-2"/>
        </c:manualLayout>
      </c:layout>
      <c:overlay val="1"/>
      <c:txPr>
        <a:bodyPr/>
        <a:lstStyle/>
        <a:p>
          <a:pPr>
            <a:defRPr sz="800" b="0">
              <a:solidFill>
                <a:srgbClr val="5D6D7E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B3D3A"/>
                </a:solidFill>
                <a:latin typeface="Calibri"/>
              </a:defRPr>
            </a:pPr>
            <a:r>
              <a:rPr lang="en-IN" sz="1050" b="1">
                <a:solidFill>
                  <a:srgbClr val="0B3D3A"/>
                </a:solidFill>
                <a:latin typeface="Calibri"/>
              </a:rPr>
              <a:t>EPI vs Benchmark (kWh / m² / month)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EPI</c:v>
          </c:tx>
          <c:spPr>
            <a:solidFill>
              <a:srgbClr val="6C5B9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MIS_Calc!$A$21:$A$32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MIS_Calc!$BY$21:$BY$32</c:f>
              <c:numCache>
                <c:formatCode>0.00;\-0.00;;</c:formatCode>
                <c:ptCount val="12"/>
                <c:pt idx="0">
                  <c:v>1.2649028088692598</c:v>
                </c:pt>
                <c:pt idx="1">
                  <c:v>1.8182692989475593</c:v>
                </c:pt>
                <c:pt idx="2">
                  <c:v>2.3769916838021521</c:v>
                </c:pt>
                <c:pt idx="3">
                  <c:v>3.7617753714939757</c:v>
                </c:pt>
                <c:pt idx="4">
                  <c:v>4.2190776212230157</c:v>
                </c:pt>
                <c:pt idx="5">
                  <c:v>1.3847836876918238</c:v>
                </c:pt>
                <c:pt idx="6">
                  <c:v>2.3295863172715565</c:v>
                </c:pt>
                <c:pt idx="7">
                  <c:v>2.7801652097282279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529-446C-B017-03298C6EA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lineChart>
        <c:grouping val="standard"/>
        <c:varyColors val="1"/>
        <c:ser>
          <c:idx val="1"/>
          <c:order val="1"/>
          <c:tx>
            <c:v>Benchmark 8</c:v>
          </c:tx>
          <c:spPr>
            <a:ln w="22225">
              <a:solidFill>
                <a:srgbClr val="C0392B"/>
              </a:solidFill>
              <a:prstDash val="dash"/>
            </a:ln>
          </c:spPr>
          <c:marker>
            <c:symbol val="none"/>
          </c:marker>
          <c:val>
            <c:numRef>
              <c:f>MIS_Calc!$CQ$21:$CQ$32</c:f>
              <c:numCache>
                <c:formatCode>General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29-446C-B017-03298C6EA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5E8E8"/>
              </a:solidFill>
              <a:prstDash val="solid"/>
            </a:ln>
          </c:spPr>
        </c:majorGridlines>
        <c:numFmt formatCode="0.00;\-0.00;;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57881419234360409"/>
          <c:y val="0.10280864197530858"/>
          <c:w val="0.4115592903828198"/>
          <c:h val="8.1882716049382714E-2"/>
        </c:manualLayout>
      </c:layout>
      <c:overlay val="1"/>
      <c:txPr>
        <a:bodyPr/>
        <a:lstStyle/>
        <a:p>
          <a:pPr>
            <a:defRPr sz="800" b="0">
              <a:solidFill>
                <a:srgbClr val="5D6D7E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B3D3A"/>
                </a:solidFill>
                <a:latin typeface="Calibri"/>
              </a:defRPr>
            </a:pPr>
            <a:r>
              <a:rPr lang="en-IN" sz="1050" b="1">
                <a:solidFill>
                  <a:srgbClr val="0B3D3A"/>
                </a:solidFill>
                <a:latin typeface="Calibri"/>
              </a:rPr>
              <a:t>Power Factor vs Target</a:t>
            </a:r>
          </a:p>
        </c:rich>
      </c:tx>
      <c:layout>
        <c:manualLayout>
          <c:xMode val="edge"/>
          <c:yMode val="edge"/>
          <c:x val="0.35800676937441644"/>
          <c:y val="2.0905349794238682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Power factor</c:v>
          </c:tx>
          <c:spPr>
            <a:solidFill>
              <a:srgbClr val="0B3D3A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MIS_Calc!$A$21:$A$32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MIS_Calc!$BZ$21:$BZ$32</c:f>
              <c:numCache>
                <c:formatCode>0.000;\-0.000;;</c:formatCode>
                <c:ptCount val="12"/>
                <c:pt idx="0">
                  <c:v>0.84513476473275473</c:v>
                </c:pt>
                <c:pt idx="1">
                  <c:v>0.95424914777824288</c:v>
                </c:pt>
                <c:pt idx="2">
                  <c:v>0.96435506241331481</c:v>
                </c:pt>
                <c:pt idx="3">
                  <c:v>0.96883162621430463</c:v>
                </c:pt>
                <c:pt idx="4">
                  <c:v>0.97928954955431535</c:v>
                </c:pt>
                <c:pt idx="5">
                  <c:v>0.96337402885682577</c:v>
                </c:pt>
                <c:pt idx="6">
                  <c:v>0.97102550705362656</c:v>
                </c:pt>
                <c:pt idx="7">
                  <c:v>0.93618572524942445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1DC-4ADC-9D2A-4663DEE2D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lineChart>
        <c:grouping val="standard"/>
        <c:varyColors val="1"/>
        <c:ser>
          <c:idx val="1"/>
          <c:order val="1"/>
          <c:tx>
            <c:v>Target 0.95</c:v>
          </c:tx>
          <c:spPr>
            <a:ln w="22225">
              <a:solidFill>
                <a:srgbClr val="C0392B"/>
              </a:solidFill>
              <a:prstDash val="dash"/>
            </a:ln>
          </c:spPr>
          <c:marker>
            <c:symbol val="none"/>
          </c:marker>
          <c:val>
            <c:numRef>
              <c:f>MIS_Calc!$CR$21:$CR$32</c:f>
              <c:numCache>
                <c:formatCode>General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C-4ADC-9D2A-4663DEE2D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.8"/>
        </c:scaling>
        <c:delete val="0"/>
        <c:axPos val="l"/>
        <c:majorGridlines>
          <c:spPr>
            <a:ln>
              <a:solidFill>
                <a:srgbClr val="E5E8E8"/>
              </a:solidFill>
              <a:prstDash val="solid"/>
            </a:ln>
          </c:spPr>
        </c:majorGridlines>
        <c:numFmt formatCode="0.000;\-0.000;;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8154761904761905E-2"/>
          <c:y val="8.7129629629629626E-2"/>
          <c:w val="0.5049414098972923"/>
          <c:h val="8.1882716049382714E-2"/>
        </c:manualLayout>
      </c:layout>
      <c:overlay val="1"/>
      <c:txPr>
        <a:bodyPr/>
        <a:lstStyle/>
        <a:p>
          <a:pPr>
            <a:defRPr sz="800" b="0">
              <a:solidFill>
                <a:srgbClr val="5D6D7E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B3D3A"/>
                </a:solidFill>
                <a:latin typeface="Calibri"/>
              </a:defRPr>
            </a:pPr>
            <a:r>
              <a:rPr lang="en-IN" sz="1050" b="1">
                <a:solidFill>
                  <a:srgbClr val="0B3D3A"/>
                </a:solidFill>
                <a:latin typeface="Calibri"/>
              </a:rPr>
              <a:t>Monthly HT Energy Bill (₹)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Energy bill</c:v>
          </c:tx>
          <c:spPr>
            <a:solidFill>
              <a:srgbClr val="C0562F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MIS_Calc!$A$21:$A$32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MIS_Calc!$CA$21:$CA$32</c:f>
              <c:numCache>
                <c:formatCode>#,##0;\-#,##0;;</c:formatCode>
                <c:ptCount val="12"/>
                <c:pt idx="0">
                  <c:v>929887.2</c:v>
                </c:pt>
                <c:pt idx="1">
                  <c:v>1099602</c:v>
                </c:pt>
                <c:pt idx="2">
                  <c:v>1406695</c:v>
                </c:pt>
                <c:pt idx="3">
                  <c:v>2109953</c:v>
                </c:pt>
                <c:pt idx="4">
                  <c:v>2496490</c:v>
                </c:pt>
                <c:pt idx="5">
                  <c:v>777429</c:v>
                </c:pt>
                <c:pt idx="6">
                  <c:v>1501851</c:v>
                </c:pt>
                <c:pt idx="7">
                  <c:v>1829571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667-49E8-B031-A15425D0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5E8E8"/>
              </a:solidFill>
              <a:prstDash val="solid"/>
            </a:ln>
          </c:spPr>
        </c:majorGridlines>
        <c:numFmt formatCode="#,##0.0,,&quot;M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B3D3A"/>
                </a:solidFill>
                <a:latin typeface="Calibri"/>
              </a:defRPr>
            </a:pPr>
            <a:r>
              <a:rPr lang="en-IN" sz="1050" b="1">
                <a:solidFill>
                  <a:srgbClr val="0B3D3A"/>
                </a:solidFill>
                <a:latin typeface="Calibri"/>
              </a:rPr>
              <a:t>HVAC Energy by Building (kWh / month)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2874A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MIS_Calc!$M$249:$M$259</c:f>
              <c:strCache>
                <c:ptCount val="11"/>
                <c:pt idx="0">
                  <c:v>SS</c:v>
                </c:pt>
                <c:pt idx="1">
                  <c:v>Nursery</c:v>
                </c:pt>
                <c:pt idx="2">
                  <c:v>SR9/10B</c:v>
                </c:pt>
                <c:pt idx="3">
                  <c:v>JS</c:v>
                </c:pt>
                <c:pt idx="4">
                  <c:v>SR11/12CB</c:v>
                </c:pt>
                <c:pt idx="5">
                  <c:v>SR9/10A</c:v>
                </c:pt>
                <c:pt idx="6">
                  <c:v>SR11/12CA</c:v>
                </c:pt>
                <c:pt idx="7">
                  <c:v>SR2</c:v>
                </c:pt>
                <c:pt idx="8">
                  <c:v>SR1</c:v>
                </c:pt>
                <c:pt idx="9">
                  <c:v>SR3</c:v>
                </c:pt>
                <c:pt idx="10">
                  <c:v>SR4</c:v>
                </c:pt>
              </c:strCache>
            </c:strRef>
          </c:cat>
          <c:val>
            <c:numRef>
              <c:f>MIS_Calc!$N$249:$N$259</c:f>
              <c:numCache>
                <c:formatCode>#,##0</c:formatCode>
                <c:ptCount val="11"/>
                <c:pt idx="0">
                  <c:v>4596</c:v>
                </c:pt>
                <c:pt idx="1">
                  <c:v>2850</c:v>
                </c:pt>
                <c:pt idx="2">
                  <c:v>2647</c:v>
                </c:pt>
                <c:pt idx="3">
                  <c:v>2457</c:v>
                </c:pt>
                <c:pt idx="4">
                  <c:v>2387</c:v>
                </c:pt>
                <c:pt idx="5">
                  <c:v>2376</c:v>
                </c:pt>
                <c:pt idx="6">
                  <c:v>1331.6</c:v>
                </c:pt>
                <c:pt idx="7">
                  <c:v>1271</c:v>
                </c:pt>
                <c:pt idx="8">
                  <c:v>1137</c:v>
                </c:pt>
                <c:pt idx="9">
                  <c:v>485</c:v>
                </c:pt>
                <c:pt idx="10">
                  <c:v>420.28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C02-4E6C-9B66-E1080D864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B3D3A"/>
                </a:solidFill>
                <a:latin typeface="Calibri"/>
              </a:defRPr>
            </a:pPr>
            <a:r>
              <a:rPr lang="en-IN" sz="1050" b="1">
                <a:solidFill>
                  <a:srgbClr val="0B3D3A"/>
                </a:solidFill>
                <a:latin typeface="Calibri"/>
              </a:rPr>
              <a:t>Monthly WTP Treated Water (kL)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WTP treated water</c:v>
          </c:tx>
          <c:spPr>
            <a:solidFill>
              <a:srgbClr val="2874A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MIS_Calc!$A$21:$A$32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MIS_Calc!$CB$21:$CB$32</c:f>
              <c:numCache>
                <c:formatCode>#,##0;\-#,##0;;</c:formatCode>
                <c:ptCount val="12"/>
                <c:pt idx="0">
                  <c:v>8770</c:v>
                </c:pt>
                <c:pt idx="1">
                  <c:v>14597</c:v>
                </c:pt>
                <c:pt idx="2">
                  <c:v>12927</c:v>
                </c:pt>
                <c:pt idx="3">
                  <c:v>12096</c:v>
                </c:pt>
                <c:pt idx="4">
                  <c:v>11615</c:v>
                </c:pt>
                <c:pt idx="5">
                  <c:v>7361</c:v>
                </c:pt>
                <c:pt idx="6">
                  <c:v>8310</c:v>
                </c:pt>
                <c:pt idx="7">
                  <c:v>10986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254-47C4-A3D2-6026586C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5E8E8"/>
              </a:solidFill>
              <a:prstDash val="solid"/>
            </a:ln>
          </c:spPr>
        </c:majorGridlines>
        <c:numFmt formatCode="#,##0;\-#,##0;;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B3D3A"/>
                </a:solidFill>
                <a:latin typeface="Calibri"/>
              </a:defRPr>
            </a:pPr>
            <a:r>
              <a:rPr lang="en-IN" sz="1050" b="1">
                <a:solidFill>
                  <a:srgbClr val="0B3D3A"/>
                </a:solidFill>
                <a:latin typeface="Calibri"/>
              </a:rPr>
              <a:t>Complaints Received vs Closed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Received</c:v>
          </c:tx>
          <c:spPr>
            <a:solidFill>
              <a:srgbClr val="C0562F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MIS_Calc!$A$21:$A$32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MIS_Calc!$CC$21:$CC$32</c:f>
              <c:numCache>
                <c:formatCode>0;\-0;;</c:formatCode>
                <c:ptCount val="12"/>
                <c:pt idx="0">
                  <c:v>144</c:v>
                </c:pt>
                <c:pt idx="1">
                  <c:v>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155</c:v>
                </c:pt>
                <c:pt idx="6">
                  <c:v>168</c:v>
                </c:pt>
                <c:pt idx="7">
                  <c:v>216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99F-4CF8-9C65-D8F2D2CFB5A8}"/>
            </c:ext>
          </c:extLst>
        </c:ser>
        <c:ser>
          <c:idx val="1"/>
          <c:order val="1"/>
          <c:tx>
            <c:v>Closed</c:v>
          </c:tx>
          <c:spPr>
            <a:solidFill>
              <a:srgbClr val="1E844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MIS_Calc!$A$21:$A$32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MIS_Calc!$CD$21:$CD$32</c:f>
              <c:numCache>
                <c:formatCode>0;\-0;;</c:formatCode>
                <c:ptCount val="12"/>
                <c:pt idx="0">
                  <c:v>139</c:v>
                </c:pt>
                <c:pt idx="1">
                  <c:v>119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155</c:v>
                </c:pt>
                <c:pt idx="6">
                  <c:v>127</c:v>
                </c:pt>
                <c:pt idx="7">
                  <c:v>146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99F-4CF8-9C65-D8F2D2CFB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5E8E8"/>
              </a:solidFill>
              <a:prstDash val="solid"/>
            </a:ln>
          </c:spPr>
        </c:majorGridlines>
        <c:numFmt formatCode="0;\-0;;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1"/>
      <c:txPr>
        <a:bodyPr/>
        <a:lstStyle/>
        <a:p>
          <a:pPr>
            <a:defRPr sz="800" b="0">
              <a:solidFill>
                <a:srgbClr val="5D6D7E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B3D3A"/>
                </a:solidFill>
                <a:latin typeface="Calibri"/>
              </a:defRPr>
            </a:pPr>
            <a:r>
              <a:rPr lang="en-IN" sz="1050" b="1">
                <a:solidFill>
                  <a:srgbClr val="0B3D3A"/>
                </a:solidFill>
                <a:latin typeface="Calibri"/>
              </a:rPr>
              <a:t>Technical Deployment % vs Target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Deployment %</c:v>
          </c:tx>
          <c:spPr>
            <a:solidFill>
              <a:srgbClr val="1E844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MIS_Calc!$A$21:$A$32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MIS_Calc!$CE$21:$CE$32</c:f>
              <c:numCache>
                <c:formatCode>0.0%;\-0.0%;;</c:formatCode>
                <c:ptCount val="12"/>
                <c:pt idx="0">
                  <c:v>0.87045813586097942</c:v>
                </c:pt>
                <c:pt idx="1">
                  <c:v>0.82015503875968987</c:v>
                </c:pt>
                <c:pt idx="2">
                  <c:v>0.83460949464012246</c:v>
                </c:pt>
                <c:pt idx="3">
                  <c:v>0.78402366863905326</c:v>
                </c:pt>
                <c:pt idx="4">
                  <c:v>0.83969465648854957</c:v>
                </c:pt>
                <c:pt idx="5">
                  <c:v>0.87481146304675717</c:v>
                </c:pt>
                <c:pt idx="6">
                  <c:v>0.93848580441640383</c:v>
                </c:pt>
                <c:pt idx="7">
                  <c:v>0.84843749999999996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A92-4EA1-B049-3931A3048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lineChart>
        <c:grouping val="standard"/>
        <c:varyColors val="1"/>
        <c:ser>
          <c:idx val="1"/>
          <c:order val="1"/>
          <c:tx>
            <c:v>Target 90%</c:v>
          </c:tx>
          <c:spPr>
            <a:ln w="22225">
              <a:solidFill>
                <a:srgbClr val="C0392B"/>
              </a:solidFill>
              <a:prstDash val="dash"/>
            </a:ln>
          </c:spPr>
          <c:marker>
            <c:symbol val="none"/>
          </c:marker>
          <c:val>
            <c:numRef>
              <c:f>MIS_Calc!$CS$21:$CS$32</c:f>
              <c:numCache>
                <c:formatCode>General</c:formatCode>
                <c:ptCount val="1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92-4EA1-B049-3931A3048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.5"/>
        </c:scaling>
        <c:delete val="0"/>
        <c:axPos val="l"/>
        <c:majorGridlines>
          <c:spPr>
            <a:ln>
              <a:solidFill>
                <a:srgbClr val="E5E8E8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197829131652661"/>
          <c:y val="9.2355967078189244E-2"/>
          <c:w val="0.52347549019607842"/>
          <c:h val="8.1882716049382714E-2"/>
        </c:manualLayout>
      </c:layout>
      <c:overlay val="1"/>
      <c:txPr>
        <a:bodyPr/>
        <a:lstStyle/>
        <a:p>
          <a:pPr>
            <a:defRPr sz="800" b="0">
              <a:solidFill>
                <a:srgbClr val="5D6D7E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B3D3A"/>
                </a:solidFill>
                <a:latin typeface="Calibri"/>
              </a:defRPr>
            </a:pPr>
            <a:r>
              <a:rPr lang="en-IN" sz="1050" b="1">
                <a:solidFill>
                  <a:srgbClr val="0B3D3A"/>
                </a:solidFill>
                <a:latin typeface="Calibri"/>
              </a:rPr>
              <a:t>Monthly Power Failures (count)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Power failures</c:v>
          </c:tx>
          <c:spPr>
            <a:solidFill>
              <a:srgbClr val="C0392B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MIS_Calc!$A$21:$A$32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MIS_Calc!$CM$21:$CM$32</c:f>
              <c:numCache>
                <c:formatCode>0;\-0;;</c:formatCode>
                <c:ptCount val="12"/>
                <c:pt idx="0">
                  <c:v>10</c:v>
                </c:pt>
                <c:pt idx="1">
                  <c:v>7</c:v>
                </c:pt>
                <c:pt idx="2">
                  <c:v>11</c:v>
                </c:pt>
                <c:pt idx="3">
                  <c:v>4</c:v>
                </c:pt>
                <c:pt idx="4">
                  <c:v>2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2254-47C4-A3D2-6026586C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5E8E8"/>
              </a:solidFill>
              <a:prstDash val="solid"/>
            </a:ln>
          </c:spPr>
        </c:majorGridlines>
        <c:numFmt formatCode="0;\-0;;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B3D3A"/>
                </a:solidFill>
                <a:latin typeface="Calibri"/>
              </a:defRPr>
            </a:pPr>
            <a:r>
              <a:rPr lang="en-IN" sz="1050" b="1">
                <a:solidFill>
                  <a:srgbClr val="0B3D3A"/>
                </a:solidFill>
                <a:latin typeface="Calibri"/>
              </a:rPr>
              <a:t>Year-on-Year Index (Avg 2025 = 100)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Avg 2023</c:v>
          </c:tx>
          <c:spPr>
            <a:solidFill>
              <a:srgbClr val="BFC9CA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MIS_Calc!$A$237:$A$244</c:f>
              <c:strCache>
                <c:ptCount val="8"/>
                <c:pt idx="0">
                  <c:v>Water</c:v>
                </c:pt>
                <c:pt idx="1">
                  <c:v>Borewell</c:v>
                </c:pt>
                <c:pt idx="2">
                  <c:v>HT energy</c:v>
                </c:pt>
                <c:pt idx="3">
                  <c:v>HVAC</c:v>
                </c:pt>
                <c:pt idx="4">
                  <c:v>WTP treated water</c:v>
                </c:pt>
                <c:pt idx="5">
                  <c:v>Energy bill</c:v>
                </c:pt>
                <c:pt idx="6">
                  <c:v>STP recycled</c:v>
                </c:pt>
                <c:pt idx="7">
                  <c:v>Complaints</c:v>
                </c:pt>
              </c:strCache>
            </c:strRef>
          </c:cat>
          <c:val>
            <c:numRef>
              <c:f>MIS_Calc!$B$237:$B$244</c:f>
              <c:numCache>
                <c:formatCode>0</c:formatCode>
                <c:ptCount val="8"/>
                <c:pt idx="0">
                  <c:v>39.931255116370124</c:v>
                </c:pt>
                <c:pt idx="1">
                  <c:v>38.572377094995026</c:v>
                </c:pt>
                <c:pt idx="2">
                  <c:v>0</c:v>
                </c:pt>
                <c:pt idx="3">
                  <c:v>0</c:v>
                </c:pt>
                <c:pt idx="4">
                  <c:v>46.743321827284817</c:v>
                </c:pt>
                <c:pt idx="5">
                  <c:v>145.55664007823464</c:v>
                </c:pt>
                <c:pt idx="6">
                  <c:v>159.43847623947954</c:v>
                </c:pt>
                <c:pt idx="7">
                  <c:v>184.41176470588238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7AD-43A4-90EF-6C8D545DDD7A}"/>
            </c:ext>
          </c:extLst>
        </c:ser>
        <c:ser>
          <c:idx val="1"/>
          <c:order val="1"/>
          <c:tx>
            <c:v>Avg 2024</c:v>
          </c:tx>
          <c:spPr>
            <a:solidFill>
              <a:srgbClr val="13A89E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MIS_Calc!$A$237:$A$244</c:f>
              <c:strCache>
                <c:ptCount val="8"/>
                <c:pt idx="0">
                  <c:v>Water</c:v>
                </c:pt>
                <c:pt idx="1">
                  <c:v>Borewell</c:v>
                </c:pt>
                <c:pt idx="2">
                  <c:v>HT energy</c:v>
                </c:pt>
                <c:pt idx="3">
                  <c:v>HVAC</c:v>
                </c:pt>
                <c:pt idx="4">
                  <c:v>WTP treated water</c:v>
                </c:pt>
                <c:pt idx="5">
                  <c:v>Energy bill</c:v>
                </c:pt>
                <c:pt idx="6">
                  <c:v>STP recycled</c:v>
                </c:pt>
                <c:pt idx="7">
                  <c:v>Complaints</c:v>
                </c:pt>
              </c:strCache>
            </c:strRef>
          </c:cat>
          <c:val>
            <c:numRef>
              <c:f>MIS_Calc!$C$237:$C$244</c:f>
              <c:numCache>
                <c:formatCode>0</c:formatCode>
                <c:ptCount val="8"/>
                <c:pt idx="0">
                  <c:v>47.424715313504393</c:v>
                </c:pt>
                <c:pt idx="1">
                  <c:v>58.476717352344174</c:v>
                </c:pt>
                <c:pt idx="2">
                  <c:v>139.28166622106573</c:v>
                </c:pt>
                <c:pt idx="3">
                  <c:v>340.03708747658624</c:v>
                </c:pt>
                <c:pt idx="4">
                  <c:v>114.39733184065676</c:v>
                </c:pt>
                <c:pt idx="5">
                  <c:v>132.6460403273912</c:v>
                </c:pt>
                <c:pt idx="6">
                  <c:v>79.032673012606182</c:v>
                </c:pt>
                <c:pt idx="7">
                  <c:v>170.0980392156859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7AD-43A4-90EF-6C8D545DDD7A}"/>
            </c:ext>
          </c:extLst>
        </c:ser>
        <c:ser>
          <c:idx val="2"/>
          <c:order val="2"/>
          <c:tx>
            <c:v>Avg 2025</c:v>
          </c:tx>
          <c:spPr>
            <a:solidFill>
              <a:srgbClr val="2874A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MIS_Calc!$A$237:$A$244</c:f>
              <c:strCache>
                <c:ptCount val="8"/>
                <c:pt idx="0">
                  <c:v>Water</c:v>
                </c:pt>
                <c:pt idx="1">
                  <c:v>Borewell</c:v>
                </c:pt>
                <c:pt idx="2">
                  <c:v>HT energy</c:v>
                </c:pt>
                <c:pt idx="3">
                  <c:v>HVAC</c:v>
                </c:pt>
                <c:pt idx="4">
                  <c:v>WTP treated water</c:v>
                </c:pt>
                <c:pt idx="5">
                  <c:v>Energy bill</c:v>
                </c:pt>
                <c:pt idx="6">
                  <c:v>STP recycled</c:v>
                </c:pt>
                <c:pt idx="7">
                  <c:v>Complaints</c:v>
                </c:pt>
              </c:strCache>
            </c:strRef>
          </c:cat>
          <c:val>
            <c:numRef>
              <c:f>MIS_Calc!$D$237:$D$244</c:f>
              <c:numCache>
                <c:formatCode>0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7AD-43A4-90EF-6C8D545DDD7A}"/>
            </c:ext>
          </c:extLst>
        </c:ser>
        <c:ser>
          <c:idx val="3"/>
          <c:order val="3"/>
          <c:tx>
            <c:v>2026 YTD</c:v>
          </c:tx>
          <c:spPr>
            <a:solidFill>
              <a:srgbClr val="1E8449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5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MIS_Calc!$A$237:$A$244</c:f>
              <c:strCache>
                <c:ptCount val="8"/>
                <c:pt idx="0">
                  <c:v>Water</c:v>
                </c:pt>
                <c:pt idx="1">
                  <c:v>Borewell</c:v>
                </c:pt>
                <c:pt idx="2">
                  <c:v>HT energy</c:v>
                </c:pt>
                <c:pt idx="3">
                  <c:v>HVAC</c:v>
                </c:pt>
                <c:pt idx="4">
                  <c:v>WTP treated water</c:v>
                </c:pt>
                <c:pt idx="5">
                  <c:v>Energy bill</c:v>
                </c:pt>
                <c:pt idx="6">
                  <c:v>STP recycled</c:v>
                </c:pt>
                <c:pt idx="7">
                  <c:v>Complaints</c:v>
                </c:pt>
              </c:strCache>
            </c:strRef>
          </c:cat>
          <c:val>
            <c:numRef>
              <c:f>MIS_Calc!$E$237:$E$244</c:f>
              <c:numCache>
                <c:formatCode>0</c:formatCode>
                <c:ptCount val="8"/>
                <c:pt idx="0">
                  <c:v>26.424306003873376</c:v>
                </c:pt>
                <c:pt idx="1">
                  <c:v>55.50180854737777</c:v>
                </c:pt>
                <c:pt idx="2">
                  <c:v>98.815329173554659</c:v>
                </c:pt>
                <c:pt idx="3">
                  <c:v>122.22348381858872</c:v>
                </c:pt>
                <c:pt idx="4">
                  <c:v>101.06119973878161</c:v>
                </c:pt>
                <c:pt idx="5">
                  <c:v>87.229961153570969</c:v>
                </c:pt>
                <c:pt idx="6">
                  <c:v>72.521959645705508</c:v>
                </c:pt>
                <c:pt idx="7">
                  <c:v>189.41176470588235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7AD-43A4-90EF-6C8D545DD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>
              <a:solidFill>
                <a:srgbClr val="E5E8E8"/>
              </a:solidFill>
              <a:prstDash val="solid"/>
            </a:ln>
          </c:spPr>
        </c:majorGridlines>
        <c:numFmt formatCode="0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0627684407096171"/>
          <c:y val="0.22824074074074069"/>
          <c:w val="0.55504645191409896"/>
          <c:h val="8.1882716049382714E-2"/>
        </c:manualLayout>
      </c:layout>
      <c:overlay val="1"/>
      <c:txPr>
        <a:bodyPr/>
        <a:lstStyle/>
        <a:p>
          <a:pPr>
            <a:defRPr sz="800" b="0">
              <a:solidFill>
                <a:srgbClr val="5D6D7E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B3D3A"/>
                </a:solidFill>
                <a:latin typeface="Calibri"/>
              </a:defRPr>
            </a:pPr>
            <a:r>
              <a:rPr lang="en-IN" sz="1050" b="1">
                <a:solidFill>
                  <a:srgbClr val="0B3D3A"/>
                </a:solidFill>
                <a:latin typeface="Calibri"/>
              </a:rPr>
              <a:t>Selected Facility — Monthly Power (kWh)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D4A01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MIS_Calc!$A$215:$A$226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MIS_Calc!$E$215:$E$226</c:f>
              <c:numCache>
                <c:formatCode>#,##0;\-#,##0;;</c:formatCode>
                <c:ptCount val="12"/>
                <c:pt idx="0">
                  <c:v>80056</c:v>
                </c:pt>
                <c:pt idx="1">
                  <c:v>101684</c:v>
                </c:pt>
                <c:pt idx="2">
                  <c:v>143684</c:v>
                </c:pt>
                <c:pt idx="3">
                  <c:v>196729.3</c:v>
                </c:pt>
                <c:pt idx="4">
                  <c:v>200837.7</c:v>
                </c:pt>
                <c:pt idx="5">
                  <c:v>96730.8</c:v>
                </c:pt>
                <c:pt idx="6">
                  <c:v>119356.9</c:v>
                </c:pt>
                <c:pt idx="7">
                  <c:v>144700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342-417E-A03B-AE28325ED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5E8E8"/>
              </a:solidFill>
              <a:prstDash val="solid"/>
            </a:ln>
          </c:spPr>
        </c:majorGridlines>
        <c:numFmt formatCode="#,##0;\-#,##0;;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B3D3A"/>
                </a:solidFill>
                <a:latin typeface="Calibri"/>
              </a:defRPr>
            </a:pPr>
            <a:r>
              <a:rPr lang="en-IN" sz="1050" b="1">
                <a:solidFill>
                  <a:srgbClr val="0B3D3A"/>
                </a:solidFill>
                <a:latin typeface="Calibri"/>
              </a:rPr>
              <a:t>Selected Facility — Monthly Water (kL)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2874A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MIS_Calc!$A$215:$A$226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MIS_Calc!$D$215:$D$226</c:f>
              <c:numCache>
                <c:formatCode>#,##0;\-#,##0;;</c:formatCode>
                <c:ptCount val="12"/>
                <c:pt idx="0">
                  <c:v>3511</c:v>
                </c:pt>
                <c:pt idx="1">
                  <c:v>3737</c:v>
                </c:pt>
                <c:pt idx="2">
                  <c:v>4736</c:v>
                </c:pt>
                <c:pt idx="3">
                  <c:v>4529</c:v>
                </c:pt>
                <c:pt idx="4">
                  <c:v>4021</c:v>
                </c:pt>
                <c:pt idx="5">
                  <c:v>2574</c:v>
                </c:pt>
                <c:pt idx="6">
                  <c:v>6551</c:v>
                </c:pt>
                <c:pt idx="7">
                  <c:v>7028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F42-40F7-82FF-EBC9316A2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5E8E8"/>
              </a:solidFill>
              <a:prstDash val="solid"/>
            </a:ln>
          </c:spPr>
        </c:majorGridlines>
        <c:numFmt formatCode="#,##0;\-#,##0;;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A1F33"/>
                </a:solidFill>
                <a:latin typeface="Calibri"/>
              </a:defRPr>
            </a:pPr>
            <a:r>
              <a:rPr lang="en-IN" sz="1050" b="1">
                <a:solidFill>
                  <a:srgbClr val="0A1F33"/>
                </a:solidFill>
                <a:latin typeface="Calibri"/>
              </a:rPr>
              <a:t>💧 Water Pyramid · top-10 facilities (kL / month)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spPr>
            <a:noFill/>
            <a:ln>
              <a:noFill/>
              <a:prstDash val="solid"/>
            </a:ln>
          </c:spPr>
          <c:invertIfNegative val="1"/>
          <c:cat>
            <c:strRef>
              <c:f>MIS_Calc!$C$326:$C$335</c:f>
              <c:strCache>
                <c:ptCount val="10"/>
                <c:pt idx="0">
                  <c:v>Laundry</c:v>
                </c:pt>
                <c:pt idx="1">
                  <c:v>SR-4</c:v>
                </c:pt>
                <c:pt idx="2">
                  <c:v>Nursery</c:v>
                </c:pt>
                <c:pt idx="3">
                  <c:v>SR-2</c:v>
                </c:pt>
                <c:pt idx="4">
                  <c:v>SR-1</c:v>
                </c:pt>
                <c:pt idx="5">
                  <c:v>PCM</c:v>
                </c:pt>
                <c:pt idx="6">
                  <c:v>SR-11/12 CA</c:v>
                </c:pt>
                <c:pt idx="7">
                  <c:v>Commons</c:v>
                </c:pt>
                <c:pt idx="8">
                  <c:v>SR-9/10 A</c:v>
                </c:pt>
                <c:pt idx="9">
                  <c:v>Swimming Pool</c:v>
                </c:pt>
              </c:strCache>
            </c:strRef>
          </c:cat>
          <c:val>
            <c:numRef>
              <c:f>MIS_Calc!$E$326:$E$335</c:f>
              <c:numCache>
                <c:formatCode>#,##0</c:formatCode>
                <c:ptCount val="10"/>
                <c:pt idx="0">
                  <c:v>712</c:v>
                </c:pt>
                <c:pt idx="1">
                  <c:v>682.5</c:v>
                </c:pt>
                <c:pt idx="2">
                  <c:v>675</c:v>
                </c:pt>
                <c:pt idx="3">
                  <c:v>623.5</c:v>
                </c:pt>
                <c:pt idx="4">
                  <c:v>615</c:v>
                </c:pt>
                <c:pt idx="5">
                  <c:v>494.5</c:v>
                </c:pt>
                <c:pt idx="6">
                  <c:v>424.5</c:v>
                </c:pt>
                <c:pt idx="7">
                  <c:v>232.5</c:v>
                </c:pt>
                <c:pt idx="8">
                  <c:v>45.5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6-4C03-8E5B-0A0D489BA28B}"/>
            </c:ext>
          </c:extLst>
        </c:ser>
        <c:ser>
          <c:idx val="1"/>
          <c:order val="1"/>
          <c:spPr>
            <a:gradFill>
              <a:gsLst>
                <a:gs pos="0">
                  <a:srgbClr val="4495E9"/>
                </a:gs>
                <a:gs pos="50000">
                  <a:srgbClr val="015DA7"/>
                </a:gs>
                <a:gs pos="100000">
                  <a:srgbClr val="4495E9"/>
                </a:gs>
              </a:gsLst>
              <a:lin ang="0" scaled="0"/>
            </a:gra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1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MIS_Calc!$C$326:$C$335</c:f>
              <c:strCache>
                <c:ptCount val="10"/>
                <c:pt idx="0">
                  <c:v>Laundry</c:v>
                </c:pt>
                <c:pt idx="1">
                  <c:v>SR-4</c:v>
                </c:pt>
                <c:pt idx="2">
                  <c:v>Nursery</c:v>
                </c:pt>
                <c:pt idx="3">
                  <c:v>SR-2</c:v>
                </c:pt>
                <c:pt idx="4">
                  <c:v>SR-1</c:v>
                </c:pt>
                <c:pt idx="5">
                  <c:v>PCM</c:v>
                </c:pt>
                <c:pt idx="6">
                  <c:v>SR-11/12 CA</c:v>
                </c:pt>
                <c:pt idx="7">
                  <c:v>Commons</c:v>
                </c:pt>
                <c:pt idx="8">
                  <c:v>SR-9/10 A</c:v>
                </c:pt>
                <c:pt idx="9">
                  <c:v>Swimming Pool</c:v>
                </c:pt>
              </c:strCache>
            </c:strRef>
          </c:cat>
          <c:val>
            <c:numRef>
              <c:f>MIS_Calc!$D$326:$D$335</c:f>
              <c:numCache>
                <c:formatCode>#,##0;\-#,##0;;</c:formatCode>
                <c:ptCount val="10"/>
                <c:pt idx="0">
                  <c:v>135</c:v>
                </c:pt>
                <c:pt idx="1">
                  <c:v>194</c:v>
                </c:pt>
                <c:pt idx="2">
                  <c:v>209</c:v>
                </c:pt>
                <c:pt idx="3">
                  <c:v>312</c:v>
                </c:pt>
                <c:pt idx="4">
                  <c:v>329</c:v>
                </c:pt>
                <c:pt idx="5">
                  <c:v>570</c:v>
                </c:pt>
                <c:pt idx="6">
                  <c:v>710</c:v>
                </c:pt>
                <c:pt idx="7">
                  <c:v>1094</c:v>
                </c:pt>
                <c:pt idx="8">
                  <c:v>1468</c:v>
                </c:pt>
                <c:pt idx="9">
                  <c:v>1559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26-4C03-8E5B-0A0D489BA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A1F33"/>
                </a:solidFill>
                <a:latin typeface="Calibri"/>
              </a:defRPr>
            </a:pPr>
            <a:r>
              <a:rPr lang="en-IN" sz="1050" b="1">
                <a:solidFill>
                  <a:srgbClr val="0A1F33"/>
                </a:solidFill>
                <a:latin typeface="Calibri"/>
              </a:rPr>
              <a:t>⚡ Power Pyramid · top-10 facilities (kWh / month)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spPr>
            <a:noFill/>
            <a:ln>
              <a:noFill/>
              <a:prstDash val="solid"/>
            </a:ln>
          </c:spPr>
          <c:invertIfNegative val="1"/>
          <c:cat>
            <c:strRef>
              <c:f>MIS_Calc!$J$326:$J$335</c:f>
              <c:strCache>
                <c:ptCount val="10"/>
                <c:pt idx="0">
                  <c:v>SR-11/12 CA</c:v>
                </c:pt>
                <c:pt idx="1">
                  <c:v>SR-4</c:v>
                </c:pt>
                <c:pt idx="2">
                  <c:v>Senior School 2</c:v>
                </c:pt>
                <c:pt idx="3">
                  <c:v>SR-11/12 CB</c:v>
                </c:pt>
                <c:pt idx="4">
                  <c:v>Senior School 1 &amp; 3</c:v>
                </c:pt>
                <c:pt idx="5">
                  <c:v>Athletic Centre</c:v>
                </c:pt>
                <c:pt idx="6">
                  <c:v>Junior School</c:v>
                </c:pt>
                <c:pt idx="7">
                  <c:v>SR-9/10 B</c:v>
                </c:pt>
                <c:pt idx="8">
                  <c:v>Academy Building</c:v>
                </c:pt>
                <c:pt idx="9">
                  <c:v>Commons</c:v>
                </c:pt>
              </c:strCache>
            </c:strRef>
          </c:cat>
          <c:val>
            <c:numRef>
              <c:f>MIS_Calc!$L$326:$L$335</c:f>
              <c:numCache>
                <c:formatCode>#,##0</c:formatCode>
                <c:ptCount val="10"/>
                <c:pt idx="0">
                  <c:v>10071</c:v>
                </c:pt>
                <c:pt idx="1">
                  <c:v>9616</c:v>
                </c:pt>
                <c:pt idx="2">
                  <c:v>8705.5</c:v>
                </c:pt>
                <c:pt idx="3">
                  <c:v>8461</c:v>
                </c:pt>
                <c:pt idx="4">
                  <c:v>8440</c:v>
                </c:pt>
                <c:pt idx="5">
                  <c:v>7936</c:v>
                </c:pt>
                <c:pt idx="6">
                  <c:v>7367.5</c:v>
                </c:pt>
                <c:pt idx="7">
                  <c:v>6667</c:v>
                </c:pt>
                <c:pt idx="8">
                  <c:v>3670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C-4B07-8437-6A48878BB670}"/>
            </c:ext>
          </c:extLst>
        </c:ser>
        <c:ser>
          <c:idx val="1"/>
          <c:order val="1"/>
          <c:spPr>
            <a:gradFill>
              <a:gsLst>
                <a:gs pos="0">
                  <a:srgbClr val="4495E9"/>
                </a:gs>
                <a:gs pos="50000">
                  <a:srgbClr val="015DA7"/>
                </a:gs>
                <a:gs pos="100000">
                  <a:srgbClr val="4495E9"/>
                </a:gs>
              </a:gsLst>
              <a:lin ang="0" scaled="0"/>
            </a:gra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1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MIS_Calc!$J$326:$J$335</c:f>
              <c:strCache>
                <c:ptCount val="10"/>
                <c:pt idx="0">
                  <c:v>SR-11/12 CA</c:v>
                </c:pt>
                <c:pt idx="1">
                  <c:v>SR-4</c:v>
                </c:pt>
                <c:pt idx="2">
                  <c:v>Senior School 2</c:v>
                </c:pt>
                <c:pt idx="3">
                  <c:v>SR-11/12 CB</c:v>
                </c:pt>
                <c:pt idx="4">
                  <c:v>Senior School 1 &amp; 3</c:v>
                </c:pt>
                <c:pt idx="5">
                  <c:v>Athletic Centre</c:v>
                </c:pt>
                <c:pt idx="6">
                  <c:v>Junior School</c:v>
                </c:pt>
                <c:pt idx="7">
                  <c:v>SR-9/10 B</c:v>
                </c:pt>
                <c:pt idx="8">
                  <c:v>Academy Building</c:v>
                </c:pt>
                <c:pt idx="9">
                  <c:v>Commons</c:v>
                </c:pt>
              </c:strCache>
            </c:strRef>
          </c:cat>
          <c:val>
            <c:numRef>
              <c:f>MIS_Calc!$K$326:$K$335</c:f>
              <c:numCache>
                <c:formatCode>#,##0;\-#,##0;;</c:formatCode>
                <c:ptCount val="10"/>
                <c:pt idx="0">
                  <c:v>5498</c:v>
                </c:pt>
                <c:pt idx="1">
                  <c:v>6408</c:v>
                </c:pt>
                <c:pt idx="2">
                  <c:v>8229</c:v>
                </c:pt>
                <c:pt idx="3">
                  <c:v>8718</c:v>
                </c:pt>
                <c:pt idx="4">
                  <c:v>8760</c:v>
                </c:pt>
                <c:pt idx="5">
                  <c:v>9768</c:v>
                </c:pt>
                <c:pt idx="6">
                  <c:v>10905</c:v>
                </c:pt>
                <c:pt idx="7">
                  <c:v>12306</c:v>
                </c:pt>
                <c:pt idx="8">
                  <c:v>18300</c:v>
                </c:pt>
                <c:pt idx="9">
                  <c:v>25640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EC-4B07-8437-6A48878BB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A1F33"/>
                </a:solidFill>
                <a:latin typeface="Calibri"/>
              </a:defRPr>
            </a:pPr>
            <a:r>
              <a:rPr lang="en-IN" sz="1050" b="1">
                <a:solidFill>
                  <a:srgbClr val="0A1F33"/>
                </a:solidFill>
                <a:latin typeface="Calibri"/>
              </a:rPr>
              <a:t>☀ Solar Pyramid · plants (kWh / month)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spPr>
            <a:noFill/>
            <a:ln>
              <a:noFill/>
              <a:prstDash val="solid"/>
            </a:ln>
          </c:spPr>
          <c:invertIfNegative val="1"/>
          <c:cat>
            <c:strRef>
              <c:f>MIS_Calc!$C$354:$C$363</c:f>
              <c:strCache>
                <c:ptCount val="10"/>
                <c:pt idx="0">
                  <c:v>Senior School 1</c:v>
                </c:pt>
                <c:pt idx="1">
                  <c:v>Athletic Centre</c:v>
                </c:pt>
                <c:pt idx="2">
                  <c:v>Js Library</c:v>
                </c:pt>
                <c:pt idx="3">
                  <c:v>Squash Court</c:v>
                </c:pt>
                <c:pt idx="4">
                  <c:v>Art And Music</c:v>
                </c:pt>
                <c:pt idx="5">
                  <c:v>Ss Laboratory</c:v>
                </c:pt>
                <c:pt idx="6">
                  <c:v>Facility Block</c:v>
                </c:pt>
                <c:pt idx="7">
                  <c:v>Commons Building</c:v>
                </c:pt>
                <c:pt idx="8">
                  <c:v>Ab Building</c:v>
                </c:pt>
                <c:pt idx="9">
                  <c:v>Ground Mount And Substation</c:v>
                </c:pt>
              </c:strCache>
            </c:strRef>
          </c:cat>
          <c:val>
            <c:numRef>
              <c:f>MIS_Calc!$E$354:$E$363</c:f>
              <c:numCache>
                <c:formatCode>#,##0</c:formatCode>
                <c:ptCount val="10"/>
                <c:pt idx="0">
                  <c:v>20523.5</c:v>
                </c:pt>
                <c:pt idx="1">
                  <c:v>20456</c:v>
                </c:pt>
                <c:pt idx="2">
                  <c:v>20411</c:v>
                </c:pt>
                <c:pt idx="3">
                  <c:v>20410</c:v>
                </c:pt>
                <c:pt idx="4">
                  <c:v>20042</c:v>
                </c:pt>
                <c:pt idx="5">
                  <c:v>19112</c:v>
                </c:pt>
                <c:pt idx="6">
                  <c:v>19048.5</c:v>
                </c:pt>
                <c:pt idx="7">
                  <c:v>13708</c:v>
                </c:pt>
                <c:pt idx="8">
                  <c:v>12668.5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D-44F8-9168-439CA1FB4C26}"/>
            </c:ext>
          </c:extLst>
        </c:ser>
        <c:ser>
          <c:idx val="1"/>
          <c:order val="1"/>
          <c:spPr>
            <a:gradFill>
              <a:gsLst>
                <a:gs pos="0">
                  <a:srgbClr val="3D8D59"/>
                </a:gs>
                <a:gs pos="50000">
                  <a:srgbClr val="00552A"/>
                </a:gs>
                <a:gs pos="100000">
                  <a:srgbClr val="3D8D59"/>
                </a:gs>
              </a:gsLst>
              <a:lin ang="0" scaled="0"/>
            </a:gra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1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MIS_Calc!$C$354:$C$363</c:f>
              <c:strCache>
                <c:ptCount val="10"/>
                <c:pt idx="0">
                  <c:v>Senior School 1</c:v>
                </c:pt>
                <c:pt idx="1">
                  <c:v>Athletic Centre</c:v>
                </c:pt>
                <c:pt idx="2">
                  <c:v>Js Library</c:v>
                </c:pt>
                <c:pt idx="3">
                  <c:v>Squash Court</c:v>
                </c:pt>
                <c:pt idx="4">
                  <c:v>Art And Music</c:v>
                </c:pt>
                <c:pt idx="5">
                  <c:v>Ss Laboratory</c:v>
                </c:pt>
                <c:pt idx="6">
                  <c:v>Facility Block</c:v>
                </c:pt>
                <c:pt idx="7">
                  <c:v>Commons Building</c:v>
                </c:pt>
                <c:pt idx="8">
                  <c:v>Ab Building</c:v>
                </c:pt>
                <c:pt idx="9">
                  <c:v>Ground Mount And Substation</c:v>
                </c:pt>
              </c:strCache>
            </c:strRef>
          </c:cat>
          <c:val>
            <c:numRef>
              <c:f>MIS_Calc!$D$354:$D$363</c:f>
              <c:numCache>
                <c:formatCode>#,##0;\-#,##0;;</c:formatCode>
                <c:ptCount val="10"/>
                <c:pt idx="0">
                  <c:v>3820</c:v>
                </c:pt>
                <c:pt idx="1">
                  <c:v>3955</c:v>
                </c:pt>
                <c:pt idx="2">
                  <c:v>4045</c:v>
                </c:pt>
                <c:pt idx="3">
                  <c:v>4047</c:v>
                </c:pt>
                <c:pt idx="4">
                  <c:v>4783</c:v>
                </c:pt>
                <c:pt idx="5">
                  <c:v>6643</c:v>
                </c:pt>
                <c:pt idx="6">
                  <c:v>6770</c:v>
                </c:pt>
                <c:pt idx="7">
                  <c:v>17451</c:v>
                </c:pt>
                <c:pt idx="8">
                  <c:v>19530</c:v>
                </c:pt>
                <c:pt idx="9">
                  <c:v>44867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FD-44F8-9168-439CA1FB4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A1F33"/>
                </a:solidFill>
                <a:latin typeface="Calibri"/>
              </a:defRPr>
            </a:pPr>
            <a:r>
              <a:rPr lang="en-IN" sz="1050" b="1">
                <a:solidFill>
                  <a:srgbClr val="0A1F33"/>
                </a:solidFill>
                <a:latin typeface="Calibri"/>
              </a:rPr>
              <a:t>💧 Baseline ◄ ► Selected · water (kL / month)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Baseline (median 23–25)</c:v>
          </c:tx>
          <c:spPr>
            <a:gradFill>
              <a:gsLst>
                <a:gs pos="0">
                  <a:srgbClr val="B2BABB"/>
                </a:gs>
                <a:gs pos="100000">
                  <a:srgbClr val="424949"/>
                </a:gs>
              </a:gsLst>
              <a:lin ang="0" scaled="0"/>
            </a:gra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MIS_Calc!$C$326:$C$335</c:f>
              <c:strCache>
                <c:ptCount val="10"/>
                <c:pt idx="0">
                  <c:v>Laundry</c:v>
                </c:pt>
                <c:pt idx="1">
                  <c:v>SR-4</c:v>
                </c:pt>
                <c:pt idx="2">
                  <c:v>Nursery</c:v>
                </c:pt>
                <c:pt idx="3">
                  <c:v>SR-2</c:v>
                </c:pt>
                <c:pt idx="4">
                  <c:v>SR-1</c:v>
                </c:pt>
                <c:pt idx="5">
                  <c:v>PCM</c:v>
                </c:pt>
                <c:pt idx="6">
                  <c:v>SR-11/12 CA</c:v>
                </c:pt>
                <c:pt idx="7">
                  <c:v>Commons</c:v>
                </c:pt>
                <c:pt idx="8">
                  <c:v>SR-9/10 A</c:v>
                </c:pt>
                <c:pt idx="9">
                  <c:v>Swimming Pool</c:v>
                </c:pt>
              </c:strCache>
            </c:strRef>
          </c:cat>
          <c:val>
            <c:numRef>
              <c:f>MIS_Calc!$F$326:$F$335</c:f>
              <c:numCache>
                <c:formatCode>#,##0;#,##0;;</c:formatCode>
                <c:ptCount val="10"/>
                <c:pt idx="0">
                  <c:v>0</c:v>
                </c:pt>
                <c:pt idx="1">
                  <c:v>-162.083333333333</c:v>
                </c:pt>
                <c:pt idx="2">
                  <c:v>0</c:v>
                </c:pt>
                <c:pt idx="3">
                  <c:v>-199.333333333333</c:v>
                </c:pt>
                <c:pt idx="4">
                  <c:v>-388.5</c:v>
                </c:pt>
                <c:pt idx="5">
                  <c:v>-1140.6666666666599</c:v>
                </c:pt>
                <c:pt idx="6">
                  <c:v>-341.25</c:v>
                </c:pt>
                <c:pt idx="7">
                  <c:v>-183.25</c:v>
                </c:pt>
                <c:pt idx="8">
                  <c:v>-458.75</c:v>
                </c:pt>
                <c:pt idx="9">
                  <c:v>-452.91666666666703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4-44F0-A36B-A1ABD8E5B1DE}"/>
            </c:ext>
          </c:extLst>
        </c:ser>
        <c:ser>
          <c:idx val="1"/>
          <c:order val="1"/>
          <c:tx>
            <c:v>Selected</c:v>
          </c:tx>
          <c:spPr>
            <a:gradFill>
              <a:gsLst>
                <a:gs pos="0">
                  <a:srgbClr val="015DA7"/>
                </a:gs>
                <a:gs pos="100000">
                  <a:srgbClr val="4495E9"/>
                </a:gs>
              </a:gsLst>
              <a:lin ang="0" scaled="0"/>
            </a:gra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MIS_Calc!$C$326:$C$335</c:f>
              <c:strCache>
                <c:ptCount val="10"/>
                <c:pt idx="0">
                  <c:v>Laundry</c:v>
                </c:pt>
                <c:pt idx="1">
                  <c:v>SR-4</c:v>
                </c:pt>
                <c:pt idx="2">
                  <c:v>Nursery</c:v>
                </c:pt>
                <c:pt idx="3">
                  <c:v>SR-2</c:v>
                </c:pt>
                <c:pt idx="4">
                  <c:v>SR-1</c:v>
                </c:pt>
                <c:pt idx="5">
                  <c:v>PCM</c:v>
                </c:pt>
                <c:pt idx="6">
                  <c:v>SR-11/12 CA</c:v>
                </c:pt>
                <c:pt idx="7">
                  <c:v>Commons</c:v>
                </c:pt>
                <c:pt idx="8">
                  <c:v>SR-9/10 A</c:v>
                </c:pt>
                <c:pt idx="9">
                  <c:v>Swimming Pool</c:v>
                </c:pt>
              </c:strCache>
            </c:strRef>
          </c:cat>
          <c:val>
            <c:numRef>
              <c:f>MIS_Calc!$D$326:$D$335</c:f>
              <c:numCache>
                <c:formatCode>#,##0;\-#,##0;;</c:formatCode>
                <c:ptCount val="10"/>
                <c:pt idx="0">
                  <c:v>135</c:v>
                </c:pt>
                <c:pt idx="1">
                  <c:v>194</c:v>
                </c:pt>
                <c:pt idx="2">
                  <c:v>209</c:v>
                </c:pt>
                <c:pt idx="3">
                  <c:v>312</c:v>
                </c:pt>
                <c:pt idx="4">
                  <c:v>329</c:v>
                </c:pt>
                <c:pt idx="5">
                  <c:v>570</c:v>
                </c:pt>
                <c:pt idx="6">
                  <c:v>710</c:v>
                </c:pt>
                <c:pt idx="7">
                  <c:v>1094</c:v>
                </c:pt>
                <c:pt idx="8">
                  <c:v>1468</c:v>
                </c:pt>
                <c:pt idx="9">
                  <c:v>1559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04-44F0-A36B-A1ABD8E5B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#,##0;#,##0;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53457422969187673"/>
          <c:y val="0.10697463768115938"/>
          <c:w val="0.44667787114845936"/>
          <c:h val="8.0102657004830921E-2"/>
        </c:manualLayout>
      </c:layout>
      <c:overlay val="1"/>
      <c:txPr>
        <a:bodyPr/>
        <a:lstStyle/>
        <a:p>
          <a:pPr>
            <a:defRPr sz="800" b="0">
              <a:solidFill>
                <a:srgbClr val="5D6D7E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A1F33"/>
                </a:solidFill>
                <a:latin typeface="Calibri"/>
              </a:defRPr>
            </a:pPr>
            <a:r>
              <a:rPr lang="en-IN" sz="1050" b="1">
                <a:solidFill>
                  <a:srgbClr val="0A1F33"/>
                </a:solidFill>
                <a:latin typeface="Calibri"/>
              </a:rPr>
              <a:t>⚡ Avg-2025 ◄ ► Selected · power (kWh / month)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Avg 2025</c:v>
          </c:tx>
          <c:spPr>
            <a:gradFill>
              <a:gsLst>
                <a:gs pos="0">
                  <a:srgbClr val="B2BABB"/>
                </a:gs>
                <a:gs pos="100000">
                  <a:srgbClr val="424949"/>
                </a:gs>
              </a:gsLst>
              <a:lin ang="0" scaled="0"/>
            </a:gra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MIS_Calc!$J$326:$J$335</c:f>
              <c:strCache>
                <c:ptCount val="10"/>
                <c:pt idx="0">
                  <c:v>SR-11/12 CA</c:v>
                </c:pt>
                <c:pt idx="1">
                  <c:v>SR-4</c:v>
                </c:pt>
                <c:pt idx="2">
                  <c:v>Senior School 2</c:v>
                </c:pt>
                <c:pt idx="3">
                  <c:v>SR-11/12 CB</c:v>
                </c:pt>
                <c:pt idx="4">
                  <c:v>Senior School 1 &amp; 3</c:v>
                </c:pt>
                <c:pt idx="5">
                  <c:v>Athletic Centre</c:v>
                </c:pt>
                <c:pt idx="6">
                  <c:v>Junior School</c:v>
                </c:pt>
                <c:pt idx="7">
                  <c:v>SR-9/10 B</c:v>
                </c:pt>
                <c:pt idx="8">
                  <c:v>Academy Building</c:v>
                </c:pt>
                <c:pt idx="9">
                  <c:v>Commons</c:v>
                </c:pt>
              </c:strCache>
            </c:strRef>
          </c:cat>
          <c:val>
            <c:numRef>
              <c:f>MIS_Calc!$M$326:$M$335</c:f>
              <c:numCache>
                <c:formatCode>#,##0;#,##0;;</c:formatCode>
                <c:ptCount val="10"/>
                <c:pt idx="0">
                  <c:v>-4599.3999999999896</c:v>
                </c:pt>
                <c:pt idx="1">
                  <c:v>-3604.75</c:v>
                </c:pt>
                <c:pt idx="2">
                  <c:v>-7514.75</c:v>
                </c:pt>
                <c:pt idx="3">
                  <c:v>-5202.8500000000004</c:v>
                </c:pt>
                <c:pt idx="4">
                  <c:v>-9621.1666666666606</c:v>
                </c:pt>
                <c:pt idx="5">
                  <c:v>-5689.2583333333196</c:v>
                </c:pt>
                <c:pt idx="6">
                  <c:v>-8438.25</c:v>
                </c:pt>
                <c:pt idx="7">
                  <c:v>-5468.95</c:v>
                </c:pt>
                <c:pt idx="8">
                  <c:v>-18408.333333333201</c:v>
                </c:pt>
                <c:pt idx="9">
                  <c:v>-25376.833333333201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C-4D8C-8BEB-C81B7FD47AE4}"/>
            </c:ext>
          </c:extLst>
        </c:ser>
        <c:ser>
          <c:idx val="1"/>
          <c:order val="1"/>
          <c:tx>
            <c:v>Selected</c:v>
          </c:tx>
          <c:spPr>
            <a:gradFill>
              <a:gsLst>
                <a:gs pos="0">
                  <a:srgbClr val="015DA7"/>
                </a:gs>
                <a:gs pos="100000">
                  <a:srgbClr val="4495E9"/>
                </a:gs>
              </a:gsLst>
              <a:lin ang="0" scaled="0"/>
            </a:gra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MIS_Calc!$J$326:$J$335</c:f>
              <c:strCache>
                <c:ptCount val="10"/>
                <c:pt idx="0">
                  <c:v>SR-11/12 CA</c:v>
                </c:pt>
                <c:pt idx="1">
                  <c:v>SR-4</c:v>
                </c:pt>
                <c:pt idx="2">
                  <c:v>Senior School 2</c:v>
                </c:pt>
                <c:pt idx="3">
                  <c:v>SR-11/12 CB</c:v>
                </c:pt>
                <c:pt idx="4">
                  <c:v>Senior School 1 &amp; 3</c:v>
                </c:pt>
                <c:pt idx="5">
                  <c:v>Athletic Centre</c:v>
                </c:pt>
                <c:pt idx="6">
                  <c:v>Junior School</c:v>
                </c:pt>
                <c:pt idx="7">
                  <c:v>SR-9/10 B</c:v>
                </c:pt>
                <c:pt idx="8">
                  <c:v>Academy Building</c:v>
                </c:pt>
                <c:pt idx="9">
                  <c:v>Commons</c:v>
                </c:pt>
              </c:strCache>
            </c:strRef>
          </c:cat>
          <c:val>
            <c:numRef>
              <c:f>MIS_Calc!$K$326:$K$335</c:f>
              <c:numCache>
                <c:formatCode>#,##0;\-#,##0;;</c:formatCode>
                <c:ptCount val="10"/>
                <c:pt idx="0">
                  <c:v>5498</c:v>
                </c:pt>
                <c:pt idx="1">
                  <c:v>6408</c:v>
                </c:pt>
                <c:pt idx="2">
                  <c:v>8229</c:v>
                </c:pt>
                <c:pt idx="3">
                  <c:v>8718</c:v>
                </c:pt>
                <c:pt idx="4">
                  <c:v>8760</c:v>
                </c:pt>
                <c:pt idx="5">
                  <c:v>9768</c:v>
                </c:pt>
                <c:pt idx="6">
                  <c:v>10905</c:v>
                </c:pt>
                <c:pt idx="7">
                  <c:v>12306</c:v>
                </c:pt>
                <c:pt idx="8">
                  <c:v>18300</c:v>
                </c:pt>
                <c:pt idx="9">
                  <c:v>25640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CC-4D8C-8BEB-C81B7FD47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#,##0;#,##0;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71580975723622786"/>
          <c:y val="0.11208735909822859"/>
          <c:w val="0.26800700280112044"/>
          <c:h val="8.0102657004830921E-2"/>
        </c:manualLayout>
      </c:layout>
      <c:overlay val="1"/>
      <c:txPr>
        <a:bodyPr/>
        <a:lstStyle/>
        <a:p>
          <a:pPr>
            <a:defRPr sz="800" b="0">
              <a:solidFill>
                <a:srgbClr val="5D6D7E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A1F33"/>
                </a:solidFill>
                <a:latin typeface="Calibri"/>
              </a:defRPr>
            </a:pPr>
            <a:r>
              <a:rPr lang="en-IN" sz="1050" b="1">
                <a:solidFill>
                  <a:srgbClr val="0A1F33"/>
                </a:solidFill>
                <a:latin typeface="Calibri"/>
              </a:rPr>
              <a:t>❄ HVAC Pyramid · buildings (kWh / month)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spPr>
            <a:noFill/>
            <a:ln>
              <a:noFill/>
              <a:prstDash val="solid"/>
            </a:ln>
          </c:spPr>
          <c:invertIfNegative val="1"/>
          <c:cat>
            <c:strRef>
              <c:f>MIS_Calc!$J$354:$J$364</c:f>
              <c:strCache>
                <c:ptCount val="11"/>
                <c:pt idx="0">
                  <c:v>SR4</c:v>
                </c:pt>
                <c:pt idx="1">
                  <c:v>SR3</c:v>
                </c:pt>
                <c:pt idx="2">
                  <c:v>SR1</c:v>
                </c:pt>
                <c:pt idx="3">
                  <c:v>SR2</c:v>
                </c:pt>
                <c:pt idx="4">
                  <c:v>SR11/12CA</c:v>
                </c:pt>
                <c:pt idx="5">
                  <c:v>SR9/10A</c:v>
                </c:pt>
                <c:pt idx="6">
                  <c:v>SR11/12CB</c:v>
                </c:pt>
                <c:pt idx="7">
                  <c:v>JS</c:v>
                </c:pt>
                <c:pt idx="8">
                  <c:v>SR9/10B</c:v>
                </c:pt>
                <c:pt idx="9">
                  <c:v>Nursery</c:v>
                </c:pt>
                <c:pt idx="10">
                  <c:v>SS</c:v>
                </c:pt>
              </c:strCache>
            </c:strRef>
          </c:cat>
          <c:val>
            <c:numRef>
              <c:f>MIS_Calc!$L$354:$L$364</c:f>
              <c:numCache>
                <c:formatCode>#,##0</c:formatCode>
                <c:ptCount val="11"/>
                <c:pt idx="0">
                  <c:v>2087.86</c:v>
                </c:pt>
                <c:pt idx="1">
                  <c:v>2055.5</c:v>
                </c:pt>
                <c:pt idx="2">
                  <c:v>1729.5</c:v>
                </c:pt>
                <c:pt idx="3">
                  <c:v>1662.5</c:v>
                </c:pt>
                <c:pt idx="4">
                  <c:v>1632.2</c:v>
                </c:pt>
                <c:pt idx="5">
                  <c:v>1110</c:v>
                </c:pt>
                <c:pt idx="6">
                  <c:v>1104.5</c:v>
                </c:pt>
                <c:pt idx="7">
                  <c:v>1069.5</c:v>
                </c:pt>
                <c:pt idx="8">
                  <c:v>974.5</c:v>
                </c:pt>
                <c:pt idx="9">
                  <c:v>873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0-400A-AC65-580C75678586}"/>
            </c:ext>
          </c:extLst>
        </c:ser>
        <c:ser>
          <c:idx val="1"/>
          <c:order val="1"/>
          <c:spPr>
            <a:gradFill>
              <a:gsLst>
                <a:gs pos="0">
                  <a:srgbClr val="4495E9"/>
                </a:gs>
                <a:gs pos="50000">
                  <a:srgbClr val="015DA7"/>
                </a:gs>
                <a:gs pos="100000">
                  <a:srgbClr val="4495E9"/>
                </a:gs>
              </a:gsLst>
              <a:lin ang="0" scaled="0"/>
            </a:gra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1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MIS_Calc!$J$354:$J$364</c:f>
              <c:strCache>
                <c:ptCount val="11"/>
                <c:pt idx="0">
                  <c:v>SR4</c:v>
                </c:pt>
                <c:pt idx="1">
                  <c:v>SR3</c:v>
                </c:pt>
                <c:pt idx="2">
                  <c:v>SR1</c:v>
                </c:pt>
                <c:pt idx="3">
                  <c:v>SR2</c:v>
                </c:pt>
                <c:pt idx="4">
                  <c:v>SR11/12CA</c:v>
                </c:pt>
                <c:pt idx="5">
                  <c:v>SR9/10A</c:v>
                </c:pt>
                <c:pt idx="6">
                  <c:v>SR11/12CB</c:v>
                </c:pt>
                <c:pt idx="7">
                  <c:v>JS</c:v>
                </c:pt>
                <c:pt idx="8">
                  <c:v>SR9/10B</c:v>
                </c:pt>
                <c:pt idx="9">
                  <c:v>Nursery</c:v>
                </c:pt>
                <c:pt idx="10">
                  <c:v>SS</c:v>
                </c:pt>
              </c:strCache>
            </c:strRef>
          </c:cat>
          <c:val>
            <c:numRef>
              <c:f>MIS_Calc!$K$354:$K$364</c:f>
              <c:numCache>
                <c:formatCode>#,##0;\-#,##0;;</c:formatCode>
                <c:ptCount val="11"/>
                <c:pt idx="0">
                  <c:v>420.28</c:v>
                </c:pt>
                <c:pt idx="1">
                  <c:v>485</c:v>
                </c:pt>
                <c:pt idx="2">
                  <c:v>1137</c:v>
                </c:pt>
                <c:pt idx="3">
                  <c:v>1271</c:v>
                </c:pt>
                <c:pt idx="4">
                  <c:v>1331.6</c:v>
                </c:pt>
                <c:pt idx="5">
                  <c:v>2376</c:v>
                </c:pt>
                <c:pt idx="6">
                  <c:v>2387</c:v>
                </c:pt>
                <c:pt idx="7">
                  <c:v>2457</c:v>
                </c:pt>
                <c:pt idx="8">
                  <c:v>2647</c:v>
                </c:pt>
                <c:pt idx="9">
                  <c:v>2850</c:v>
                </c:pt>
                <c:pt idx="10">
                  <c:v>4596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D0-400A-AC65-580C75678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t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A1F33"/>
                </a:solidFill>
                <a:latin typeface="Calibri"/>
              </a:defRPr>
            </a:pPr>
            <a:r>
              <a:rPr lang="en-IN" sz="1050" b="1">
                <a:solidFill>
                  <a:srgbClr val="0A1F33"/>
                </a:solidFill>
                <a:latin typeface="Calibri"/>
              </a:rPr>
              <a:t>⚡ HT Grid ◄ ► Solar Generation (kWh)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HT grid</c:v>
          </c:tx>
          <c:spPr>
            <a:gradFill>
              <a:gsLst>
                <a:gs pos="0">
                  <a:srgbClr val="4495E9"/>
                </a:gs>
                <a:gs pos="100000">
                  <a:srgbClr val="015DA7"/>
                </a:gs>
              </a:gsLst>
              <a:lin ang="0" scaled="0"/>
            </a:gra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MIS_Calc!$A$384:$A$395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MIS_Calc!$B$384:$B$395</c:f>
              <c:numCache>
                <c:formatCode>#,##0;#,##0;;</c:formatCode>
                <c:ptCount val="12"/>
                <c:pt idx="0">
                  <c:v>-66600</c:v>
                </c:pt>
                <c:pt idx="1">
                  <c:v>-95736</c:v>
                </c:pt>
                <c:pt idx="2">
                  <c:v>-125154</c:v>
                </c:pt>
                <c:pt idx="3">
                  <c:v>-198066</c:v>
                </c:pt>
                <c:pt idx="4">
                  <c:v>-222144</c:v>
                </c:pt>
                <c:pt idx="5">
                  <c:v>-72912</c:v>
                </c:pt>
                <c:pt idx="6">
                  <c:v>-122658</c:v>
                </c:pt>
                <c:pt idx="7">
                  <c:v>-146382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5-4FDD-AF2D-A58CE00FD922}"/>
            </c:ext>
          </c:extLst>
        </c:ser>
        <c:ser>
          <c:idx val="1"/>
          <c:order val="1"/>
          <c:tx>
            <c:v>Solar</c:v>
          </c:tx>
          <c:spPr>
            <a:gradFill>
              <a:gsLst>
                <a:gs pos="0">
                  <a:srgbClr val="00552A"/>
                </a:gs>
                <a:gs pos="100000">
                  <a:srgbClr val="3D8D59"/>
                </a:gs>
              </a:gsLst>
              <a:lin ang="0" scaled="0"/>
            </a:gra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MIS_Calc!$A$384:$A$395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MIS_Calc!$C$384:$C$395</c:f>
              <c:numCache>
                <c:formatCode>#,##0;#,##0;;</c:formatCode>
                <c:ptCount val="12"/>
                <c:pt idx="0">
                  <c:v>95805.700000000012</c:v>
                </c:pt>
                <c:pt idx="1">
                  <c:v>119500.8</c:v>
                </c:pt>
                <c:pt idx="2">
                  <c:v>152604.70000000001</c:v>
                </c:pt>
                <c:pt idx="3">
                  <c:v>136018.1</c:v>
                </c:pt>
                <c:pt idx="4">
                  <c:v>145805.6</c:v>
                </c:pt>
                <c:pt idx="5">
                  <c:v>128018</c:v>
                </c:pt>
                <c:pt idx="6">
                  <c:v>100380</c:v>
                </c:pt>
                <c:pt idx="7">
                  <c:v>115911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55-4FDD-AF2D-A58CE00FD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#,##0;#,##0;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  <c:txPr>
        <a:bodyPr/>
        <a:lstStyle/>
        <a:p>
          <a:pPr>
            <a:defRPr sz="800" b="0">
              <a:solidFill>
                <a:srgbClr val="5D6D7E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A1F33"/>
                </a:solidFill>
                <a:latin typeface="Calibri"/>
              </a:defRPr>
            </a:pPr>
            <a:r>
              <a:rPr lang="en-IN" sz="1050" b="1">
                <a:solidFill>
                  <a:srgbClr val="0A1F33"/>
                </a:solidFill>
                <a:latin typeface="Calibri"/>
              </a:rPr>
              <a:t>⛲ Borewell ◄ ► STP Recycled (kL)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Borewell</c:v>
          </c:tx>
          <c:spPr>
            <a:gradFill>
              <a:gsLst>
                <a:gs pos="0">
                  <a:srgbClr val="4495E9"/>
                </a:gs>
                <a:gs pos="100000">
                  <a:srgbClr val="015DA7"/>
                </a:gs>
              </a:gsLst>
              <a:lin ang="0" scaled="0"/>
            </a:gra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MIS_Calc!$A$384:$A$395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MIS_Calc!$D$384:$D$395</c:f>
              <c:numCache>
                <c:formatCode>#,##0;#,##0;;</c:formatCode>
                <c:ptCount val="12"/>
                <c:pt idx="0">
                  <c:v>-15002</c:v>
                </c:pt>
                <c:pt idx="1">
                  <c:v>-19302.669999999998</c:v>
                </c:pt>
                <c:pt idx="2">
                  <c:v>-17647.45</c:v>
                </c:pt>
                <c:pt idx="3">
                  <c:v>-18490.490000000002</c:v>
                </c:pt>
                <c:pt idx="4">
                  <c:v>-21759.4</c:v>
                </c:pt>
                <c:pt idx="5">
                  <c:v>-11528.59</c:v>
                </c:pt>
                <c:pt idx="6">
                  <c:v>-15618.59</c:v>
                </c:pt>
                <c:pt idx="7">
                  <c:v>-11995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4-482C-8D4B-1C3D1D436C4B}"/>
            </c:ext>
          </c:extLst>
        </c:ser>
        <c:ser>
          <c:idx val="1"/>
          <c:order val="1"/>
          <c:tx>
            <c:v>STP recycled</c:v>
          </c:tx>
          <c:spPr>
            <a:gradFill>
              <a:gsLst>
                <a:gs pos="0">
                  <a:srgbClr val="00552A"/>
                </a:gs>
                <a:gs pos="100000">
                  <a:srgbClr val="3D8D59"/>
                </a:gs>
              </a:gsLst>
              <a:lin ang="0" scaled="0"/>
            </a:gra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MIS_Calc!$A$384:$A$395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MIS_Calc!$E$384:$E$395</c:f>
              <c:numCache>
                <c:formatCode>#,##0;#,##0;;</c:formatCode>
                <c:ptCount val="12"/>
                <c:pt idx="0">
                  <c:v>3596</c:v>
                </c:pt>
                <c:pt idx="1">
                  <c:v>5654</c:v>
                </c:pt>
                <c:pt idx="2">
                  <c:v>4885</c:v>
                </c:pt>
                <c:pt idx="3">
                  <c:v>3764</c:v>
                </c:pt>
                <c:pt idx="4">
                  <c:v>1496</c:v>
                </c:pt>
                <c:pt idx="5">
                  <c:v>1929</c:v>
                </c:pt>
                <c:pt idx="6">
                  <c:v>2303</c:v>
                </c:pt>
                <c:pt idx="7">
                  <c:v>2683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A4-482C-8D4B-1C3D1D43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#,##0;#,##0;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  <c:txPr>
        <a:bodyPr/>
        <a:lstStyle/>
        <a:p>
          <a:pPr>
            <a:defRPr sz="800" b="0">
              <a:solidFill>
                <a:srgbClr val="5D6D7E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A1F33"/>
                </a:solidFill>
                <a:latin typeface="Calibri"/>
              </a:defRPr>
            </a:pPr>
            <a:r>
              <a:rPr lang="en-IN" sz="1050" b="1">
                <a:solidFill>
                  <a:srgbClr val="0A1F33"/>
                </a:solidFill>
                <a:latin typeface="Calibri"/>
              </a:rPr>
              <a:t>👷 Man-days Deployed ◄ ► Present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Deployed</c:v>
          </c:tx>
          <c:spPr>
            <a:gradFill>
              <a:gsLst>
                <a:gs pos="0">
                  <a:srgbClr val="DFC7EA"/>
                </a:gs>
                <a:gs pos="100000">
                  <a:srgbClr val="B68BC9"/>
                </a:gs>
              </a:gsLst>
              <a:lin ang="0" scaled="0"/>
            </a:gra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MIS_Calc!$A$384:$A$395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MIS_Calc!$F$384:$F$395</c:f>
              <c:numCache>
                <c:formatCode>#,##0;#,##0;;</c:formatCode>
                <c:ptCount val="12"/>
                <c:pt idx="0">
                  <c:v>-633</c:v>
                </c:pt>
                <c:pt idx="1">
                  <c:v>-645</c:v>
                </c:pt>
                <c:pt idx="2">
                  <c:v>-653</c:v>
                </c:pt>
                <c:pt idx="3">
                  <c:v>-676</c:v>
                </c:pt>
                <c:pt idx="4">
                  <c:v>-655</c:v>
                </c:pt>
                <c:pt idx="5">
                  <c:v>-663</c:v>
                </c:pt>
                <c:pt idx="6">
                  <c:v>-634</c:v>
                </c:pt>
                <c:pt idx="7">
                  <c:v>-640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E-49C3-8D0E-014715CA2F54}"/>
            </c:ext>
          </c:extLst>
        </c:ser>
        <c:ser>
          <c:idx val="1"/>
          <c:order val="1"/>
          <c:tx>
            <c:v>Present</c:v>
          </c:tx>
          <c:spPr>
            <a:gradFill>
              <a:gsLst>
                <a:gs pos="0">
                  <a:srgbClr val="541B69"/>
                </a:gs>
                <a:gs pos="100000">
                  <a:srgbClr val="8A51A2"/>
                </a:gs>
              </a:gsLst>
              <a:lin ang="0" scaled="0"/>
            </a:gra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MIS_Calc!$A$384:$A$395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MIS_Calc!$G$384:$G$395</c:f>
              <c:numCache>
                <c:formatCode>#,##0;#,##0;;</c:formatCode>
                <c:ptCount val="12"/>
                <c:pt idx="0">
                  <c:v>551</c:v>
                </c:pt>
                <c:pt idx="1">
                  <c:v>529</c:v>
                </c:pt>
                <c:pt idx="2">
                  <c:v>545</c:v>
                </c:pt>
                <c:pt idx="3">
                  <c:v>530</c:v>
                </c:pt>
                <c:pt idx="4">
                  <c:v>550</c:v>
                </c:pt>
                <c:pt idx="5">
                  <c:v>580</c:v>
                </c:pt>
                <c:pt idx="6">
                  <c:v>595</c:v>
                </c:pt>
                <c:pt idx="7">
                  <c:v>543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CE-49C3-8D0E-014715CA2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#,##0;#,##0;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  <c:txPr>
        <a:bodyPr/>
        <a:lstStyle/>
        <a:p>
          <a:pPr>
            <a:defRPr sz="800" b="0">
              <a:solidFill>
                <a:srgbClr val="5D6D7E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A1F33"/>
                </a:solidFill>
                <a:latin typeface="Calibri"/>
              </a:defRPr>
            </a:pPr>
            <a:r>
              <a:rPr lang="en-IN" sz="1050" b="1">
                <a:solidFill>
                  <a:srgbClr val="0A1F33"/>
                </a:solidFill>
                <a:latin typeface="Calibri"/>
              </a:rPr>
              <a:t>Monthly Grid Energy per Person (kWh)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Grid energy per person</c:v>
          </c:tx>
          <c:spPr>
            <a:gradFill>
              <a:gsLst>
                <a:gs pos="0">
                  <a:srgbClr val="4495E9"/>
                </a:gs>
                <a:gs pos="100000">
                  <a:srgbClr val="015DA7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MIS_Calc!$A$21:$A$32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MIS_Calc!$CI$21:$CI$32</c:f>
              <c:numCache>
                <c:formatCode>0.0;\-0.0;;</c:formatCode>
                <c:ptCount val="12"/>
                <c:pt idx="0">
                  <c:v>49.187592319054652</c:v>
                </c:pt>
                <c:pt idx="1">
                  <c:v>70.706056129985228</c:v>
                </c:pt>
                <c:pt idx="2">
                  <c:v>92.432791728212706</c:v>
                </c:pt>
                <c:pt idx="3">
                  <c:v>146.2821270310192</c:v>
                </c:pt>
                <c:pt idx="4">
                  <c:v>164.06499261447561</c:v>
                </c:pt>
                <c:pt idx="5">
                  <c:v>53.849335302806502</c:v>
                </c:pt>
                <c:pt idx="6">
                  <c:v>90.589364844903983</c:v>
                </c:pt>
                <c:pt idx="7">
                  <c:v>108.11078286558346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C-407E-B802-FC69EDFDA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>
                    <a:solidFill>
                      <a:srgbClr val="5D6D7E"/>
                    </a:solidFill>
                    <a:latin typeface="Calibri"/>
                  </a:defRPr>
                </a:pPr>
                <a:r>
                  <a:rPr lang="en-IN" sz="800" b="1">
                    <a:solidFill>
                      <a:srgbClr val="5D6D7E"/>
                    </a:solidFill>
                    <a:latin typeface="Calibri"/>
                  </a:rPr>
                  <a:t>Month (2026)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5E8E8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1">
                    <a:solidFill>
                      <a:srgbClr val="5D6D7E"/>
                    </a:solidFill>
                    <a:latin typeface="Calibri"/>
                  </a:defRPr>
                </a:pPr>
                <a:r>
                  <a:rPr lang="en-IN" sz="800" b="1">
                    <a:solidFill>
                      <a:srgbClr val="5D6D7E"/>
                    </a:solidFill>
                    <a:latin typeface="Calibri"/>
                  </a:rPr>
                  <a:t>kWh / person / month</a:t>
                </a:r>
              </a:p>
            </c:rich>
          </c:tx>
          <c:overlay val="0"/>
        </c:title>
        <c:numFmt formatCode="0.0;\-0.0;;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A1F33"/>
                </a:solidFill>
                <a:latin typeface="Calibri"/>
              </a:defRPr>
            </a:pPr>
            <a:r>
              <a:rPr lang="en-IN" sz="1050" b="1">
                <a:solidFill>
                  <a:srgbClr val="0A1F33"/>
                </a:solidFill>
                <a:latin typeface="Calibri"/>
              </a:rPr>
              <a:t>Monthly LPCD vs Benchmark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LPCD</c:v>
          </c:tx>
          <c:spPr>
            <a:gradFill>
              <a:gsLst>
                <a:gs pos="0">
                  <a:srgbClr val="4495E9"/>
                </a:gs>
                <a:gs pos="100000">
                  <a:srgbClr val="015DA7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MIS_Calc!$A$21:$A$32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MIS_Calc!$BX$21:$BX$32</c:f>
              <c:numCache>
                <c:formatCode>0.0;\-0.0;;</c:formatCode>
                <c:ptCount val="12"/>
                <c:pt idx="0">
                  <c:v>969.74317434602369</c:v>
                </c:pt>
                <c:pt idx="1">
                  <c:v>1742.0869381726102</c:v>
                </c:pt>
                <c:pt idx="2">
                  <c:v>474.55567732405774</c:v>
                </c:pt>
                <c:pt idx="3">
                  <c:v>537.37075332348593</c:v>
                </c:pt>
                <c:pt idx="4">
                  <c:v>633.89240958688708</c:v>
                </c:pt>
                <c:pt idx="5">
                  <c:v>319.74396848842935</c:v>
                </c:pt>
                <c:pt idx="6">
                  <c:v>229.49921379901843</c:v>
                </c:pt>
                <c:pt idx="7">
                  <c:v>334.15924143517418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3-42B7-A7BA-12DAA938E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lineChart>
        <c:grouping val="standard"/>
        <c:varyColors val="1"/>
        <c:ser>
          <c:idx val="1"/>
          <c:order val="1"/>
          <c:tx>
            <c:v>Benchmark</c:v>
          </c:tx>
          <c:spPr>
            <a:ln w="22225">
              <a:solidFill>
                <a:srgbClr val="C0392B"/>
              </a:solidFill>
              <a:prstDash val="dash"/>
            </a:ln>
          </c:spPr>
          <c:marker>
            <c:symbol val="none"/>
          </c:marker>
          <c:val>
            <c:numRef>
              <c:f>MIS_Calc!$CP$21:$CP$32</c:f>
              <c:numCache>
                <c:formatCode>General</c:formatCode>
                <c:ptCount val="12"/>
                <c:pt idx="0">
                  <c:v>135</c:v>
                </c:pt>
                <c:pt idx="1">
                  <c:v>135</c:v>
                </c:pt>
                <c:pt idx="2">
                  <c:v>135</c:v>
                </c:pt>
                <c:pt idx="3">
                  <c:v>135</c:v>
                </c:pt>
                <c:pt idx="4">
                  <c:v>135</c:v>
                </c:pt>
                <c:pt idx="5">
                  <c:v>135</c:v>
                </c:pt>
                <c:pt idx="6">
                  <c:v>135</c:v>
                </c:pt>
                <c:pt idx="7">
                  <c:v>135</c:v>
                </c:pt>
                <c:pt idx="8">
                  <c:v>135</c:v>
                </c:pt>
                <c:pt idx="9">
                  <c:v>135</c:v>
                </c:pt>
                <c:pt idx="10">
                  <c:v>135</c:v>
                </c:pt>
                <c:pt idx="11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03-42B7-A7BA-12DAA938E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>
                    <a:solidFill>
                      <a:srgbClr val="5D6D7E"/>
                    </a:solidFill>
                    <a:latin typeface="Calibri"/>
                  </a:defRPr>
                </a:pPr>
                <a:r>
                  <a:rPr lang="en-IN" sz="800" b="1">
                    <a:solidFill>
                      <a:srgbClr val="5D6D7E"/>
                    </a:solidFill>
                    <a:latin typeface="Calibri"/>
                  </a:rPr>
                  <a:t>Month (2026)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5E8E8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1">
                    <a:solidFill>
                      <a:srgbClr val="5D6D7E"/>
                    </a:solidFill>
                    <a:latin typeface="Calibri"/>
                  </a:defRPr>
                </a:pPr>
                <a:r>
                  <a:rPr lang="en-IN" sz="800" b="1">
                    <a:solidFill>
                      <a:srgbClr val="5D6D7E"/>
                    </a:solidFill>
                    <a:latin typeface="Calibri"/>
                  </a:rPr>
                  <a:t>Litres / person / day</a:t>
                </a:r>
              </a:p>
            </c:rich>
          </c:tx>
          <c:overlay val="0"/>
        </c:title>
        <c:numFmt formatCode="0.0;\-0.0;;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53595028011204482"/>
          <c:y val="8.6523752012882385E-2"/>
          <c:w val="0.41428057889822595"/>
          <c:h val="8.0102657004830921E-2"/>
        </c:manualLayout>
      </c:layout>
      <c:overlay val="1"/>
      <c:txPr>
        <a:bodyPr/>
        <a:lstStyle/>
        <a:p>
          <a:pPr>
            <a:defRPr sz="800" b="0">
              <a:solidFill>
                <a:srgbClr val="5D6D7E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A1F33"/>
                </a:solidFill>
                <a:latin typeface="Calibri"/>
              </a:defRPr>
            </a:pPr>
            <a:r>
              <a:rPr lang="en-IN" sz="1050" b="1">
                <a:solidFill>
                  <a:srgbClr val="0A1F33"/>
                </a:solidFill>
                <a:latin typeface="Calibri"/>
              </a:rPr>
              <a:t>Tracked OPEX per Person (₹) · HT bill + tech manpower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Tracked OPEX per person</c:v>
          </c:tx>
          <c:spPr>
            <a:gradFill>
              <a:gsLst>
                <a:gs pos="0">
                  <a:srgbClr val="8A51A2"/>
                </a:gs>
                <a:gs pos="100000">
                  <a:srgbClr val="541B69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rgbClr val="1B263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MIS_Calc!$A$21:$A$32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MIS_Calc!$CJ$21:$CJ$32</c:f>
              <c:numCache>
                <c:formatCode>#,##0;\-#,##0;;</c:formatCode>
                <c:ptCount val="12"/>
                <c:pt idx="0">
                  <c:v>1224.6426883308714</c:v>
                </c:pt>
                <c:pt idx="1">
                  <c:v>1364.4918759231905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9-49BF-8F18-CCBF96406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>
                    <a:solidFill>
                      <a:srgbClr val="5D6D7E"/>
                    </a:solidFill>
                    <a:latin typeface="Calibri"/>
                  </a:defRPr>
                </a:pPr>
                <a:r>
                  <a:rPr lang="en-IN" sz="800" b="1">
                    <a:solidFill>
                      <a:srgbClr val="5D6D7E"/>
                    </a:solidFill>
                    <a:latin typeface="Calibri"/>
                  </a:rPr>
                  <a:t>Month (2026)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FC9CA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5E8E8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1">
                    <a:solidFill>
                      <a:srgbClr val="5D6D7E"/>
                    </a:solidFill>
                    <a:latin typeface="Calibri"/>
                  </a:defRPr>
                </a:pPr>
                <a:r>
                  <a:rPr lang="en-IN" sz="800" b="1">
                    <a:solidFill>
                      <a:srgbClr val="5D6D7E"/>
                    </a:solidFill>
                    <a:latin typeface="Calibri"/>
                  </a:rPr>
                  <a:t>₹ / person / month</a:t>
                </a:r>
              </a:p>
            </c:rich>
          </c:tx>
          <c:overlay val="0"/>
        </c:title>
        <c:numFmt formatCode="#,##0;\-#,##0;;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5D6D7E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F172A"/>
                </a:solidFill>
                <a:latin typeface="Arial"/>
              </a:defRPr>
            </a:pPr>
            <a:r>
              <a:rPr lang="en-IN" sz="1050" b="1">
                <a:solidFill>
                  <a:srgbClr val="0F172A"/>
                </a:solidFill>
                <a:latin typeface="Arial"/>
              </a:rPr>
              <a:t>Complaints 2026 · received vs closed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Received</c:v>
          </c:tx>
          <c:spPr>
            <a:gradFill>
              <a:gsLst>
                <a:gs pos="0">
                  <a:srgbClr val="7C3AED"/>
                </a:gs>
                <a:gs pos="100000">
                  <a:srgbClr val="441F82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cat>
            <c:numRef>
              <c:f>'Complaints summary'!$B$8:$B$19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'Complaints summary'!$C$8:$C$19</c:f>
              <c:numCache>
                <c:formatCode>#,##0;\(#,##0\);"-"</c:formatCode>
                <c:ptCount val="12"/>
                <c:pt idx="0">
                  <c:v>144</c:v>
                </c:pt>
                <c:pt idx="1">
                  <c:v>122</c:v>
                </c:pt>
                <c:pt idx="5">
                  <c:v>155</c:v>
                </c:pt>
                <c:pt idx="6">
                  <c:v>168</c:v>
                </c:pt>
                <c:pt idx="7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3-4F73-ADE8-784EA909062A}"/>
            </c:ext>
          </c:extLst>
        </c:ser>
        <c:ser>
          <c:idx val="1"/>
          <c:order val="1"/>
          <c:tx>
            <c:v>Closed</c:v>
          </c:tx>
          <c:spPr>
            <a:gradFill>
              <a:gsLst>
                <a:gs pos="0">
                  <a:srgbClr val="059669"/>
                </a:gs>
                <a:gs pos="100000">
                  <a:srgbClr val="025239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cat>
            <c:numRef>
              <c:f>'Complaints summary'!$B$8:$B$19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'Complaints summary'!$F$8:$F$19</c:f>
              <c:numCache>
                <c:formatCode>#,##0;\(#,##0\);"-"</c:formatCode>
                <c:ptCount val="12"/>
                <c:pt idx="0">
                  <c:v>139</c:v>
                </c:pt>
                <c:pt idx="1">
                  <c:v>119</c:v>
                </c:pt>
                <c:pt idx="5">
                  <c:v>155</c:v>
                </c:pt>
                <c:pt idx="6">
                  <c:v>127</c:v>
                </c:pt>
                <c:pt idx="7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13-4F73-ADE8-784EA909062A}"/>
            </c:ext>
          </c:extLst>
        </c:ser>
        <c:ser>
          <c:idx val="2"/>
          <c:order val="2"/>
          <c:tx>
            <c:v>Pending</c:v>
          </c:tx>
          <c:spPr>
            <a:gradFill>
              <a:gsLst>
                <a:gs pos="0">
                  <a:srgbClr val="E11D48"/>
                </a:gs>
                <a:gs pos="100000">
                  <a:srgbClr val="7B0F27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cat>
            <c:numRef>
              <c:f>'Complaints summary'!$B$8:$B$19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'Complaints summary'!$I$8:$I$19</c:f>
              <c:numCache>
                <c:formatCode>#,##0;\(#,##0\);"-"</c:formatCode>
                <c:ptCount val="12"/>
                <c:pt idx="0">
                  <c:v>1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13-4F73-ADE8-784EA9090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525">
            <a:solidFill>
              <a:srgbClr val="EDF1F6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DF1F6"/>
              </a:solidFill>
              <a:prstDash val="dash"/>
            </a:ln>
          </c:spPr>
        </c:majorGridlines>
        <c:numFmt formatCode="#,##0;\(#,##0\);&quot;-&quot;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00" b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E2E8F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F172A"/>
                </a:solidFill>
                <a:latin typeface="Arial"/>
              </a:defRPr>
            </a:pPr>
            <a:r>
              <a:rPr lang="en-IN" sz="1050" b="1">
                <a:solidFill>
                  <a:srgbClr val="0F172A"/>
                </a:solidFill>
                <a:latin typeface="Arial"/>
              </a:rPr>
              <a:t>Monthly water flow · inlet → WTP → buildings (kL)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solidFill>
          <a:srgbClr val="E2E8F0"/>
        </a:solidFill>
        <a:ln>
          <a:noFill/>
          <a:prstDash val="solid"/>
        </a:ln>
      </c:spPr>
    </c:floor>
    <c:sideWall>
      <c:thickness val="0"/>
      <c:spPr>
        <a:noFill/>
        <a:ln>
          <a:noFill/>
          <a:prstDash val="solid"/>
        </a:ln>
      </c:spPr>
    </c:sideWall>
    <c:backWall>
      <c:thickness val="0"/>
      <c:spPr>
        <a:noFill/>
        <a:ln>
          <a:noFill/>
          <a:prstDash val="solid"/>
        </a:ln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v>Σ Inlet (borewells + STP)</c:v>
          </c:tx>
          <c:spPr>
            <a:gradFill rotWithShape="1">
              <a:gsLst>
                <a:gs pos="0">
                  <a:srgbClr val="85E6F5"/>
                </a:gs>
                <a:gs pos="35000">
                  <a:srgbClr val="22D3EE"/>
                </a:gs>
                <a:gs pos="100000">
                  <a:srgbClr val="127482"/>
                </a:gs>
              </a:gsLst>
              <a:lin ang="5400000" scaled="0"/>
            </a:gradFill>
            <a:ln>
              <a:noFill/>
              <a:prstDash val="solid"/>
            </a:ln>
            <a:sp3d prstMaterial="plastic"/>
          </c:spPr>
          <c:invertIfNegative val="1"/>
          <c:cat>
            <c:strRef>
              <c:f>'Building wise water'!$I$9:$T$9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'Building wise water'!$I$40:$T$40</c:f>
              <c:numCache>
                <c:formatCode>#,##0;\(#,##0\);"-"</c:formatCode>
                <c:ptCount val="12"/>
                <c:pt idx="0">
                  <c:v>18598</c:v>
                </c:pt>
                <c:pt idx="1">
                  <c:v>24956.67</c:v>
                </c:pt>
                <c:pt idx="2">
                  <c:v>22532.45</c:v>
                </c:pt>
                <c:pt idx="3">
                  <c:v>22254.49</c:v>
                </c:pt>
                <c:pt idx="4">
                  <c:v>23255.4</c:v>
                </c:pt>
                <c:pt idx="5">
                  <c:v>13457.59</c:v>
                </c:pt>
                <c:pt idx="6">
                  <c:v>17921.59</c:v>
                </c:pt>
                <c:pt idx="7">
                  <c:v>14678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D-4C44-B00F-3E0A99C5E271}"/>
            </c:ext>
          </c:extLst>
        </c:ser>
        <c:ser>
          <c:idx val="1"/>
          <c:order val="1"/>
          <c:tx>
            <c:v>WTP output</c:v>
          </c:tx>
          <c:spPr>
            <a:gradFill rotWithShape="1">
              <a:gsLst>
                <a:gs pos="0">
                  <a:srgbClr val="FCDB86"/>
                </a:gs>
                <a:gs pos="35000">
                  <a:srgbClr val="FBBF24"/>
                </a:gs>
                <a:gs pos="100000">
                  <a:srgbClr val="8A6913"/>
                </a:gs>
              </a:gsLst>
              <a:lin ang="5400000" scaled="0"/>
            </a:gradFill>
            <a:ln>
              <a:noFill/>
              <a:prstDash val="solid"/>
            </a:ln>
            <a:sp3d prstMaterial="plastic"/>
          </c:spPr>
          <c:invertIfNegative val="1"/>
          <c:cat>
            <c:strRef>
              <c:f>'Building wise water'!$I$9:$T$9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'Building wise water'!$I$33:$T$33</c:f>
              <c:numCache>
                <c:formatCode>#,##0;\(#,##0\);"-"</c:formatCode>
                <c:ptCount val="12"/>
                <c:pt idx="0">
                  <c:v>8770</c:v>
                </c:pt>
                <c:pt idx="1">
                  <c:v>14597</c:v>
                </c:pt>
                <c:pt idx="2">
                  <c:v>12927</c:v>
                </c:pt>
                <c:pt idx="3">
                  <c:v>12096</c:v>
                </c:pt>
                <c:pt idx="4">
                  <c:v>11615</c:v>
                </c:pt>
                <c:pt idx="5">
                  <c:v>7361</c:v>
                </c:pt>
                <c:pt idx="6">
                  <c:v>8310</c:v>
                </c:pt>
                <c:pt idx="7">
                  <c:v>10986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D-4C44-B00F-3E0A99C5E271}"/>
            </c:ext>
          </c:extLst>
        </c:ser>
        <c:ser>
          <c:idx val="2"/>
          <c:order val="2"/>
          <c:tx>
            <c:v>Σ Building sub-meters</c:v>
          </c:tx>
          <c:spPr>
            <a:gradFill rotWithShape="1">
              <a:gsLst>
                <a:gs pos="0">
                  <a:srgbClr val="CEBFFC"/>
                </a:gs>
                <a:gs pos="35000">
                  <a:srgbClr val="A78BFA"/>
                </a:gs>
                <a:gs pos="100000">
                  <a:srgbClr val="5B4C89"/>
                </a:gs>
              </a:gsLst>
              <a:lin ang="5400000" scaled="0"/>
            </a:gradFill>
            <a:ln>
              <a:noFill/>
              <a:prstDash val="solid"/>
            </a:ln>
            <a:sp3d prstMaterial="plastic"/>
          </c:spPr>
          <c:invertIfNegative val="1"/>
          <c:cat>
            <c:strRef>
              <c:f>'Building wise water'!$I$9:$T$9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'Building wise water'!$I$31:$T$31</c:f>
              <c:numCache>
                <c:formatCode>#,##0;\(#,##0\);"-"</c:formatCode>
                <c:ptCount val="12"/>
                <c:pt idx="0">
                  <c:v>3511</c:v>
                </c:pt>
                <c:pt idx="1">
                  <c:v>3737</c:v>
                </c:pt>
                <c:pt idx="2">
                  <c:v>4736</c:v>
                </c:pt>
                <c:pt idx="3">
                  <c:v>4529</c:v>
                </c:pt>
                <c:pt idx="4">
                  <c:v>4021</c:v>
                </c:pt>
                <c:pt idx="5">
                  <c:v>2574</c:v>
                </c:pt>
                <c:pt idx="6">
                  <c:v>6551</c:v>
                </c:pt>
                <c:pt idx="7">
                  <c:v>7028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9D-4C44-B00F-3E0A99C5E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gapDepth val="12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E2E8F0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75569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dash"/>
            </a:ln>
          </c:spPr>
        </c:majorGridlines>
        <c:numFmt formatCode="#,##0;\(#,##0\);&quot;-&quot;" sourceLinked="1"/>
        <c:majorTickMark val="none"/>
        <c:minorTickMark val="none"/>
        <c:tickLblPos val="nextTo"/>
        <c:spPr>
          <a:ln w="9525">
            <a:solidFill>
              <a:srgbClr val="E2E8F0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75569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</c:plotArea>
    <c:legend>
      <c:legendPos val="t"/>
      <c:overlay val="1"/>
      <c:txPr>
        <a:bodyPr/>
        <a:lstStyle/>
        <a:p>
          <a:pPr>
            <a:defRPr sz="800" b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gradFill>
      <a:gsLst>
        <a:gs pos="0">
          <a:srgbClr val="FFFFFF"/>
        </a:gs>
        <a:gs pos="100000">
          <a:srgbClr val="EEF3FA"/>
        </a:gs>
      </a:gsLst>
      <a:lin ang="5400000" scaled="0"/>
    </a:gradFill>
    <a:ln w="9525">
      <a:solidFill>
        <a:srgbClr val="CBD5E1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F172A"/>
                </a:solidFill>
                <a:latin typeface="Arial"/>
              </a:defRPr>
            </a:pPr>
            <a:r>
              <a:rPr lang="en-IN" sz="1050" b="1">
                <a:solidFill>
                  <a:srgbClr val="0F172A"/>
                </a:solidFill>
                <a:latin typeface="Arial"/>
              </a:rPr>
              <a:t>Buildings · 2026 YTD average vs baseline (kL/month)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Baseline (median 23–25)</c:v>
          </c:tx>
          <c:spPr>
            <a:gradFill rotWithShape="1">
              <a:gsLst>
                <a:gs pos="0">
                  <a:srgbClr val="C4CCD7"/>
                </a:gs>
                <a:gs pos="35000">
                  <a:srgbClr val="94A3B8"/>
                </a:gs>
                <a:gs pos="100000">
                  <a:srgbClr val="515965"/>
                </a:gs>
              </a:gsLst>
              <a:lin ang="0" scaled="0"/>
            </a:gradFill>
            <a:ln>
              <a:noFill/>
              <a:prstDash val="solid"/>
            </a:ln>
            <a:sp3d prstMaterial="plastic"/>
          </c:spPr>
          <c:invertIfNegative val="1"/>
          <c:cat>
            <c:strRef>
              <c:f>'Building wise water'!$C$11:$C$30</c:f>
              <c:strCache>
                <c:ptCount val="20"/>
                <c:pt idx="0">
                  <c:v>SR-1</c:v>
                </c:pt>
                <c:pt idx="1">
                  <c:v>SR-2</c:v>
                </c:pt>
                <c:pt idx="2">
                  <c:v>SR-3</c:v>
                </c:pt>
                <c:pt idx="3">
                  <c:v>SR-4</c:v>
                </c:pt>
                <c:pt idx="4">
                  <c:v>SR-9-10B1A</c:v>
                </c:pt>
                <c:pt idx="5">
                  <c:v>SR-9-10B1B</c:v>
                </c:pt>
                <c:pt idx="6">
                  <c:v>SR-11-12CA</c:v>
                </c:pt>
                <c:pt idx="7">
                  <c:v>SR-11-12CB</c:v>
                </c:pt>
                <c:pt idx="8">
                  <c:v>Junior School-1&amp;2</c:v>
                </c:pt>
                <c:pt idx="9">
                  <c:v>Junior School-3</c:v>
                </c:pt>
                <c:pt idx="10">
                  <c:v>Senior School-1</c:v>
                </c:pt>
                <c:pt idx="11">
                  <c:v>Senior School-2</c:v>
                </c:pt>
                <c:pt idx="12">
                  <c:v>Senior School-3</c:v>
                </c:pt>
                <c:pt idx="13">
                  <c:v>Academy Building</c:v>
                </c:pt>
                <c:pt idx="14">
                  <c:v>Commons</c:v>
                </c:pt>
                <c:pt idx="15">
                  <c:v>Swimming Pool</c:v>
                </c:pt>
                <c:pt idx="16">
                  <c:v>Athletic Centre</c:v>
                </c:pt>
                <c:pt idx="17">
                  <c:v>PCM</c:v>
                </c:pt>
                <c:pt idx="18">
                  <c:v>Nursery</c:v>
                </c:pt>
                <c:pt idx="19">
                  <c:v>Laundry</c:v>
                </c:pt>
              </c:strCache>
            </c:strRef>
          </c:cat>
          <c:val>
            <c:numRef>
              <c:f>'Building wise water'!$H$11:$H$30</c:f>
              <c:numCache>
                <c:formatCode>#,##0;\(#,##0\);"-"</c:formatCode>
                <c:ptCount val="20"/>
                <c:pt idx="0">
                  <c:v>388.5</c:v>
                </c:pt>
                <c:pt idx="1">
                  <c:v>199.333333333333</c:v>
                </c:pt>
                <c:pt idx="2">
                  <c:v>171.333333333333</c:v>
                </c:pt>
                <c:pt idx="3">
                  <c:v>162.083333333333</c:v>
                </c:pt>
                <c:pt idx="4">
                  <c:v>458.75</c:v>
                </c:pt>
                <c:pt idx="5">
                  <c:v>454.25</c:v>
                </c:pt>
                <c:pt idx="6">
                  <c:v>341.25</c:v>
                </c:pt>
                <c:pt idx="7">
                  <c:v>463.08333333333201</c:v>
                </c:pt>
                <c:pt idx="8">
                  <c:v>204.333333333333</c:v>
                </c:pt>
                <c:pt idx="9">
                  <c:v>308.66666666666703</c:v>
                </c:pt>
                <c:pt idx="10">
                  <c:v>367.5</c:v>
                </c:pt>
                <c:pt idx="11">
                  <c:v>33.8333333333333</c:v>
                </c:pt>
                <c:pt idx="12">
                  <c:v>98.9166666666667</c:v>
                </c:pt>
                <c:pt idx="13">
                  <c:v>8.75</c:v>
                </c:pt>
                <c:pt idx="14">
                  <c:v>183.25</c:v>
                </c:pt>
                <c:pt idx="15">
                  <c:v>452.91666666666703</c:v>
                </c:pt>
                <c:pt idx="16">
                  <c:v>467.16666666666703</c:v>
                </c:pt>
                <c:pt idx="17">
                  <c:v>1140.6666666666599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F-4157-A2BD-E9329DCFD4FC}"/>
            </c:ext>
          </c:extLst>
        </c:ser>
        <c:ser>
          <c:idx val="1"/>
          <c:order val="1"/>
          <c:tx>
            <c:v>Avg 2026 YTD</c:v>
          </c:tx>
          <c:spPr>
            <a:gradFill rotWithShape="1">
              <a:gsLst>
                <a:gs pos="0">
                  <a:srgbClr val="7ACDF2"/>
                </a:gs>
                <a:gs pos="35000">
                  <a:srgbClr val="0EA5E9"/>
                </a:gs>
                <a:gs pos="100000">
                  <a:srgbClr val="075A80"/>
                </a:gs>
              </a:gsLst>
              <a:lin ang="0" scaled="0"/>
            </a:gradFill>
            <a:ln>
              <a:noFill/>
              <a:prstDash val="solid"/>
            </a:ln>
            <a:sp3d prstMaterial="plastic"/>
          </c:spPr>
          <c:invertIfNegative val="1"/>
          <c:cat>
            <c:strRef>
              <c:f>'Building wise water'!$C$11:$C$30</c:f>
              <c:strCache>
                <c:ptCount val="20"/>
                <c:pt idx="0">
                  <c:v>SR-1</c:v>
                </c:pt>
                <c:pt idx="1">
                  <c:v>SR-2</c:v>
                </c:pt>
                <c:pt idx="2">
                  <c:v>SR-3</c:v>
                </c:pt>
                <c:pt idx="3">
                  <c:v>SR-4</c:v>
                </c:pt>
                <c:pt idx="4">
                  <c:v>SR-9-10B1A</c:v>
                </c:pt>
                <c:pt idx="5">
                  <c:v>SR-9-10B1B</c:v>
                </c:pt>
                <c:pt idx="6">
                  <c:v>SR-11-12CA</c:v>
                </c:pt>
                <c:pt idx="7">
                  <c:v>SR-11-12CB</c:v>
                </c:pt>
                <c:pt idx="8">
                  <c:v>Junior School-1&amp;2</c:v>
                </c:pt>
                <c:pt idx="9">
                  <c:v>Junior School-3</c:v>
                </c:pt>
                <c:pt idx="10">
                  <c:v>Senior School-1</c:v>
                </c:pt>
                <c:pt idx="11">
                  <c:v>Senior School-2</c:v>
                </c:pt>
                <c:pt idx="12">
                  <c:v>Senior School-3</c:v>
                </c:pt>
                <c:pt idx="13">
                  <c:v>Academy Building</c:v>
                </c:pt>
                <c:pt idx="14">
                  <c:v>Commons</c:v>
                </c:pt>
                <c:pt idx="15">
                  <c:v>Swimming Pool</c:v>
                </c:pt>
                <c:pt idx="16">
                  <c:v>Athletic Centre</c:v>
                </c:pt>
                <c:pt idx="17">
                  <c:v>PCM</c:v>
                </c:pt>
                <c:pt idx="18">
                  <c:v>Nursery</c:v>
                </c:pt>
                <c:pt idx="19">
                  <c:v>Laundry</c:v>
                </c:pt>
              </c:strCache>
            </c:strRef>
          </c:cat>
          <c:val>
            <c:numRef>
              <c:f>'Building wise water'!$U$11:$U$30</c:f>
              <c:numCache>
                <c:formatCode>#,##0;\(#,##0\);"-"</c:formatCode>
                <c:ptCount val="20"/>
                <c:pt idx="0">
                  <c:v>227.125</c:v>
                </c:pt>
                <c:pt idx="1">
                  <c:v>191.375</c:v>
                </c:pt>
                <c:pt idx="2">
                  <c:v>78.5</c:v>
                </c:pt>
                <c:pt idx="3">
                  <c:v>217.5</c:v>
                </c:pt>
                <c:pt idx="4">
                  <c:v>876.5</c:v>
                </c:pt>
                <c:pt idx="5">
                  <c:v>124.875</c:v>
                </c:pt>
                <c:pt idx="6">
                  <c:v>393.375</c:v>
                </c:pt>
                <c:pt idx="7">
                  <c:v>150.625</c:v>
                </c:pt>
                <c:pt idx="8">
                  <c:v>0.25</c:v>
                </c:pt>
                <c:pt idx="9">
                  <c:v>44.5</c:v>
                </c:pt>
                <c:pt idx="10">
                  <c:v>58.625</c:v>
                </c:pt>
                <c:pt idx="11">
                  <c:v>69.75</c:v>
                </c:pt>
                <c:pt idx="12">
                  <c:v>1.625</c:v>
                </c:pt>
                <c:pt idx="13">
                  <c:v>101.125</c:v>
                </c:pt>
                <c:pt idx="14">
                  <c:v>414.25</c:v>
                </c:pt>
                <c:pt idx="15">
                  <c:v>819.25</c:v>
                </c:pt>
                <c:pt idx="16">
                  <c:v>100.125</c:v>
                </c:pt>
                <c:pt idx="17">
                  <c:v>519.375</c:v>
                </c:pt>
                <c:pt idx="18">
                  <c:v>110.875</c:v>
                </c:pt>
                <c:pt idx="19">
                  <c:v>86.25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3F-4157-A2BD-E9329DCFD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solidFill>
              <a:srgbClr val="E2E8F0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75569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E2E8F0"/>
              </a:solidFill>
              <a:prstDash val="dash"/>
            </a:ln>
          </c:spPr>
        </c:majorGridlines>
        <c:numFmt formatCode="#,##0;\(#,##0\);&quot;-&quot;" sourceLinked="1"/>
        <c:majorTickMark val="none"/>
        <c:minorTickMark val="none"/>
        <c:tickLblPos val="nextTo"/>
        <c:spPr>
          <a:ln w="9525">
            <a:solidFill>
              <a:srgbClr val="E2E8F0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475569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00" b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gradFill>
      <a:gsLst>
        <a:gs pos="0">
          <a:srgbClr val="FFFFFF"/>
        </a:gs>
        <a:gs pos="100000">
          <a:srgbClr val="EEF3FA"/>
        </a:gs>
      </a:gsLst>
      <a:lin ang="5400000" scaled="0"/>
    </a:gradFill>
    <a:ln w="9525">
      <a:solidFill>
        <a:srgbClr val="CBD5E1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F172A"/>
                </a:solidFill>
                <a:latin typeface="Arial"/>
              </a:defRPr>
            </a:pPr>
            <a:r>
              <a:rPr lang="en-IN" sz="1050" b="1">
                <a:solidFill>
                  <a:srgbClr val="0F172A"/>
                </a:solidFill>
                <a:latin typeface="Arial"/>
              </a:rPr>
              <a:t>LPCD 2026 vs benchmark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LPCD</c:v>
          </c:tx>
          <c:spPr>
            <a:gradFill>
              <a:gsLst>
                <a:gs pos="0">
                  <a:srgbClr val="2563EB"/>
                </a:gs>
                <a:gs pos="100000">
                  <a:srgbClr val="143681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cat>
            <c:numRef>
              <c:f>LPCD!$B$8:$B$19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LPCD!$F$8:$F$19</c:f>
              <c:numCache>
                <c:formatCode>#,##0.0;\(#,##0.0\);"-"</c:formatCode>
                <c:ptCount val="12"/>
                <c:pt idx="0">
                  <c:v>969.74317434602369</c:v>
                </c:pt>
                <c:pt idx="1">
                  <c:v>1742.0869381726102</c:v>
                </c:pt>
                <c:pt idx="2">
                  <c:v>474.55567732405774</c:v>
                </c:pt>
                <c:pt idx="3">
                  <c:v>537.37075332348593</c:v>
                </c:pt>
                <c:pt idx="4">
                  <c:v>633.89240958688708</c:v>
                </c:pt>
                <c:pt idx="5">
                  <c:v>319.74396848842935</c:v>
                </c:pt>
                <c:pt idx="6">
                  <c:v>229.49921379901843</c:v>
                </c:pt>
                <c:pt idx="7">
                  <c:v>334.15924143517418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B-40AF-9068-E8E01B68E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lineChart>
        <c:grouping val="standard"/>
        <c:varyColors val="1"/>
        <c:ser>
          <c:idx val="1"/>
          <c:order val="1"/>
          <c:tx>
            <c:v>Benchmark</c:v>
          </c:tx>
          <c:spPr>
            <a:ln w="1905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numRef>
              <c:f>LPCD!$B$8:$B$19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LPCD!$E$8:$E$19</c:f>
              <c:numCache>
                <c:formatCode>0</c:formatCode>
                <c:ptCount val="12"/>
                <c:pt idx="0">
                  <c:v>135</c:v>
                </c:pt>
                <c:pt idx="1">
                  <c:v>135</c:v>
                </c:pt>
                <c:pt idx="2">
                  <c:v>135</c:v>
                </c:pt>
                <c:pt idx="3">
                  <c:v>135</c:v>
                </c:pt>
                <c:pt idx="4">
                  <c:v>135</c:v>
                </c:pt>
                <c:pt idx="5">
                  <c:v>135</c:v>
                </c:pt>
                <c:pt idx="6">
                  <c:v>135</c:v>
                </c:pt>
                <c:pt idx="7">
                  <c:v>135</c:v>
                </c:pt>
                <c:pt idx="8">
                  <c:v>135</c:v>
                </c:pt>
                <c:pt idx="9">
                  <c:v>135</c:v>
                </c:pt>
                <c:pt idx="10">
                  <c:v>135</c:v>
                </c:pt>
                <c:pt idx="11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7B-40AF-9068-E8E01B68E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525">
            <a:solidFill>
              <a:srgbClr val="EDF1F6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DF1F6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00" b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E2E8F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F172A"/>
                </a:solidFill>
                <a:latin typeface="Arial"/>
              </a:defRPr>
            </a:pPr>
            <a:r>
              <a:rPr lang="en-IN" sz="1050" b="1">
                <a:solidFill>
                  <a:srgbClr val="0F172A"/>
                </a:solidFill>
                <a:latin typeface="Arial"/>
              </a:rPr>
              <a:t>EPI 2026 vs benchmark (kWh/m²)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EPI</c:v>
          </c:tx>
          <c:spPr>
            <a:gradFill>
              <a:gsLst>
                <a:gs pos="0">
                  <a:srgbClr val="D97706"/>
                </a:gs>
                <a:gs pos="100000">
                  <a:srgbClr val="774103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cat>
            <c:numRef>
              <c:f>EPI!$B$7:$B$18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EPI!$D$7:$D$18</c:f>
              <c:numCache>
                <c:formatCode>#,##0.00;\(#,##0.00\);"-"</c:formatCode>
                <c:ptCount val="12"/>
                <c:pt idx="0">
                  <c:v>1.2649028088692598</c:v>
                </c:pt>
                <c:pt idx="1">
                  <c:v>1.8182692989475593</c:v>
                </c:pt>
                <c:pt idx="2">
                  <c:v>2.3769916838021521</c:v>
                </c:pt>
                <c:pt idx="3">
                  <c:v>3.7617753714939757</c:v>
                </c:pt>
                <c:pt idx="4">
                  <c:v>4.2190776212230157</c:v>
                </c:pt>
                <c:pt idx="5">
                  <c:v>1.3847836876918238</c:v>
                </c:pt>
                <c:pt idx="6">
                  <c:v>2.3295863172715565</c:v>
                </c:pt>
                <c:pt idx="7">
                  <c:v>2.7801652097282279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1-4215-A07B-193580B68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lineChart>
        <c:grouping val="standard"/>
        <c:varyColors val="1"/>
        <c:ser>
          <c:idx val="1"/>
          <c:order val="1"/>
          <c:tx>
            <c:v>Benchmark</c:v>
          </c:tx>
          <c:spPr>
            <a:ln w="1905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numRef>
              <c:f>EPI!$B$7:$B$18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EPI!$C$7:$C$18</c:f>
              <c:numCache>
                <c:formatCode>0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1-4215-A07B-193580B68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525">
            <a:solidFill>
              <a:srgbClr val="EDF1F6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DF1F6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00" b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E2E8F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F172A"/>
                </a:solidFill>
                <a:latin typeface="Arial"/>
              </a:defRPr>
            </a:pPr>
            <a:r>
              <a:rPr lang="en-IN" sz="1050" b="1">
                <a:solidFill>
                  <a:srgbClr val="0F172A"/>
                </a:solidFill>
                <a:latin typeface="Arial"/>
              </a:rPr>
              <a:t>HT energy 2026 (kWh)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kWh</c:v>
          </c:tx>
          <c:spPr>
            <a:gradFill>
              <a:gsLst>
                <a:gs pos="0">
                  <a:srgbClr val="D97706"/>
                </a:gs>
                <a:gs pos="100000">
                  <a:srgbClr val="774103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cat>
            <c:numRef>
              <c:f>'Power data'!$B$7:$B$18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'Power data'!$C$7:$C$18</c:f>
              <c:numCache>
                <c:formatCode>#,##0;\(#,##0\);"-"</c:formatCode>
                <c:ptCount val="12"/>
                <c:pt idx="0">
                  <c:v>66600</c:v>
                </c:pt>
                <c:pt idx="1">
                  <c:v>95736</c:v>
                </c:pt>
                <c:pt idx="2">
                  <c:v>125154</c:v>
                </c:pt>
                <c:pt idx="3">
                  <c:v>198066</c:v>
                </c:pt>
                <c:pt idx="4">
                  <c:v>222144</c:v>
                </c:pt>
                <c:pt idx="5">
                  <c:v>72912</c:v>
                </c:pt>
                <c:pt idx="6">
                  <c:v>122658</c:v>
                </c:pt>
                <c:pt idx="7">
                  <c:v>146382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D-4501-9511-928F1874E5F9}"/>
            </c:ext>
          </c:extLst>
        </c:ser>
        <c:ser>
          <c:idx val="1"/>
          <c:order val="1"/>
          <c:tx>
            <c:v>kVAh</c:v>
          </c:tx>
          <c:spPr>
            <a:gradFill>
              <a:gsLst>
                <a:gs pos="0">
                  <a:srgbClr val="475569"/>
                </a:gs>
                <a:gs pos="100000">
                  <a:srgbClr val="272E39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cat>
            <c:numRef>
              <c:f>'Power data'!$B$7:$B$18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'Power data'!$D$7:$D$18</c:f>
              <c:numCache>
                <c:formatCode>#,##0;\(#,##0\);"-"</c:formatCode>
                <c:ptCount val="12"/>
                <c:pt idx="0">
                  <c:v>78804</c:v>
                </c:pt>
                <c:pt idx="1">
                  <c:v>100326</c:v>
                </c:pt>
                <c:pt idx="2">
                  <c:v>129780</c:v>
                </c:pt>
                <c:pt idx="3">
                  <c:v>204438</c:v>
                </c:pt>
                <c:pt idx="4">
                  <c:v>226842</c:v>
                </c:pt>
                <c:pt idx="5">
                  <c:v>75684</c:v>
                </c:pt>
                <c:pt idx="6">
                  <c:v>126318</c:v>
                </c:pt>
                <c:pt idx="7">
                  <c:v>156360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8D-4501-9511-928F1874E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525">
            <a:solidFill>
              <a:srgbClr val="EDF1F6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DF1F6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00" b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E2E8F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F172A"/>
                </a:solidFill>
                <a:latin typeface="Arial"/>
              </a:defRPr>
            </a:pPr>
            <a:r>
              <a:rPr lang="en-IN" sz="1050" b="1">
                <a:solidFill>
                  <a:srgbClr val="0F172A"/>
                </a:solidFill>
                <a:latin typeface="Arial"/>
              </a:rPr>
              <a:t>Solar export to grid (kWh)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Export</c:v>
          </c:tx>
          <c:spPr>
            <a:gradFill>
              <a:gsLst>
                <a:gs pos="0">
                  <a:srgbClr val="059669"/>
                </a:gs>
                <a:gs pos="100000">
                  <a:srgbClr val="025239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cat>
            <c:numRef>
              <c:f>'Solar Power'!$B$5:$B$16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'Solar Power'!$C$5:$C$16</c:f>
              <c:numCache>
                <c:formatCode>#,##0;\(#,##0\);"-"</c:formatCode>
                <c:ptCount val="12"/>
                <c:pt idx="0">
                  <c:v>89214</c:v>
                </c:pt>
                <c:pt idx="1">
                  <c:v>112176</c:v>
                </c:pt>
                <c:pt idx="2">
                  <c:v>144102</c:v>
                </c:pt>
                <c:pt idx="3">
                  <c:v>227564</c:v>
                </c:pt>
                <c:pt idx="4">
                  <c:v>131666</c:v>
                </c:pt>
                <c:pt idx="5">
                  <c:v>128018</c:v>
                </c:pt>
                <c:pt idx="6">
                  <c:v>100380</c:v>
                </c:pt>
                <c:pt idx="7">
                  <c:v>115911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4-4587-AD97-F3DD47368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525">
            <a:solidFill>
              <a:srgbClr val="EDF1F6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DF1F6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800" b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E2E8F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F172A"/>
                </a:solidFill>
                <a:latin typeface="Arial"/>
              </a:defRPr>
            </a:pPr>
            <a:r>
              <a:rPr lang="en-IN" sz="1050" b="1">
                <a:solidFill>
                  <a:srgbClr val="0F172A"/>
                </a:solidFill>
                <a:latin typeface="Arial"/>
              </a:rPr>
              <a:t>Solar generation by month (all plants)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Generation kWh</c:v>
          </c:tx>
          <c:spPr>
            <a:gradFill>
              <a:gsLst>
                <a:gs pos="0">
                  <a:srgbClr val="D97706"/>
                </a:gs>
                <a:gs pos="100000">
                  <a:srgbClr val="774103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cat>
            <c:numRef>
              <c:f>'Solar Power'!$C$20:$N$20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'Solar Power'!$C$32:$N$32</c:f>
              <c:numCache>
                <c:formatCode>#,##0;\(#,##0\);"-"</c:formatCode>
                <c:ptCount val="12"/>
                <c:pt idx="0">
                  <c:v>95805.700000000012</c:v>
                </c:pt>
                <c:pt idx="1">
                  <c:v>119500.8</c:v>
                </c:pt>
                <c:pt idx="2">
                  <c:v>152604.70000000001</c:v>
                </c:pt>
                <c:pt idx="3">
                  <c:v>136018.1</c:v>
                </c:pt>
                <c:pt idx="4">
                  <c:v>145805.6</c:v>
                </c:pt>
                <c:pt idx="5">
                  <c:v>128018</c:v>
                </c:pt>
                <c:pt idx="6">
                  <c:v>100380</c:v>
                </c:pt>
                <c:pt idx="7">
                  <c:v>115911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0-4A7E-8A03-3FD289006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525">
            <a:solidFill>
              <a:srgbClr val="EDF1F6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DF1F6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800" b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E2E8F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F172A"/>
                </a:solidFill>
                <a:latin typeface="Arial"/>
              </a:defRPr>
            </a:pPr>
            <a:r>
              <a:rPr lang="en-IN" sz="1050" b="1">
                <a:solidFill>
                  <a:srgbClr val="0F172A"/>
                </a:solidFill>
                <a:latin typeface="Arial"/>
              </a:rPr>
              <a:t>HVAC total 2026 (kWh)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 kWh</c:v>
          </c:tx>
          <c:spPr>
            <a:gradFill>
              <a:gsLst>
                <a:gs pos="0">
                  <a:srgbClr val="0891B2"/>
                </a:gs>
                <a:gs pos="100000">
                  <a:srgbClr val="044F61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cat>
            <c:numRef>
              <c:f>'HVAC consumption'!$B$8:$B$19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'HVAC consumption'!$N$8:$N$19</c:f>
              <c:numCache>
                <c:formatCode>#,##0;\(#,##0\);"-"</c:formatCode>
                <c:ptCount val="12"/>
                <c:pt idx="0">
                  <c:v>4655.8000000000065</c:v>
                </c:pt>
                <c:pt idx="1">
                  <c:v>12822</c:v>
                </c:pt>
                <c:pt idx="2">
                  <c:v>38150</c:v>
                </c:pt>
                <c:pt idx="3">
                  <c:v>62374</c:v>
                </c:pt>
                <c:pt idx="4">
                  <c:v>23976.400000000001</c:v>
                </c:pt>
                <c:pt idx="5">
                  <c:v>11970.4</c:v>
                </c:pt>
                <c:pt idx="6">
                  <c:v>28833.299999999996</c:v>
                </c:pt>
                <c:pt idx="7">
                  <c:v>21957.88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0-45F0-AA65-863694E60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525">
            <a:solidFill>
              <a:srgbClr val="EDF1F6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DF1F6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800" b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E2E8F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F172A"/>
                </a:solidFill>
                <a:latin typeface="Arial"/>
              </a:defRPr>
            </a:pPr>
            <a:r>
              <a:rPr lang="en-IN" sz="1050" b="1">
                <a:solidFill>
                  <a:srgbClr val="0F172A"/>
                </a:solidFill>
                <a:latin typeface="Arial"/>
              </a:rPr>
              <a:t>Sodexo technical · invoice vs budget (₹'000)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Invoice</c:v>
          </c:tx>
          <c:spPr>
            <a:gradFill>
              <a:gsLst>
                <a:gs pos="0">
                  <a:srgbClr val="7C3AED"/>
                </a:gs>
                <a:gs pos="100000">
                  <a:srgbClr val="441F82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cat>
            <c:numRef>
              <c:f>'Technical manpower cost'!$D$52:$D$63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'Technical manpower cost'!$E$52:$E$63</c:f>
              <c:numCache>
                <c:formatCode>#,##0.00;\(#,##0.00\);"-"</c:formatCode>
                <c:ptCount val="12"/>
                <c:pt idx="0">
                  <c:v>728.279</c:v>
                </c:pt>
                <c:pt idx="1">
                  <c:v>747.92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E-4905-BB9F-0437411A7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lineChart>
        <c:grouping val="standard"/>
        <c:varyColors val="1"/>
        <c:ser>
          <c:idx val="1"/>
          <c:order val="1"/>
          <c:tx>
            <c:v>Budget</c:v>
          </c:tx>
          <c:spPr>
            <a:ln w="1905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numRef>
              <c:f>'Technical manpower cost'!$D$52:$D$63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'Technical manpower cost'!$F$52:$F$63</c:f>
              <c:numCache>
                <c:formatCode>#,##0.00;\(#,##0.00\);"-"</c:formatCode>
                <c:ptCount val="12"/>
                <c:pt idx="0">
                  <c:v>1079.5316666666699</c:v>
                </c:pt>
                <c:pt idx="1">
                  <c:v>1079.5316666666699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5E-4905-BB9F-0437411A7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525">
            <a:solidFill>
              <a:srgbClr val="EDF1F6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DF1F6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00" b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E2E8F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F172A"/>
                </a:solidFill>
                <a:latin typeface="Arial"/>
              </a:defRPr>
            </a:pPr>
            <a:r>
              <a:rPr lang="en-IN" sz="1050" b="1">
                <a:solidFill>
                  <a:srgbClr val="0F172A"/>
                </a:solidFill>
                <a:latin typeface="Arial"/>
              </a:rPr>
              <a:t>Deployment %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Deployment %</c:v>
          </c:tx>
          <c:spPr>
            <a:gradFill>
              <a:gsLst>
                <a:gs pos="0">
                  <a:srgbClr val="7C3AED"/>
                </a:gs>
                <a:gs pos="100000">
                  <a:srgbClr val="441F82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cat>
            <c:numRef>
              <c:f>Attendance!$B$8:$B$19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Attendance!$E$8:$E$19</c:f>
              <c:numCache>
                <c:formatCode>0.0%;\(0.0%\);"-"</c:formatCode>
                <c:ptCount val="12"/>
                <c:pt idx="0">
                  <c:v>0.87045813586097942</c:v>
                </c:pt>
                <c:pt idx="1">
                  <c:v>0.82015503875968987</c:v>
                </c:pt>
                <c:pt idx="2">
                  <c:v>0.83460949464012246</c:v>
                </c:pt>
                <c:pt idx="3">
                  <c:v>0.78402366863905326</c:v>
                </c:pt>
                <c:pt idx="4">
                  <c:v>0.83969465648854957</c:v>
                </c:pt>
                <c:pt idx="5">
                  <c:v>0.87481146304675717</c:v>
                </c:pt>
                <c:pt idx="6">
                  <c:v>0.93848580441640383</c:v>
                </c:pt>
                <c:pt idx="7">
                  <c:v>0.84843749999999996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4-4783-91C2-52FD9A0CE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525">
            <a:solidFill>
              <a:srgbClr val="EDF1F6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DF1F6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800" b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E2E8F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50" b="1">
                <a:solidFill>
                  <a:srgbClr val="0F172A"/>
                </a:solidFill>
                <a:latin typeface="Arial"/>
              </a:defRPr>
            </a:pPr>
            <a:r>
              <a:rPr lang="en-IN" sz="1050" b="1">
                <a:solidFill>
                  <a:srgbClr val="0F172A"/>
                </a:solidFill>
                <a:latin typeface="Arial"/>
              </a:rPr>
              <a:t>DG units 2026 (kWh)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500 kVA</c:v>
          </c:tx>
          <c:spPr>
            <a:gradFill>
              <a:gsLst>
                <a:gs pos="0">
                  <a:srgbClr val="E11D48"/>
                </a:gs>
                <a:gs pos="100000">
                  <a:srgbClr val="7B0F27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cat>
            <c:numRef>
              <c:f>'DG Units Generated'!$B$8:$B$19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'DG Units Generated'!$C$8:$C$19</c:f>
              <c:numCache>
                <c:formatCode>#,##0.0;\(#,##0.0\);"-"</c:formatCode>
                <c:ptCount val="12"/>
                <c:pt idx="0">
                  <c:v>4325</c:v>
                </c:pt>
                <c:pt idx="1">
                  <c:v>770</c:v>
                </c:pt>
                <c:pt idx="2">
                  <c:v>44</c:v>
                </c:pt>
                <c:pt idx="3">
                  <c:v>86</c:v>
                </c:pt>
                <c:pt idx="4">
                  <c:v>88</c:v>
                </c:pt>
                <c:pt idx="5">
                  <c:v>60</c:v>
                </c:pt>
                <c:pt idx="6">
                  <c:v>78</c:v>
                </c:pt>
                <c:pt idx="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D-4FB6-AAFB-17AA98186506}"/>
            </c:ext>
          </c:extLst>
        </c:ser>
        <c:ser>
          <c:idx val="1"/>
          <c:order val="1"/>
          <c:tx>
            <c:v>750 kVA</c:v>
          </c:tx>
          <c:spPr>
            <a:gradFill>
              <a:gsLst>
                <a:gs pos="0">
                  <a:srgbClr val="D97706"/>
                </a:gs>
                <a:gs pos="100000">
                  <a:srgbClr val="774103"/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1"/>
          <c:cat>
            <c:numRef>
              <c:f>'DG Units Generated'!$B$8:$B$19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'DG Units Generated'!$D$8:$D$19</c:f>
              <c:numCache>
                <c:formatCode>#,##0.0;\(#,##0.0\);"-"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DD-4FB6-AAFB-17AA98186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525">
            <a:solidFill>
              <a:srgbClr val="EDF1F6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DF1F6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overlay val="1"/>
      <c:txPr>
        <a:bodyPr/>
        <a:lstStyle/>
        <a:p>
          <a:pPr>
            <a:defRPr sz="800" b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E2E8F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12" Type="http://schemas.openxmlformats.org/officeDocument/2006/relationships/chart" Target="../charts/chart30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9.xml"/><Relationship Id="rId5" Type="http://schemas.openxmlformats.org/officeDocument/2006/relationships/chart" Target="../charts/chart23.xml"/><Relationship Id="rId10" Type="http://schemas.openxmlformats.org/officeDocument/2006/relationships/chart" Target="../charts/chart28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0</xdr:rowOff>
    </xdr:from>
    <xdr:ext cx="4284000" cy="243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14</xdr:row>
      <xdr:rowOff>0</xdr:rowOff>
    </xdr:from>
    <xdr:ext cx="4284000" cy="243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17</xdr:col>
      <xdr:colOff>0</xdr:colOff>
      <xdr:row>14</xdr:row>
      <xdr:rowOff>0</xdr:rowOff>
    </xdr:from>
    <xdr:ext cx="4284000" cy="243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28</xdr:row>
      <xdr:rowOff>0</xdr:rowOff>
    </xdr:from>
    <xdr:ext cx="4284000" cy="243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9</xdr:col>
      <xdr:colOff>0</xdr:colOff>
      <xdr:row>28</xdr:row>
      <xdr:rowOff>0</xdr:rowOff>
    </xdr:from>
    <xdr:ext cx="4284000" cy="243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17</xdr:col>
      <xdr:colOff>0</xdr:colOff>
      <xdr:row>28</xdr:row>
      <xdr:rowOff>0</xdr:rowOff>
    </xdr:from>
    <xdr:ext cx="4284000" cy="243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</xdr:col>
      <xdr:colOff>0</xdr:colOff>
      <xdr:row>42</xdr:row>
      <xdr:rowOff>0</xdr:rowOff>
    </xdr:from>
    <xdr:ext cx="4284000" cy="243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9</xdr:col>
      <xdr:colOff>0</xdr:colOff>
      <xdr:row>42</xdr:row>
      <xdr:rowOff>0</xdr:rowOff>
    </xdr:from>
    <xdr:ext cx="4284000" cy="243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17</xdr:col>
      <xdr:colOff>0</xdr:colOff>
      <xdr:row>42</xdr:row>
      <xdr:rowOff>0</xdr:rowOff>
    </xdr:from>
    <xdr:ext cx="4284000" cy="243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</xdr:col>
      <xdr:colOff>0</xdr:colOff>
      <xdr:row>56</xdr:row>
      <xdr:rowOff>0</xdr:rowOff>
    </xdr:from>
    <xdr:ext cx="4284000" cy="243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9</xdr:col>
      <xdr:colOff>0</xdr:colOff>
      <xdr:row>56</xdr:row>
      <xdr:rowOff>0</xdr:rowOff>
    </xdr:from>
    <xdr:ext cx="4284000" cy="243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17</xdr:col>
      <xdr:colOff>0</xdr:colOff>
      <xdr:row>56</xdr:row>
      <xdr:rowOff>0</xdr:rowOff>
    </xdr:from>
    <xdr:ext cx="4284000" cy="243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1</xdr:col>
      <xdr:colOff>0</xdr:colOff>
      <xdr:row>70</xdr:row>
      <xdr:rowOff>0</xdr:rowOff>
    </xdr:from>
    <xdr:ext cx="4284000" cy="243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9</xdr:col>
      <xdr:colOff>0</xdr:colOff>
      <xdr:row>70</xdr:row>
      <xdr:rowOff>0</xdr:rowOff>
    </xdr:from>
    <xdr:ext cx="4284000" cy="243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17</xdr:col>
      <xdr:colOff>0</xdr:colOff>
      <xdr:row>70</xdr:row>
      <xdr:rowOff>0</xdr:rowOff>
    </xdr:from>
    <xdr:ext cx="4284000" cy="243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1</xdr:col>
      <xdr:colOff>0</xdr:colOff>
      <xdr:row>84</xdr:row>
      <xdr:rowOff>0</xdr:rowOff>
    </xdr:from>
    <xdr:ext cx="4284000" cy="243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9</xdr:col>
      <xdr:colOff>0</xdr:colOff>
      <xdr:row>84</xdr:row>
      <xdr:rowOff>0</xdr:rowOff>
    </xdr:from>
    <xdr:ext cx="4284000" cy="243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17</xdr:col>
      <xdr:colOff>0</xdr:colOff>
      <xdr:row>84</xdr:row>
      <xdr:rowOff>0</xdr:rowOff>
    </xdr:from>
    <xdr:ext cx="4284000" cy="243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31</xdr:row>
      <xdr:rowOff>0</xdr:rowOff>
    </xdr:from>
    <xdr:ext cx="4284000" cy="2484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31</xdr:row>
      <xdr:rowOff>0</xdr:rowOff>
    </xdr:from>
    <xdr:ext cx="4284000" cy="2484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17</xdr:col>
      <xdr:colOff>0</xdr:colOff>
      <xdr:row>31</xdr:row>
      <xdr:rowOff>0</xdr:rowOff>
    </xdr:from>
    <xdr:ext cx="4284000" cy="2484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46</xdr:row>
      <xdr:rowOff>0</xdr:rowOff>
    </xdr:from>
    <xdr:ext cx="4284000" cy="2484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9</xdr:col>
      <xdr:colOff>0</xdr:colOff>
      <xdr:row>46</xdr:row>
      <xdr:rowOff>0</xdr:rowOff>
    </xdr:from>
    <xdr:ext cx="4284000" cy="2484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17</xdr:col>
      <xdr:colOff>0</xdr:colOff>
      <xdr:row>46</xdr:row>
      <xdr:rowOff>0</xdr:rowOff>
    </xdr:from>
    <xdr:ext cx="4284000" cy="2484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</xdr:col>
      <xdr:colOff>0</xdr:colOff>
      <xdr:row>61</xdr:row>
      <xdr:rowOff>0</xdr:rowOff>
    </xdr:from>
    <xdr:ext cx="4284000" cy="2484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9</xdr:col>
      <xdr:colOff>0</xdr:colOff>
      <xdr:row>61</xdr:row>
      <xdr:rowOff>0</xdr:rowOff>
    </xdr:from>
    <xdr:ext cx="4284000" cy="2484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17</xdr:col>
      <xdr:colOff>0</xdr:colOff>
      <xdr:row>61</xdr:row>
      <xdr:rowOff>0</xdr:rowOff>
    </xdr:from>
    <xdr:ext cx="4284000" cy="2484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</xdr:col>
      <xdr:colOff>0</xdr:colOff>
      <xdr:row>76</xdr:row>
      <xdr:rowOff>0</xdr:rowOff>
    </xdr:from>
    <xdr:ext cx="4284000" cy="2484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9</xdr:col>
      <xdr:colOff>0</xdr:colOff>
      <xdr:row>76</xdr:row>
      <xdr:rowOff>0</xdr:rowOff>
    </xdr:from>
    <xdr:ext cx="4284000" cy="2484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17</xdr:col>
      <xdr:colOff>0</xdr:colOff>
      <xdr:row>76</xdr:row>
      <xdr:rowOff>0</xdr:rowOff>
    </xdr:from>
    <xdr:ext cx="4284000" cy="2484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45720</xdr:colOff>
      <xdr:row>2</xdr:row>
      <xdr:rowOff>45720</xdr:rowOff>
    </xdr:from>
    <xdr:to>
      <xdr:col>17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18</xdr:col>
      <xdr:colOff>0</xdr:colOff>
      <xdr:row>2</xdr:row>
      <xdr:rowOff>0</xdr:rowOff>
    </xdr:from>
    <xdr:ext cx="5010150" cy="4095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52</xdr:row>
      <xdr:rowOff>0</xdr:rowOff>
    </xdr:from>
    <xdr:ext cx="702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72</xdr:row>
      <xdr:rowOff>0</xdr:rowOff>
    </xdr:from>
    <xdr:ext cx="7020000" cy="45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</xdr:colOff>
      <xdr:row>3</xdr:row>
      <xdr:rowOff>45720</xdr:rowOff>
    </xdr:from>
    <xdr:to>
      <xdr:col>14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</xdr:colOff>
      <xdr:row>3</xdr:row>
      <xdr:rowOff>45720</xdr:rowOff>
    </xdr:from>
    <xdr:to>
      <xdr:col>13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45720</xdr:colOff>
      <xdr:row>2</xdr:row>
      <xdr:rowOff>45720</xdr:rowOff>
    </xdr:from>
    <xdr:to>
      <xdr:col>18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45720</xdr:colOff>
      <xdr:row>2</xdr:row>
      <xdr:rowOff>45720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45720</xdr:colOff>
      <xdr:row>41</xdr:row>
      <xdr:rowOff>45720</xdr:rowOff>
    </xdr:from>
    <xdr:to>
      <xdr:col>8</xdr:col>
      <xdr:colOff>0</xdr:colOff>
      <xdr:row>58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22</xdr:row>
      <xdr:rowOff>45720</xdr:rowOff>
    </xdr:from>
    <xdr:to>
      <xdr:col>8</xdr:col>
      <xdr:colOff>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67</xdr:row>
      <xdr:rowOff>45720</xdr:rowOff>
    </xdr:from>
    <xdr:to>
      <xdr:col>7</xdr:col>
      <xdr:colOff>0</xdr:colOff>
      <xdr:row>86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22</xdr:row>
      <xdr:rowOff>45720</xdr:rowOff>
    </xdr:from>
    <xdr:to>
      <xdr:col>8</xdr:col>
      <xdr:colOff>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45720</xdr:colOff>
      <xdr:row>2</xdr:row>
      <xdr:rowOff>45720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PCDTable" displayName="LPCDTable" ref="B4:F19" totalsRowShown="0">
  <tableColumns count="5">
    <tableColumn id="1" xr3:uid="{00000000-0010-0000-0100-000001000000}" name="Month"/>
    <tableColumn id="2" xr3:uid="{00000000-0010-0000-0100-000002000000}" name="Water Consumption in Ltrs"/>
    <tableColumn id="3" xr3:uid="{00000000-0010-0000-0100-000003000000}" name="No. of occupants"/>
    <tableColumn id="4" xr3:uid="{00000000-0010-0000-0100-000004000000}" name="Benchmark"/>
    <tableColumn id="5" xr3:uid="{00000000-0010-0000-0100-000005000000}" name="LPC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PITable" displayName="EPITable" ref="B4:D18" totalsRowShown="0">
  <tableColumns count="3">
    <tableColumn id="1" xr3:uid="{00000000-0010-0000-0200-000001000000}" name="Month"/>
    <tableColumn id="2" xr3:uid="{00000000-0010-0000-0200-000002000000}" name="Benchmark"/>
    <tableColumn id="3" xr3:uid="{00000000-0010-0000-0200-000003000000}" name="kWh/Sq.m/mont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owerDataTable" displayName="PowerDataTable" ref="B3:I18" totalsRowShown="0">
  <tableColumns count="8">
    <tableColumn id="1" xr3:uid="{00000000-0010-0000-0300-000001000000}" name="Month"/>
    <tableColumn id="2" xr3:uid="{00000000-0010-0000-0300-000002000000}" name="HT Units in kWh"/>
    <tableColumn id="3" xr3:uid="{00000000-0010-0000-0300-000003000000}" name="HT Units in kVAH"/>
    <tableColumn id="4" xr3:uid="{00000000-0010-0000-0300-000004000000}" name="PF"/>
    <tableColumn id="5" xr3:uid="{00000000-0010-0000-0300-000005000000}" name="Amount"/>
    <tableColumn id="6" xr3:uid="{00000000-0010-0000-0300-000006000000}" name="Unit Rate"/>
    <tableColumn id="7" xr3:uid="{00000000-0010-0000-0300-000007000000}" name="MD-Recorded"/>
    <tableColumn id="8" xr3:uid="{00000000-0010-0000-0300-000008000000}" name="Sanctioned M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owerBuildingTable" displayName="PowerBuildingTable" ref="A2:Q27" totalsRowShown="0">
  <tableColumns count="17">
    <tableColumn id="1" xr3:uid="{00000000-0010-0000-0400-000001000000}" name="S No"/>
    <tableColumn id="2" xr3:uid="{00000000-0010-0000-0400-000002000000}" name="Buildings"/>
    <tableColumn id="3" xr3:uid="{00000000-0010-0000-0400-000003000000}" name="Avg 2024"/>
    <tableColumn id="4" xr3:uid="{00000000-0010-0000-0400-000004000000}" name="Avg 2025"/>
    <tableColumn id="5" xr3:uid="{00000000-0010-0000-0400-000005000000}" name="Jan-26"/>
    <tableColumn id="6" xr3:uid="{00000000-0010-0000-0400-000006000000}" name="Feb-26"/>
    <tableColumn id="7" xr3:uid="{00000000-0010-0000-0400-000007000000}" name="Mar-26" dataDxfId="92"/>
    <tableColumn id="8" xr3:uid="{00000000-0010-0000-0400-000008000000}" name="Apr-26" dataDxfId="91"/>
    <tableColumn id="9" xr3:uid="{00000000-0010-0000-0400-000009000000}" name="May-26" dataDxfId="90"/>
    <tableColumn id="10" xr3:uid="{00000000-0010-0000-0400-00000A000000}" name="Jun-26" dataDxfId="89"/>
    <tableColumn id="11" xr3:uid="{00000000-0010-0000-0400-00000B000000}" name="Jul-26" dataDxfId="88"/>
    <tableColumn id="12" xr3:uid="{00000000-0010-0000-0400-00000C000000}" name="Aug-26" dataDxfId="87"/>
    <tableColumn id="13" xr3:uid="{00000000-0010-0000-0400-00000D000000}" name="Sep-26"/>
    <tableColumn id="14" xr3:uid="{00000000-0010-0000-0400-00000E000000}" name="Oct-26"/>
    <tableColumn id="15" xr3:uid="{00000000-0010-0000-0400-00000F000000}" name="Nov-26"/>
    <tableColumn id="16" xr3:uid="{00000000-0010-0000-0400-000010000000}" name="Dec-26"/>
    <tableColumn id="17" xr3:uid="{00000000-0010-0000-0400-000011000000}" name="Avg 2026 YT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HVACTable" displayName="HVACTable" ref="B5:N19" totalsRowShown="0">
  <tableColumns count="13">
    <tableColumn id="1" xr3:uid="{00000000-0010-0000-0500-000001000000}" name="Month"/>
    <tableColumn id="2" xr3:uid="{00000000-0010-0000-0500-000002000000}" name="JS"/>
    <tableColumn id="3" xr3:uid="{00000000-0010-0000-0500-000003000000}" name="SS"/>
    <tableColumn id="4" xr3:uid="{00000000-0010-0000-0500-000004000000}" name="SR1"/>
    <tableColumn id="5" xr3:uid="{00000000-0010-0000-0500-000005000000}" name="SR2"/>
    <tableColumn id="6" xr3:uid="{00000000-0010-0000-0500-000006000000}" name="SR3"/>
    <tableColumn id="7" xr3:uid="{00000000-0010-0000-0500-000007000000}" name="SR4"/>
    <tableColumn id="8" xr3:uid="{00000000-0010-0000-0500-000008000000}" name="SR9/10A"/>
    <tableColumn id="9" xr3:uid="{00000000-0010-0000-0500-000009000000}" name="SR9/10B"/>
    <tableColumn id="10" xr3:uid="{00000000-0010-0000-0500-00000A000000}" name="SR11/12CA"/>
    <tableColumn id="11" xr3:uid="{00000000-0010-0000-0500-00000B000000}" name="SR11/12CB"/>
    <tableColumn id="12" xr3:uid="{00000000-0010-0000-0500-00000C000000}" name="Nursery"/>
    <tableColumn id="13" xr3:uid="{00000000-0010-0000-0500-00000D000000}" name="Total (kWh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ttendanceTable" displayName="AttendanceTable" ref="B4:J19" totalsRowShown="0">
  <tableColumns count="9">
    <tableColumn id="1" xr3:uid="{00000000-0010-0000-0900-000001000000}" name="Month"/>
    <tableColumn id="2" xr3:uid="{00000000-0010-0000-0900-000002000000}" name="Total Present"/>
    <tableColumn id="3" xr3:uid="{00000000-0010-0000-0900-000003000000}" name="Total Deployed"/>
    <tableColumn id="4" xr3:uid="{00000000-0010-0000-0900-000004000000}" name="% Deployment"/>
    <tableColumn id="5" xr3:uid="{00000000-0010-0000-0900-000005000000}" name="OT(in Hrs)"/>
    <tableColumn id="6" xr3:uid="{00000000-0010-0000-0900-000006000000}" name="OT Value(INR)"/>
    <tableColumn id="7" xr3:uid="{00000000-0010-0000-0900-000007000000}" name="Remarks"/>
    <tableColumn id="8" xr3:uid="{00000000-0010-0000-0900-000008000000}" name="Headcount"/>
    <tableColumn id="9" xr3:uid="{00000000-0010-0000-0900-000009000000}" name="Weekly Off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DGTable" displayName="DGTable" ref="B4:H19" totalsRowShown="0">
  <tableColumns count="7">
    <tableColumn id="1" xr3:uid="{00000000-0010-0000-0A00-000001000000}" name="Month"/>
    <tableColumn id="2" xr3:uid="{00000000-0010-0000-0A00-000002000000}" name="500KVA"/>
    <tableColumn id="3" xr3:uid="{00000000-0010-0000-0A00-000003000000}" name="750KVA"/>
    <tableColumn id="4" xr3:uid="{00000000-0010-0000-0A00-000004000000}" name="Total Units Generated/Month"/>
    <tableColumn id="5" xr3:uid="{00000000-0010-0000-0A00-000005000000}" name="Diesel Consumed (L)"/>
    <tableColumn id="6" xr3:uid="{00000000-0010-0000-0A00-000006000000}" name="Power Failures / Month"/>
    <tableColumn id="7" xr3:uid="{00000000-0010-0000-0A00-000007000000}" name="Failure Time (Hr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8449"/>
    <pageSetUpPr fitToPage="1"/>
  </sheetPr>
  <dimension ref="A1:Z150"/>
  <sheetViews>
    <sheetView showGridLines="0" zoomScale="97" workbookViewId="0">
      <selection activeCell="I96" sqref="I96"/>
    </sheetView>
  </sheetViews>
  <sheetFormatPr defaultRowHeight="14.25" x14ac:dyDescent="0.2"/>
  <cols>
    <col min="1" max="1" width="17" customWidth="1"/>
    <col min="2" max="25" width="7.625" customWidth="1"/>
    <col min="26" max="26" width="2" customWidth="1"/>
  </cols>
  <sheetData>
    <row r="1" spans="1:26" ht="39.950000000000003" customHeight="1" x14ac:dyDescent="0.2">
      <c r="A1" s="187" t="s">
        <v>0</v>
      </c>
      <c r="B1" s="292" t="s">
        <v>1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188"/>
    </row>
    <row r="2" spans="1:26" ht="18" customHeight="1" x14ac:dyDescent="0.2">
      <c r="A2" s="189" t="s">
        <v>2</v>
      </c>
      <c r="B2" s="272" t="str">
        <f>"Calendar 2026  •  live MIS data Jan-26 to "&amp;MIS_Calc!$B$6&amp;"  •  Water · Energy · Solar · HVAC · Treatment · Service desk · Manpower  •  "&amp;TEXT(MIS_Calc!$B$15,"#,##0")&amp;" occupants  •  "&amp;TEXT(MIS_Calc!$B$7,"#,##0")&amp;" m² built-up"</f>
        <v>Calendar 2026  •  live MIS data Jan-26 to Aug-26  •  Water · Energy · Solar · HVAC · Treatment · Service desk · Manpower  •  1,354 occupants  •  52,652 m² built-up</v>
      </c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  <c r="Y2" s="236"/>
      <c r="Z2" s="188"/>
    </row>
    <row r="3" spans="1:26" ht="6" customHeight="1" x14ac:dyDescent="0.2">
      <c r="A3" s="190"/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</row>
    <row r="4" spans="1:26" ht="15.95" customHeight="1" x14ac:dyDescent="0.2">
      <c r="A4" s="190"/>
      <c r="B4" s="244" t="s">
        <v>3</v>
      </c>
      <c r="C4" s="231"/>
      <c r="D4" s="276"/>
      <c r="E4" s="231"/>
      <c r="F4" s="231"/>
      <c r="G4" s="231"/>
      <c r="H4" s="244" t="s">
        <v>4</v>
      </c>
      <c r="I4" s="231"/>
      <c r="J4" s="276"/>
      <c r="K4" s="231"/>
      <c r="L4" s="231"/>
      <c r="M4" s="231"/>
      <c r="N4" s="231"/>
      <c r="O4" s="231"/>
      <c r="P4" s="253" t="str">
        <f>"Showing: "&amp;MIS_Calc!$B$3&amp;"   •   Facility drill: "&amp;MIS_Calc!$B$4&amp;"   •   Data completeness "&amp;IF(MIS_Calc!$F$80="","n/a",TEXT(MIS_Calc!$F$80,"0%"))</f>
        <v>Showing: Aug-26   •   Facility drill: All Facilities   •   Data completeness 88%</v>
      </c>
      <c r="Q4" s="231"/>
      <c r="R4" s="231"/>
      <c r="S4" s="231"/>
      <c r="T4" s="231"/>
      <c r="U4" s="231"/>
      <c r="V4" s="231"/>
      <c r="W4" s="231"/>
      <c r="X4" s="231"/>
      <c r="Y4" s="231"/>
      <c r="Z4" s="188"/>
    </row>
    <row r="5" spans="1:26" ht="26.1" customHeight="1" x14ac:dyDescent="0.2">
      <c r="A5" s="191" t="s">
        <v>5</v>
      </c>
      <c r="B5" s="289" t="s">
        <v>6</v>
      </c>
      <c r="C5" s="231"/>
      <c r="D5" s="295" t="s">
        <v>7</v>
      </c>
      <c r="E5" s="296"/>
      <c r="F5" s="296"/>
      <c r="G5" s="296"/>
      <c r="H5" s="289" t="s">
        <v>8</v>
      </c>
      <c r="I5" s="231"/>
      <c r="J5" s="295" t="s">
        <v>9</v>
      </c>
      <c r="K5" s="296"/>
      <c r="L5" s="296"/>
      <c r="M5" s="296"/>
      <c r="N5" s="296"/>
      <c r="O5" s="296"/>
      <c r="P5" s="277" t="s">
        <v>10</v>
      </c>
      <c r="Q5" s="231"/>
      <c r="R5" s="231"/>
      <c r="S5" s="231"/>
      <c r="T5" s="231"/>
      <c r="U5" s="231"/>
      <c r="V5" s="231"/>
      <c r="W5" s="231"/>
      <c r="X5" s="231"/>
      <c r="Y5" s="231"/>
      <c r="Z5" s="188"/>
    </row>
    <row r="6" spans="1:26" ht="8.1" customHeight="1" x14ac:dyDescent="0.2">
      <c r="A6" s="190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</row>
    <row r="7" spans="1:26" ht="17.100000000000001" customHeight="1" x14ac:dyDescent="0.2">
      <c r="A7" s="192" t="s">
        <v>11</v>
      </c>
      <c r="B7" s="249" t="s">
        <v>12</v>
      </c>
      <c r="C7" s="250"/>
      <c r="D7" s="250"/>
      <c r="E7" s="250"/>
      <c r="F7" s="279" t="s">
        <v>13</v>
      </c>
      <c r="G7" s="280"/>
      <c r="H7" s="280"/>
      <c r="I7" s="280"/>
      <c r="J7" s="249" t="s">
        <v>14</v>
      </c>
      <c r="K7" s="250"/>
      <c r="L7" s="250"/>
      <c r="M7" s="250"/>
      <c r="N7" s="246" t="s">
        <v>15</v>
      </c>
      <c r="O7" s="247"/>
      <c r="P7" s="247"/>
      <c r="Q7" s="247"/>
      <c r="R7" s="287" t="s">
        <v>16</v>
      </c>
      <c r="S7" s="288"/>
      <c r="T7" s="288"/>
      <c r="U7" s="288"/>
      <c r="V7" s="256" t="s">
        <v>17</v>
      </c>
      <c r="W7" s="257"/>
      <c r="X7" s="257"/>
      <c r="Y7" s="257"/>
      <c r="Z7" s="188"/>
    </row>
    <row r="8" spans="1:26" ht="32.1" customHeight="1" x14ac:dyDescent="0.2">
      <c r="A8" s="190"/>
      <c r="B8" s="230">
        <f>IF(MIS_Calc!$E$44="","NO DATA",MIS_Calc!$E$44)</f>
        <v>14026</v>
      </c>
      <c r="C8" s="231"/>
      <c r="D8" s="231"/>
      <c r="E8" s="231"/>
      <c r="F8" s="274">
        <f>IF(MIS_Calc!$F$46="","NO DATA",MIS_Calc!$F$46)</f>
        <v>334.15924143517418</v>
      </c>
      <c r="G8" s="231"/>
      <c r="H8" s="231"/>
      <c r="I8" s="231"/>
      <c r="J8" s="230">
        <f>IF(MIS_Calc!$E$47="","NO DATA",MIS_Calc!$E$47)</f>
        <v>11995</v>
      </c>
      <c r="K8" s="231"/>
      <c r="L8" s="231"/>
      <c r="M8" s="231"/>
      <c r="N8" s="248">
        <f>IF(MIS_Calc!$E$51="","NO DATA",MIS_Calc!$E$51)</f>
        <v>146382</v>
      </c>
      <c r="O8" s="231"/>
      <c r="P8" s="231"/>
      <c r="Q8" s="231"/>
      <c r="R8" s="293">
        <f>IF(MIS_Calc!$E$54="","NO DATA",MIS_Calc!$E$54/100000)</f>
        <v>18.29571</v>
      </c>
      <c r="S8" s="231"/>
      <c r="T8" s="231"/>
      <c r="U8" s="231"/>
      <c r="V8" s="264">
        <f>IF(MIS_Calc!$F$58="","NO DATA",MIS_Calc!$F$58)</f>
        <v>2.7801652097282279</v>
      </c>
      <c r="W8" s="231"/>
      <c r="X8" s="231"/>
      <c r="Y8" s="231"/>
      <c r="Z8" s="188"/>
    </row>
    <row r="9" spans="1:26" ht="15.95" customHeight="1" x14ac:dyDescent="0.2">
      <c r="A9" s="192" t="s">
        <v>18</v>
      </c>
      <c r="B9" s="260" t="str">
        <f>IF($B$8="NO DATA","no data for this month","Avg/month "&amp;TEXT(MIS_Calc!$F$44,"#,##0")&amp;"  •  "&amp;IF(MIS_Calc!$J$44="","vs Avg-2025 –","vs Avg-2025 "&amp;TEXT(MIS_Calc!$J$44,"+0%;-0%;0%")))</f>
        <v>Avg/month 14,026  •  vs Avg-2025 -86%</v>
      </c>
      <c r="C9" s="231"/>
      <c r="D9" s="231"/>
      <c r="E9" s="231"/>
      <c r="F9" s="263" t="str">
        <f>IF(MIS_Calc!$F$46="","","Benchmark "&amp;MIS_Calc!$B$8&amp;"  •  "&amp;IF(MIS_Calc!$F$46&lt;=MIS_Calc!$B$8,"✔ within","▲ "&amp;TEXT(MIS_Calc!$F$46/MIS_Calc!$B$8,"0.0")&amp;"× benchmark"))</f>
        <v>Benchmark 135  •  ▲ 2.5× benchmark</v>
      </c>
      <c r="G9" s="231"/>
      <c r="H9" s="231"/>
      <c r="I9" s="231"/>
      <c r="J9" s="260" t="str">
        <f>IF($J$8="NO DATA","no data for this month","STP recycled "&amp;IF(MIS_Calc!$E$48="","–",TEXT(MIS_Calc!$E$48,"#,##0"))&amp;" kL ("&amp;TEXT(MIS_Calc!$F$90,"0%")&amp;" of inlet)")</f>
        <v>STP recycled 2,683 kL (18% of inlet)</v>
      </c>
      <c r="K9" s="231"/>
      <c r="L9" s="231"/>
      <c r="M9" s="231"/>
      <c r="N9" s="286" t="str">
        <f>IF($N$8="NO DATA","no data for this month","Avg/month "&amp;TEXT(MIS_Calc!$F$51,"#,##0")&amp;"  •  "&amp;IF(MIS_Calc!$J$51="","vs Avg-2025 –","vs Avg-2025 "&amp;TEXT(MIS_Calc!$J$51,"+0%;-0%;0%")))</f>
        <v>Avg/month 1,46,382  •  vs Avg-2025 +10%</v>
      </c>
      <c r="O9" s="231"/>
      <c r="P9" s="231"/>
      <c r="Q9" s="231"/>
      <c r="R9" s="261" t="str">
        <f>IF($R$8="NO DATA","no data for this month","₹"&amp;TEXT(MIS_Calc!$F$55,"0.00")&amp;"/kVAh  •  "&amp;IF(MIS_Calc!$J$54="","bill vs Avg-2025 –","bill vs Avg-2025 "&amp;TEXT(MIS_Calc!$J$54,"+0%;-0%;0%")))</f>
        <v>₹11.70/kVAh  •  bill vs Avg-2025 +5%</v>
      </c>
      <c r="S9" s="231"/>
      <c r="T9" s="231"/>
      <c r="U9" s="231"/>
      <c r="V9" s="278" t="str">
        <f>IF(MIS_Calc!$F$58="","","Benchmark ≤ "&amp;MIS_Calc!$B$9&amp;"  •  "&amp;IF(MIS_Calc!$F$58&lt;=MIS_Calc!$B$9,"✔ on target","▲ above"))</f>
        <v>Benchmark ≤ 8  •  ✔ on target</v>
      </c>
      <c r="W9" s="231"/>
      <c r="X9" s="231"/>
      <c r="Y9" s="231"/>
      <c r="Z9" s="188"/>
    </row>
    <row r="10" spans="1:26" ht="6" customHeight="1" x14ac:dyDescent="0.2">
      <c r="A10" s="190"/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</row>
    <row r="11" spans="1:26" ht="17.100000000000001" customHeight="1" x14ac:dyDescent="0.2">
      <c r="A11" s="192" t="s">
        <v>19</v>
      </c>
      <c r="B11" s="294" t="s">
        <v>20</v>
      </c>
      <c r="C11" s="252"/>
      <c r="D11" s="252"/>
      <c r="E11" s="252"/>
      <c r="F11" s="246" t="s">
        <v>21</v>
      </c>
      <c r="G11" s="247"/>
      <c r="H11" s="247"/>
      <c r="I11" s="247"/>
      <c r="J11" s="249" t="s">
        <v>22</v>
      </c>
      <c r="K11" s="250"/>
      <c r="L11" s="250"/>
      <c r="M11" s="250"/>
      <c r="N11" s="287" t="s">
        <v>23</v>
      </c>
      <c r="O11" s="288"/>
      <c r="P11" s="288"/>
      <c r="Q11" s="288"/>
      <c r="R11" s="259" t="s">
        <v>24</v>
      </c>
      <c r="S11" s="236"/>
      <c r="T11" s="236"/>
      <c r="U11" s="236"/>
      <c r="V11" s="279" t="s">
        <v>25</v>
      </c>
      <c r="W11" s="280"/>
      <c r="X11" s="280"/>
      <c r="Y11" s="280"/>
      <c r="Z11" s="188"/>
    </row>
    <row r="12" spans="1:26" ht="32.1" customHeight="1" x14ac:dyDescent="0.2">
      <c r="A12" s="190"/>
      <c r="B12" s="291">
        <f>IF(MIS_Calc!$F$53="","NO DATA",MIS_Calc!$F$53)</f>
        <v>0.93618572524942445</v>
      </c>
      <c r="C12" s="231"/>
      <c r="D12" s="231"/>
      <c r="E12" s="231"/>
      <c r="F12" s="248">
        <f>IF(MIS_Calc!$E$59="","NO DATA",MIS_Calc!$E$59)</f>
        <v>115911</v>
      </c>
      <c r="G12" s="231"/>
      <c r="H12" s="231"/>
      <c r="I12" s="231"/>
      <c r="J12" s="230">
        <f>IF(MIS_Calc!$E$65="","NO DATA",MIS_Calc!$E$65)</f>
        <v>21957.88</v>
      </c>
      <c r="K12" s="231"/>
      <c r="L12" s="231"/>
      <c r="M12" s="231"/>
      <c r="N12" s="282">
        <f>IF(MIS_Calc!$E$40="","NO DATA",MIS_Calc!$E$40)</f>
        <v>216</v>
      </c>
      <c r="O12" s="231"/>
      <c r="P12" s="231"/>
      <c r="Q12" s="231"/>
      <c r="R12" s="255">
        <f>IF(MIS_Calc!$F$77="","NO DATA",MIS_Calc!$F$77)</f>
        <v>0.84843749999999996</v>
      </c>
      <c r="S12" s="231"/>
      <c r="T12" s="231"/>
      <c r="U12" s="231"/>
      <c r="V12" s="274">
        <f>IF(MIS_Calc!$E$49="","NO DATA",MIS_Calc!$E$49)</f>
        <v>10986</v>
      </c>
      <c r="W12" s="231"/>
      <c r="X12" s="231"/>
      <c r="Y12" s="231"/>
      <c r="Z12" s="188"/>
    </row>
    <row r="13" spans="1:26" ht="15.95" customHeight="1" x14ac:dyDescent="0.2">
      <c r="A13" s="192" t="s">
        <v>26</v>
      </c>
      <c r="B13" s="297" t="str">
        <f>IF(MIS_Calc!$F$53="","","Target "&amp;MIS_Calc!$B$10&amp;"  •  "&amp;IF(MIS_Calc!$F$53&gt;=MIS_Calc!$B$10,"✔ OK","▲ below target")&amp;"  •  MD "&amp;TEXT(MIS_Calc!$F$85,"0%")&amp;" of sanctioned")</f>
        <v>Target 0.95  •  ▲ below target  •  MD 37% of sanctioned</v>
      </c>
      <c r="C13" s="231"/>
      <c r="D13" s="231"/>
      <c r="E13" s="231"/>
      <c r="F13" s="286" t="str">
        <f>IF($F$12="NO DATA","no data for this month","Savings ₹"&amp;TEXT(N(MIS_Calc!$E$61)/100000,"#,##0.0")&amp;" L  •  "&amp;IF(MIS_Calc!$J$59="","vs Avg-2025 –","vs Avg-2025 "&amp;TEXT(MIS_Calc!$J$59,"+0%;-0%;0%")))</f>
        <v>Savings ₹13.7 L  •  vs Avg-2025 +35%</v>
      </c>
      <c r="G13" s="231"/>
      <c r="H13" s="231"/>
      <c r="I13" s="231"/>
      <c r="J13" s="260" t="str">
        <f>IF($J$12="NO DATA","no data for this month",IF(MIS_Calc!$J$65="","vs Avg-2025 –","vs Avg-2025 "&amp;TEXT(MIS_Calc!$J$65,"+0%;-0%;0%")))</f>
        <v>vs Avg-2025 +5%</v>
      </c>
      <c r="K13" s="231"/>
      <c r="L13" s="231"/>
      <c r="M13" s="231"/>
      <c r="N13" s="261" t="str">
        <f>IF(MIS_Calc!$E$40="","Not logged for this month  •  latest entry "&amp;IFERROR(LOOKUP(2,1/(MIS_Calc!$C$21:$C$32&lt;&gt;""),MIS_Calc!$A$21:$A$32),"–"),"Closure "&amp;TEXT(MIS_Calc!$F$98,"0%")&amp;"  •  Pending "&amp;IF(MIS_Calc!$E$42="","–",MIS_Calc!$E$42)&amp;"  •  "&amp;MIS_Calc!$G$40&amp;" months logged")</f>
        <v>Closure 68%  •  Pending –  •  5 months logged</v>
      </c>
      <c r="O13" s="231"/>
      <c r="P13" s="231"/>
      <c r="Q13" s="231"/>
      <c r="R13" s="267" t="str">
        <f>IF($R$12="NO DATA","no data for this month","Target "&amp;TEXT(MIS_Calc!$B$11,"0%")&amp;"  •  Present "&amp;TEXT(MIS_Calc!$E$75,"#,##0")&amp;" / "&amp;TEXT(MIS_Calc!$E$76,"#,##0")&amp;" man-days")</f>
        <v>Target 90%  •  Present 543 / 640 man-days</v>
      </c>
      <c r="S13" s="231"/>
      <c r="T13" s="231"/>
      <c r="U13" s="231"/>
      <c r="V13" s="263" t="str">
        <f>IF($V$12="NO DATA","no data for this month","Avg/month "&amp;TEXT(MIS_Calc!$F$49,"#,##0")&amp;"  •  "&amp;IF(MIS_Calc!$J$49="","vs Avg-2025 –","vs Avg-2025 "&amp;TEXT(MIS_Calc!$J$49,"+0%;-0%;0%"))&amp;"  •  Drip "&amp;IF(MIS_Calc!$E$50="","–",TEXT(MIS_Calc!$E$50,"#,##0"))&amp;" kL")</f>
        <v>Avg/month 10,986  •  vs Avg-2025 +2%  •  Drip 2,501 kL</v>
      </c>
      <c r="W13" s="231"/>
      <c r="X13" s="231"/>
      <c r="Y13" s="231"/>
      <c r="Z13" s="188"/>
    </row>
    <row r="14" spans="1:26" ht="8.1" customHeight="1" x14ac:dyDescent="0.2">
      <c r="A14" s="190"/>
      <c r="B14" s="188"/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</row>
    <row r="15" spans="1:26" ht="15" customHeight="1" x14ac:dyDescent="0.2">
      <c r="A15" s="192" t="s">
        <v>27</v>
      </c>
      <c r="B15" s="188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</row>
    <row r="16" spans="1:26" ht="15" customHeight="1" x14ac:dyDescent="0.2">
      <c r="A16" s="190"/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</row>
    <row r="17" spans="1:26" ht="15" customHeight="1" x14ac:dyDescent="0.2">
      <c r="A17" s="192" t="s">
        <v>28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</row>
    <row r="18" spans="1:26" ht="15" customHeight="1" x14ac:dyDescent="0.2">
      <c r="A18" s="190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</row>
    <row r="19" spans="1:26" ht="15" customHeight="1" x14ac:dyDescent="0.2">
      <c r="A19" s="192" t="s">
        <v>29</v>
      </c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</row>
    <row r="20" spans="1:26" ht="15" customHeight="1" x14ac:dyDescent="0.2">
      <c r="A20" s="190"/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</row>
    <row r="21" spans="1:26" ht="15" customHeight="1" x14ac:dyDescent="0.2">
      <c r="A21" s="192" t="s">
        <v>30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</row>
    <row r="22" spans="1:26" ht="15" customHeight="1" x14ac:dyDescent="0.2">
      <c r="A22" s="190"/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</row>
    <row r="23" spans="1:26" ht="15" customHeight="1" x14ac:dyDescent="0.2">
      <c r="A23" s="192" t="s">
        <v>31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</row>
    <row r="24" spans="1:26" ht="15" customHeight="1" x14ac:dyDescent="0.2">
      <c r="A24" s="190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</row>
    <row r="25" spans="1:26" ht="15" customHeight="1" x14ac:dyDescent="0.2">
      <c r="A25" s="192" t="s">
        <v>32</v>
      </c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</row>
    <row r="26" spans="1:26" ht="15" customHeight="1" x14ac:dyDescent="0.2">
      <c r="A26" s="190"/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</row>
    <row r="27" spans="1:26" ht="15" customHeight="1" x14ac:dyDescent="0.2">
      <c r="A27" s="192" t="s">
        <v>33</v>
      </c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</row>
    <row r="28" spans="1:26" ht="15" customHeight="1" x14ac:dyDescent="0.2">
      <c r="A28" s="190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</row>
    <row r="29" spans="1:26" ht="15" customHeight="1" x14ac:dyDescent="0.2">
      <c r="A29" s="192" t="s">
        <v>34</v>
      </c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</row>
    <row r="30" spans="1:26" ht="15" customHeight="1" x14ac:dyDescent="0.2">
      <c r="A30" s="190"/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</row>
    <row r="31" spans="1:26" ht="15" customHeight="1" x14ac:dyDescent="0.2">
      <c r="A31" s="192" t="s">
        <v>35</v>
      </c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</row>
    <row r="32" spans="1:26" ht="15" customHeight="1" x14ac:dyDescent="0.2">
      <c r="A32" s="190"/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</row>
    <row r="33" spans="1:26" ht="15" customHeight="1" x14ac:dyDescent="0.2">
      <c r="A33" s="192" t="s">
        <v>36</v>
      </c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</row>
    <row r="34" spans="1:26" ht="15" customHeight="1" x14ac:dyDescent="0.2">
      <c r="A34" s="190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</row>
    <row r="35" spans="1:26" ht="15" customHeight="1" x14ac:dyDescent="0.2">
      <c r="A35" s="192" t="s">
        <v>37</v>
      </c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</row>
    <row r="36" spans="1:26" ht="15" customHeight="1" x14ac:dyDescent="0.2">
      <c r="A36" s="190"/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</row>
    <row r="37" spans="1:26" ht="15" customHeight="1" x14ac:dyDescent="0.2">
      <c r="A37" s="192" t="s">
        <v>38</v>
      </c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</row>
    <row r="38" spans="1:26" ht="15" customHeight="1" x14ac:dyDescent="0.2">
      <c r="A38" s="190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</row>
    <row r="39" spans="1:26" ht="15" customHeight="1" x14ac:dyDescent="0.2">
      <c r="A39" s="190"/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</row>
    <row r="40" spans="1:26" ht="15" customHeight="1" x14ac:dyDescent="0.2">
      <c r="A40" s="190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</row>
    <row r="41" spans="1:26" ht="15" customHeight="1" x14ac:dyDescent="0.2">
      <c r="A41" s="190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</row>
    <row r="42" spans="1:26" ht="15" customHeight="1" x14ac:dyDescent="0.2">
      <c r="A42" s="190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</row>
    <row r="43" spans="1:26" ht="15" customHeight="1" x14ac:dyDescent="0.2">
      <c r="A43" s="190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</row>
    <row r="44" spans="1:26" ht="15" customHeight="1" x14ac:dyDescent="0.2">
      <c r="A44" s="190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</row>
    <row r="45" spans="1:26" ht="15" customHeight="1" x14ac:dyDescent="0.2">
      <c r="A45" s="190"/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</row>
    <row r="46" spans="1:26" ht="15" customHeight="1" x14ac:dyDescent="0.2">
      <c r="A46" s="190"/>
      <c r="B46" s="188"/>
      <c r="C46" s="188"/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</row>
    <row r="47" spans="1:26" ht="15" customHeight="1" x14ac:dyDescent="0.2">
      <c r="A47" s="190"/>
      <c r="B47" s="188"/>
      <c r="C47" s="188"/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188"/>
      <c r="P47" s="188"/>
      <c r="Q47" s="188"/>
      <c r="R47" s="188"/>
      <c r="S47" s="188"/>
      <c r="T47" s="188"/>
      <c r="U47" s="188"/>
      <c r="V47" s="188"/>
      <c r="W47" s="188"/>
      <c r="X47" s="188"/>
      <c r="Y47" s="188"/>
      <c r="Z47" s="188"/>
    </row>
    <row r="48" spans="1:26" ht="15" customHeight="1" x14ac:dyDescent="0.2">
      <c r="A48" s="190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</row>
    <row r="49" spans="1:26" ht="15" customHeight="1" x14ac:dyDescent="0.2">
      <c r="A49" s="190"/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</row>
    <row r="50" spans="1:26" ht="15" customHeight="1" x14ac:dyDescent="0.2">
      <c r="A50" s="190"/>
      <c r="B50" s="188"/>
      <c r="C50" s="188"/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</row>
    <row r="51" spans="1:26" ht="15" customHeight="1" x14ac:dyDescent="0.2">
      <c r="A51" s="190"/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</row>
    <row r="52" spans="1:26" ht="15" customHeight="1" x14ac:dyDescent="0.2">
      <c r="A52" s="190"/>
      <c r="B52" s="188"/>
      <c r="C52" s="188"/>
      <c r="D52" s="188"/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</row>
    <row r="53" spans="1:26" ht="15" customHeight="1" x14ac:dyDescent="0.2">
      <c r="A53" s="190"/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</row>
    <row r="54" spans="1:26" ht="15" customHeight="1" x14ac:dyDescent="0.2">
      <c r="A54" s="190"/>
      <c r="B54" s="188"/>
      <c r="C54" s="188"/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</row>
    <row r="55" spans="1:26" ht="15" customHeight="1" x14ac:dyDescent="0.2">
      <c r="A55" s="190"/>
      <c r="B55" s="188"/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</row>
    <row r="56" spans="1:26" ht="15" customHeight="1" x14ac:dyDescent="0.2">
      <c r="A56" s="190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</row>
    <row r="57" spans="1:26" ht="15" customHeight="1" x14ac:dyDescent="0.2">
      <c r="A57" s="190"/>
      <c r="B57" s="188"/>
      <c r="C57" s="188"/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</row>
    <row r="58" spans="1:26" ht="15" customHeight="1" x14ac:dyDescent="0.2">
      <c r="A58" s="190"/>
      <c r="B58" s="188"/>
      <c r="C58" s="188"/>
      <c r="D58" s="188"/>
      <c r="E58" s="188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</row>
    <row r="59" spans="1:26" ht="15" customHeight="1" x14ac:dyDescent="0.2">
      <c r="A59" s="190"/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</row>
    <row r="60" spans="1:26" ht="15" customHeight="1" x14ac:dyDescent="0.2">
      <c r="A60" s="190"/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</row>
    <row r="61" spans="1:26" ht="15" customHeight="1" x14ac:dyDescent="0.2">
      <c r="A61" s="190"/>
      <c r="B61" s="188"/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</row>
    <row r="62" spans="1:26" ht="15" customHeight="1" x14ac:dyDescent="0.2">
      <c r="A62" s="190"/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</row>
    <row r="63" spans="1:26" ht="15" customHeight="1" x14ac:dyDescent="0.2">
      <c r="A63" s="190"/>
      <c r="B63" s="188"/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</row>
    <row r="64" spans="1:26" ht="15" customHeight="1" x14ac:dyDescent="0.2">
      <c r="A64" s="190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</row>
    <row r="65" spans="1:26" ht="15" customHeight="1" x14ac:dyDescent="0.2">
      <c r="A65" s="190"/>
      <c r="B65" s="188"/>
      <c r="C65" s="188"/>
      <c r="D65" s="188"/>
      <c r="E65" s="188"/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</row>
    <row r="66" spans="1:26" ht="15" customHeight="1" x14ac:dyDescent="0.2">
      <c r="A66" s="190"/>
      <c r="B66" s="188"/>
      <c r="C66" s="188"/>
      <c r="D66" s="188"/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</row>
    <row r="67" spans="1:26" ht="15" customHeight="1" x14ac:dyDescent="0.2">
      <c r="A67" s="190"/>
      <c r="B67" s="188"/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</row>
    <row r="68" spans="1:26" ht="15" customHeight="1" x14ac:dyDescent="0.2">
      <c r="A68" s="190"/>
      <c r="B68" s="188"/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</row>
    <row r="69" spans="1:26" ht="15" customHeight="1" x14ac:dyDescent="0.2">
      <c r="A69" s="190"/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</row>
    <row r="70" spans="1:26" ht="15" customHeight="1" x14ac:dyDescent="0.2">
      <c r="A70" s="190"/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</row>
    <row r="71" spans="1:26" ht="15" customHeight="1" x14ac:dyDescent="0.2">
      <c r="A71" s="190"/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</row>
    <row r="72" spans="1:26" ht="15" customHeight="1" x14ac:dyDescent="0.2">
      <c r="A72" s="190"/>
      <c r="B72" s="188"/>
      <c r="C72" s="188"/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</row>
    <row r="73" spans="1:26" ht="15" customHeight="1" x14ac:dyDescent="0.2">
      <c r="A73" s="190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</row>
    <row r="74" spans="1:26" ht="15" customHeight="1" x14ac:dyDescent="0.2">
      <c r="A74" s="190"/>
      <c r="B74" s="188"/>
      <c r="C74" s="188"/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</row>
    <row r="75" spans="1:26" ht="15" customHeight="1" x14ac:dyDescent="0.2">
      <c r="A75" s="190"/>
      <c r="B75" s="188"/>
      <c r="C75" s="188"/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</row>
    <row r="76" spans="1:26" ht="15" customHeight="1" x14ac:dyDescent="0.2">
      <c r="A76" s="190"/>
      <c r="B76" s="188"/>
      <c r="C76" s="188"/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</row>
    <row r="77" spans="1:26" ht="15" customHeight="1" x14ac:dyDescent="0.2">
      <c r="A77" s="190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</row>
    <row r="78" spans="1:26" ht="15" customHeight="1" x14ac:dyDescent="0.2">
      <c r="A78" s="190"/>
      <c r="B78" s="188"/>
      <c r="C78" s="188"/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</row>
    <row r="79" spans="1:26" ht="15" customHeight="1" x14ac:dyDescent="0.2">
      <c r="A79" s="190"/>
      <c r="B79" s="188"/>
      <c r="C79" s="188"/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</row>
    <row r="80" spans="1:26" ht="15" customHeight="1" x14ac:dyDescent="0.2">
      <c r="A80" s="190"/>
      <c r="B80" s="188"/>
      <c r="C80" s="188"/>
      <c r="D80" s="188"/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</row>
    <row r="81" spans="1:26" ht="15" customHeight="1" x14ac:dyDescent="0.2">
      <c r="A81" s="190"/>
      <c r="B81" s="188"/>
      <c r="C81" s="188"/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</row>
    <row r="82" spans="1:26" ht="15" customHeight="1" x14ac:dyDescent="0.2">
      <c r="A82" s="190"/>
      <c r="B82" s="188"/>
      <c r="C82" s="188"/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8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</row>
    <row r="83" spans="1:26" ht="15" customHeight="1" x14ac:dyDescent="0.2">
      <c r="A83" s="190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</row>
    <row r="84" spans="1:26" ht="15" customHeight="1" x14ac:dyDescent="0.2">
      <c r="A84" s="190"/>
      <c r="B84" s="188"/>
      <c r="C84" s="188"/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</row>
    <row r="85" spans="1:26" ht="15" customHeight="1" x14ac:dyDescent="0.2">
      <c r="A85" s="190"/>
      <c r="B85" s="188"/>
      <c r="C85" s="188"/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8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</row>
    <row r="86" spans="1:26" ht="15" customHeight="1" x14ac:dyDescent="0.2">
      <c r="A86" s="190"/>
      <c r="B86" s="188"/>
      <c r="C86" s="188"/>
      <c r="D86" s="188"/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</row>
    <row r="87" spans="1:26" ht="15" customHeight="1" x14ac:dyDescent="0.2">
      <c r="A87" s="190"/>
      <c r="B87" s="188"/>
      <c r="C87" s="188"/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</row>
    <row r="88" spans="1:26" ht="15" customHeight="1" x14ac:dyDescent="0.2">
      <c r="A88" s="190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</row>
    <row r="89" spans="1:26" ht="15" customHeight="1" x14ac:dyDescent="0.2">
      <c r="A89" s="190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</row>
    <row r="90" spans="1:26" ht="15" customHeight="1" x14ac:dyDescent="0.2">
      <c r="A90" s="190"/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</row>
    <row r="91" spans="1:26" ht="15" customHeight="1" x14ac:dyDescent="0.2">
      <c r="A91" s="190"/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188"/>
      <c r="Q91" s="188"/>
      <c r="R91" s="188"/>
      <c r="S91" s="188"/>
      <c r="T91" s="188"/>
      <c r="U91" s="188"/>
      <c r="V91" s="188"/>
      <c r="W91" s="188"/>
      <c r="X91" s="188"/>
      <c r="Y91" s="188"/>
      <c r="Z91" s="188"/>
    </row>
    <row r="92" spans="1:26" ht="15" customHeight="1" x14ac:dyDescent="0.2">
      <c r="A92" s="190"/>
      <c r="B92" s="188"/>
      <c r="C92" s="188"/>
      <c r="D92" s="188"/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8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</row>
    <row r="93" spans="1:26" ht="15" customHeight="1" x14ac:dyDescent="0.2">
      <c r="A93" s="190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  <c r="X93" s="188"/>
      <c r="Y93" s="188"/>
      <c r="Z93" s="188"/>
    </row>
    <row r="94" spans="1:26" ht="15" customHeight="1" x14ac:dyDescent="0.2">
      <c r="A94" s="190"/>
      <c r="B94" s="188"/>
      <c r="C94" s="188"/>
      <c r="D94" s="188"/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</row>
    <row r="95" spans="1:26" ht="15" customHeight="1" x14ac:dyDescent="0.2">
      <c r="A95" s="190"/>
      <c r="B95" s="188"/>
      <c r="C95" s="188"/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188"/>
      <c r="Q95" s="188"/>
      <c r="R95" s="188"/>
      <c r="S95" s="188"/>
      <c r="T95" s="188"/>
      <c r="U95" s="188"/>
      <c r="V95" s="188"/>
      <c r="W95" s="188"/>
      <c r="X95" s="188"/>
      <c r="Y95" s="188"/>
      <c r="Z95" s="188"/>
    </row>
    <row r="96" spans="1:26" ht="15" customHeight="1" x14ac:dyDescent="0.2">
      <c r="A96" s="190"/>
      <c r="B96" s="188"/>
      <c r="C96" s="188"/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8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</row>
    <row r="97" spans="1:26" ht="15" customHeight="1" x14ac:dyDescent="0.2">
      <c r="A97" s="190"/>
      <c r="B97" s="188"/>
      <c r="C97" s="188"/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</row>
    <row r="98" spans="1:26" ht="15" customHeight="1" x14ac:dyDescent="0.2">
      <c r="A98" s="190"/>
      <c r="B98" s="188"/>
      <c r="C98" s="188"/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</row>
    <row r="99" spans="1:26" ht="21.95" customHeight="1" x14ac:dyDescent="0.2">
      <c r="A99" s="190"/>
      <c r="B99" s="270" t="s">
        <v>39</v>
      </c>
      <c r="C99" s="236"/>
      <c r="D99" s="236"/>
      <c r="E99" s="236"/>
      <c r="F99" s="236"/>
      <c r="G99" s="236"/>
      <c r="H99" s="236"/>
      <c r="I99" s="236"/>
      <c r="J99" s="236"/>
      <c r="K99" s="236"/>
      <c r="L99" s="236"/>
      <c r="M99" s="236"/>
      <c r="N99" s="236"/>
      <c r="O99" s="236"/>
      <c r="P99" s="236"/>
      <c r="Q99" s="236"/>
      <c r="R99" s="236"/>
      <c r="S99" s="236"/>
      <c r="T99" s="236"/>
      <c r="U99" s="236"/>
      <c r="V99" s="236"/>
      <c r="W99" s="236"/>
      <c r="X99" s="236"/>
      <c r="Y99" s="236"/>
      <c r="Z99" s="188"/>
    </row>
    <row r="100" spans="1:26" ht="27.95" customHeight="1" x14ac:dyDescent="0.2">
      <c r="A100" s="190"/>
      <c r="B100" s="251" t="s">
        <v>40</v>
      </c>
      <c r="C100" s="252"/>
      <c r="D100" s="252"/>
      <c r="E100" s="251" t="s">
        <v>41</v>
      </c>
      <c r="F100" s="252"/>
      <c r="G100" s="251" t="s">
        <v>42</v>
      </c>
      <c r="H100" s="252"/>
      <c r="I100" s="251" t="s">
        <v>43</v>
      </c>
      <c r="J100" s="252"/>
      <c r="K100" s="251" t="s">
        <v>44</v>
      </c>
      <c r="L100" s="252"/>
      <c r="M100" s="251" t="s">
        <v>45</v>
      </c>
      <c r="N100" s="252"/>
      <c r="O100" s="251" t="s">
        <v>46</v>
      </c>
      <c r="P100" s="252"/>
      <c r="Q100" s="251" t="s">
        <v>47</v>
      </c>
      <c r="R100" s="252"/>
      <c r="S100" s="251" t="s">
        <v>48</v>
      </c>
      <c r="T100" s="252"/>
      <c r="U100" s="251" t="s">
        <v>49</v>
      </c>
      <c r="V100" s="252"/>
      <c r="W100" s="251" t="s">
        <v>50</v>
      </c>
      <c r="X100" s="252"/>
      <c r="Y100" s="251" t="s">
        <v>51</v>
      </c>
      <c r="Z100" s="252"/>
    </row>
    <row r="101" spans="1:26" ht="17.100000000000001" customHeight="1" x14ac:dyDescent="0.2">
      <c r="A101" s="190"/>
      <c r="B101" s="243" t="str">
        <f>IF(MIS_Calc!A194="","–",MIS_Calc!A194)</f>
        <v>SR-1</v>
      </c>
      <c r="C101" s="229"/>
      <c r="D101" s="229"/>
      <c r="E101" s="234" t="str">
        <f>IF(MIS_Calc!B194="","–",MIS_Calc!B194)</f>
        <v>Residence</v>
      </c>
      <c r="F101" s="229"/>
      <c r="G101" s="232">
        <f>IF(MIS_Calc!AA194="","–",MIS_Calc!AA194)</f>
        <v>329</v>
      </c>
      <c r="H101" s="229"/>
      <c r="I101" s="233">
        <f>IF(MIS_Calc!AC194="","–",MIS_Calc!AC194)</f>
        <v>-0.15315315315315314</v>
      </c>
      <c r="J101" s="229"/>
      <c r="K101" s="228">
        <f>IF(MIS_Calc!AL194="","–",MIS_Calc!AL194)</f>
        <v>4.6812749003984064E-2</v>
      </c>
      <c r="L101" s="229"/>
      <c r="M101" s="232">
        <f>IF(MIS_Calc!AD194="","–",MIS_Calc!AD194)</f>
        <v>4790</v>
      </c>
      <c r="N101" s="229"/>
      <c r="O101" s="233">
        <f>IF(MIS_Calc!AF194="","–",MIS_Calc!AF194)</f>
        <v>0.81990881458966558</v>
      </c>
      <c r="P101" s="229"/>
      <c r="Q101" s="228">
        <f>IF(MIS_Calc!AM194="","–",MIS_Calc!AM194)</f>
        <v>3.310297166551486E-2</v>
      </c>
      <c r="R101" s="229"/>
      <c r="S101" s="232">
        <f>IF(MIS_Calc!AP194="","–",MIS_Calc!AP194)</f>
        <v>1817</v>
      </c>
      <c r="T101" s="229"/>
      <c r="U101" s="232">
        <f>IF(MIS_Calc!AQ194="","–",MIS_Calc!AQ194)</f>
        <v>32957</v>
      </c>
      <c r="V101" s="229"/>
      <c r="W101" s="238">
        <f>IF(MIS_Calc!AI194="","–",MIS_Calc!AI194)</f>
        <v>713.01446051167966</v>
      </c>
      <c r="X101" s="229"/>
      <c r="Y101" s="241">
        <f>IF(MIS_Calc!AJ194="","–",MIS_Calc!AJ194)</f>
        <v>326.9655172413793</v>
      </c>
      <c r="Z101" s="229"/>
    </row>
    <row r="102" spans="1:26" ht="17.100000000000001" customHeight="1" x14ac:dyDescent="0.2">
      <c r="A102" s="190"/>
      <c r="B102" s="243" t="str">
        <f>IF(MIS_Calc!A195="","–",MIS_Calc!A195)</f>
        <v>SR-2</v>
      </c>
      <c r="C102" s="229"/>
      <c r="D102" s="229"/>
      <c r="E102" s="234" t="str">
        <f>IF(MIS_Calc!B195="","–",MIS_Calc!B195)</f>
        <v>Residence</v>
      </c>
      <c r="F102" s="229"/>
      <c r="G102" s="232">
        <f>IF(MIS_Calc!AA195="","–",MIS_Calc!AA195)</f>
        <v>312</v>
      </c>
      <c r="H102" s="229"/>
      <c r="I102" s="233">
        <f>IF(MIS_Calc!AC195="","–",MIS_Calc!AC195)</f>
        <v>0.56521739130435034</v>
      </c>
      <c r="J102" s="229"/>
      <c r="K102" s="228">
        <f>IF(MIS_Calc!AL195="","–",MIS_Calc!AL195)</f>
        <v>4.4393853158793399E-2</v>
      </c>
      <c r="L102" s="229"/>
      <c r="M102" s="232">
        <f>IF(MIS_Calc!AD195="","–",MIS_Calc!AD195)</f>
        <v>4692</v>
      </c>
      <c r="N102" s="229"/>
      <c r="O102" s="233">
        <f>IF(MIS_Calc!AF195="","–",MIS_Calc!AF195)</f>
        <v>0.5503483217226075</v>
      </c>
      <c r="P102" s="229"/>
      <c r="Q102" s="228">
        <f>IF(MIS_Calc!AM195="","–",MIS_Calc!AM195)</f>
        <v>3.242570836212854E-2</v>
      </c>
      <c r="R102" s="229"/>
      <c r="S102" s="232">
        <f>IF(MIS_Calc!AP195="","–",MIS_Calc!AP195)</f>
        <v>1531</v>
      </c>
      <c r="T102" s="229"/>
      <c r="U102" s="232">
        <f>IF(MIS_Calc!AQ195="","–",MIS_Calc!AQ195)</f>
        <v>33862</v>
      </c>
      <c r="V102" s="229"/>
      <c r="W102" s="238" t="str">
        <f>IF(MIS_Calc!AI195="","–",MIS_Calc!AI195)</f>
        <v>with SR-1</v>
      </c>
      <c r="X102" s="229"/>
      <c r="Y102" s="241" t="str">
        <f>IF(MIS_Calc!AJ195="","–",MIS_Calc!AJ195)</f>
        <v>with SR-1</v>
      </c>
      <c r="Z102" s="229"/>
    </row>
    <row r="103" spans="1:26" ht="17.100000000000001" customHeight="1" x14ac:dyDescent="0.2">
      <c r="A103" s="190"/>
      <c r="B103" s="243" t="str">
        <f>IF(MIS_Calc!A196="","–",MIS_Calc!A196)</f>
        <v>SR-3</v>
      </c>
      <c r="C103" s="229"/>
      <c r="D103" s="229"/>
      <c r="E103" s="234" t="str">
        <f>IF(MIS_Calc!B196="","–",MIS_Calc!B196)</f>
        <v>Residence</v>
      </c>
      <c r="F103" s="229"/>
      <c r="G103" s="232">
        <f>IF(MIS_Calc!AA196="","–",MIS_Calc!AA196)</f>
        <v>64</v>
      </c>
      <c r="H103" s="229"/>
      <c r="I103" s="233">
        <f>IF(MIS_Calc!AC196="","–",MIS_Calc!AC196)</f>
        <v>-0.62645914396887092</v>
      </c>
      <c r="J103" s="229"/>
      <c r="K103" s="228">
        <f>IF(MIS_Calc!AL196="","–",MIS_Calc!AL196)</f>
        <v>9.1064314171883896E-3</v>
      </c>
      <c r="L103" s="229"/>
      <c r="M103" s="232">
        <f>IF(MIS_Calc!AD196="","–",MIS_Calc!AD196)</f>
        <v>5092</v>
      </c>
      <c r="N103" s="229"/>
      <c r="O103" s="233">
        <f>IF(MIS_Calc!AF196="","–",MIS_Calc!AF196)</f>
        <v>0.58292316460287696</v>
      </c>
      <c r="P103" s="229"/>
      <c r="Q103" s="228">
        <f>IF(MIS_Calc!AM196="","–",MIS_Calc!AM196)</f>
        <v>3.5190048375950245E-2</v>
      </c>
      <c r="R103" s="229"/>
      <c r="S103" s="232">
        <f>IF(MIS_Calc!AP196="","–",MIS_Calc!AP196)</f>
        <v>628</v>
      </c>
      <c r="T103" s="229"/>
      <c r="U103" s="232">
        <f>IF(MIS_Calc!AQ196="","–",MIS_Calc!AQ196)</f>
        <v>30031</v>
      </c>
      <c r="V103" s="229"/>
      <c r="W103" s="238">
        <f>IF(MIS_Calc!AI196="","–",MIS_Calc!AI196)</f>
        <v>252.19941348973606</v>
      </c>
      <c r="X103" s="229"/>
      <c r="Y103" s="241">
        <f>IF(MIS_Calc!AJ196="","–",MIS_Calc!AJ196)</f>
        <v>348.4848484848485</v>
      </c>
      <c r="Z103" s="229"/>
    </row>
    <row r="104" spans="1:26" ht="17.100000000000001" customHeight="1" x14ac:dyDescent="0.2">
      <c r="A104" s="190"/>
      <c r="B104" s="243" t="str">
        <f>IF(MIS_Calc!A197="","–",MIS_Calc!A197)</f>
        <v>SR-4</v>
      </c>
      <c r="C104" s="229"/>
      <c r="D104" s="229"/>
      <c r="E104" s="234" t="str">
        <f>IF(MIS_Calc!B197="","–",MIS_Calc!B197)</f>
        <v>Residence</v>
      </c>
      <c r="F104" s="229"/>
      <c r="G104" s="232">
        <f>IF(MIS_Calc!AA197="","–",MIS_Calc!AA197)</f>
        <v>194</v>
      </c>
      <c r="H104" s="229"/>
      <c r="I104" s="233">
        <f>IF(MIS_Calc!AC197="","–",MIS_Calc!AC197)</f>
        <v>0.19691516709511814</v>
      </c>
      <c r="J104" s="229"/>
      <c r="K104" s="228">
        <f>IF(MIS_Calc!AL197="","–",MIS_Calc!AL197)</f>
        <v>2.7603870233352305E-2</v>
      </c>
      <c r="L104" s="229"/>
      <c r="M104" s="232">
        <f>IF(MIS_Calc!AD197="","–",MIS_Calc!AD197)</f>
        <v>6408</v>
      </c>
      <c r="N104" s="229"/>
      <c r="O104" s="233">
        <f>IF(MIS_Calc!AF197="","–",MIS_Calc!AF197)</f>
        <v>0.77765448366738332</v>
      </c>
      <c r="P104" s="229"/>
      <c r="Q104" s="228">
        <f>IF(MIS_Calc!AM197="","–",MIS_Calc!AM197)</f>
        <v>4.4284727021423637E-2</v>
      </c>
      <c r="R104" s="229"/>
      <c r="S104" s="232">
        <f>IF(MIS_Calc!AP197="","–",MIS_Calc!AP197)</f>
        <v>1740</v>
      </c>
      <c r="T104" s="229"/>
      <c r="U104" s="232">
        <f>IF(MIS_Calc!AQ197="","–",MIS_Calc!AQ197)</f>
        <v>51868</v>
      </c>
      <c r="V104" s="229"/>
      <c r="W104" s="238" t="str">
        <f>IF(MIS_Calc!AI197="","–",MIS_Calc!AI197)</f>
        <v>with SR-3</v>
      </c>
      <c r="X104" s="229"/>
      <c r="Y104" s="241" t="str">
        <f>IF(MIS_Calc!AJ197="","–",MIS_Calc!AJ197)</f>
        <v>with SR-3</v>
      </c>
      <c r="Z104" s="229"/>
    </row>
    <row r="105" spans="1:26" ht="17.100000000000001" customHeight="1" x14ac:dyDescent="0.2">
      <c r="A105" s="190"/>
      <c r="B105" s="243" t="str">
        <f>IF(MIS_Calc!A198="","–",MIS_Calc!A198)</f>
        <v>SR-9/10 A</v>
      </c>
      <c r="C105" s="229"/>
      <c r="D105" s="229"/>
      <c r="E105" s="234" t="str">
        <f>IF(MIS_Calc!B198="","–",MIS_Calc!B198)</f>
        <v>Residence</v>
      </c>
      <c r="F105" s="229"/>
      <c r="G105" s="232">
        <f>IF(MIS_Calc!AA198="","–",MIS_Calc!AA198)</f>
        <v>1468</v>
      </c>
      <c r="H105" s="229"/>
      <c r="I105" s="233">
        <f>IF(MIS_Calc!AC198="","–",MIS_Calc!AC198)</f>
        <v>2.2000000000000002</v>
      </c>
      <c r="J105" s="229"/>
      <c r="K105" s="228">
        <f>IF(MIS_Calc!AL198="","–",MIS_Calc!AL198)</f>
        <v>0.20887877063175869</v>
      </c>
      <c r="L105" s="229"/>
      <c r="M105" s="232">
        <f>IF(MIS_Calc!AD198="","–",MIS_Calc!AD198)</f>
        <v>3576</v>
      </c>
      <c r="N105" s="229"/>
      <c r="O105" s="233">
        <f>IF(MIS_Calc!AF198="","–",MIS_Calc!AF198)</f>
        <v>-0.36872951519038777</v>
      </c>
      <c r="P105" s="229"/>
      <c r="Q105" s="228">
        <f>IF(MIS_Calc!AM198="","–",MIS_Calc!AM198)</f>
        <v>2.4713199723565997E-2</v>
      </c>
      <c r="R105" s="229"/>
      <c r="S105" s="232">
        <f>IF(MIS_Calc!AP198="","–",MIS_Calc!AP198)</f>
        <v>7012</v>
      </c>
      <c r="T105" s="229"/>
      <c r="U105" s="232">
        <f>IF(MIS_Calc!AQ198="","–",MIS_Calc!AQ198)</f>
        <v>43986</v>
      </c>
      <c r="V105" s="229"/>
      <c r="W105" s="238">
        <f>IF(MIS_Calc!AI198="","–",MIS_Calc!AI198)</f>
        <v>1076.2463343108504</v>
      </c>
      <c r="X105" s="229"/>
      <c r="Y105" s="241">
        <f>IF(MIS_Calc!AJ198="","–",MIS_Calc!AJ198)</f>
        <v>81.272727272727266</v>
      </c>
      <c r="Z105" s="229"/>
    </row>
    <row r="106" spans="1:26" ht="17.100000000000001" customHeight="1" x14ac:dyDescent="0.2">
      <c r="A106" s="190"/>
      <c r="B106" s="243" t="str">
        <f>IF(MIS_Calc!A199="","–",MIS_Calc!A199)</f>
        <v>SR-9/10 B</v>
      </c>
      <c r="C106" s="229"/>
      <c r="D106" s="229"/>
      <c r="E106" s="234" t="str">
        <f>IF(MIS_Calc!B199="","–",MIS_Calc!B199)</f>
        <v>Residence</v>
      </c>
      <c r="F106" s="229"/>
      <c r="G106" s="232">
        <f>IF(MIS_Calc!AA199="","–",MIS_Calc!AA199)</f>
        <v>45</v>
      </c>
      <c r="H106" s="229"/>
      <c r="I106" s="233">
        <f>IF(MIS_Calc!AC199="","–",MIS_Calc!AC199)</f>
        <v>-0.90093560814529439</v>
      </c>
      <c r="J106" s="229"/>
      <c r="K106" s="228">
        <f>IF(MIS_Calc!AL199="","–",MIS_Calc!AL199)</f>
        <v>6.4029595902105859E-3</v>
      </c>
      <c r="L106" s="229"/>
      <c r="M106" s="232">
        <f>IF(MIS_Calc!AD199="","–",MIS_Calc!AD199)</f>
        <v>12306</v>
      </c>
      <c r="N106" s="229"/>
      <c r="O106" s="233">
        <f>IF(MIS_Calc!AF199="","–",MIS_Calc!AF199)</f>
        <v>1.2501577085180884</v>
      </c>
      <c r="P106" s="229"/>
      <c r="Q106" s="228">
        <f>IF(MIS_Calc!AM199="","–",MIS_Calc!AM199)</f>
        <v>8.5044920525224596E-2</v>
      </c>
      <c r="R106" s="229"/>
      <c r="S106" s="232">
        <f>IF(MIS_Calc!AP199="","–",MIS_Calc!AP199)</f>
        <v>999</v>
      </c>
      <c r="T106" s="229"/>
      <c r="U106" s="232">
        <f>IF(MIS_Calc!AQ199="","–",MIS_Calc!AQ199)</f>
        <v>67455</v>
      </c>
      <c r="V106" s="229"/>
      <c r="W106" s="238">
        <f>IF(MIS_Calc!AI199="","–",MIS_Calc!AI199)</f>
        <v>85.388994307400381</v>
      </c>
      <c r="X106" s="229"/>
      <c r="Y106" s="241">
        <f>IF(MIS_Calc!AJ199="","–",MIS_Calc!AJ199)</f>
        <v>723.88235294117646</v>
      </c>
      <c r="Z106" s="229"/>
    </row>
    <row r="107" spans="1:26" ht="17.100000000000001" customHeight="1" x14ac:dyDescent="0.2">
      <c r="A107" s="190"/>
      <c r="B107" s="243" t="str">
        <f>IF(MIS_Calc!A200="","–",MIS_Calc!A200)</f>
        <v>SR-11/12 CA</v>
      </c>
      <c r="C107" s="229"/>
      <c r="D107" s="229"/>
      <c r="E107" s="234" t="str">
        <f>IF(MIS_Calc!B200="","–",MIS_Calc!B200)</f>
        <v>Residence</v>
      </c>
      <c r="F107" s="229"/>
      <c r="G107" s="232">
        <f>IF(MIS_Calc!AA200="","–",MIS_Calc!AA200)</f>
        <v>710</v>
      </c>
      <c r="H107" s="229"/>
      <c r="I107" s="233">
        <f>IF(MIS_Calc!AC200="","–",MIS_Calc!AC200)</f>
        <v>1.0805860805860807</v>
      </c>
      <c r="J107" s="229"/>
      <c r="K107" s="228">
        <f>IF(MIS_Calc!AL200="","–",MIS_Calc!AL200)</f>
        <v>0.1010244735344337</v>
      </c>
      <c r="L107" s="229"/>
      <c r="M107" s="232">
        <f>IF(MIS_Calc!AD200="","–",MIS_Calc!AD200)</f>
        <v>5498</v>
      </c>
      <c r="N107" s="229"/>
      <c r="O107" s="233">
        <f>IF(MIS_Calc!AF200="","–",MIS_Calc!AF200)</f>
        <v>0.19537330956211951</v>
      </c>
      <c r="P107" s="229"/>
      <c r="Q107" s="228">
        <f>IF(MIS_Calc!AM200="","–",MIS_Calc!AM200)</f>
        <v>3.7995853489979269E-2</v>
      </c>
      <c r="R107" s="229"/>
      <c r="S107" s="232">
        <f>IF(MIS_Calc!AP200="","–",MIS_Calc!AP200)</f>
        <v>3147</v>
      </c>
      <c r="T107" s="229"/>
      <c r="U107" s="232">
        <f>IF(MIS_Calc!AQ200="","–",MIS_Calc!AQ200)</f>
        <v>50546</v>
      </c>
      <c r="V107" s="229"/>
      <c r="W107" s="238">
        <f>IF(MIS_Calc!AI200="","–",MIS_Calc!AI200)</f>
        <v>558.61526357199057</v>
      </c>
      <c r="X107" s="229"/>
      <c r="Y107" s="241">
        <f>IF(MIS_Calc!AJ200="","–",MIS_Calc!AJ200)</f>
        <v>134.09756097560975</v>
      </c>
      <c r="Z107" s="229"/>
    </row>
    <row r="108" spans="1:26" ht="17.100000000000001" customHeight="1" x14ac:dyDescent="0.2">
      <c r="A108" s="190"/>
      <c r="B108" s="243" t="str">
        <f>IF(MIS_Calc!A201="","–",MIS_Calc!A201)</f>
        <v>SR-11/12 CB</v>
      </c>
      <c r="C108" s="229"/>
      <c r="D108" s="229"/>
      <c r="E108" s="234" t="str">
        <f>IF(MIS_Calc!B201="","–",MIS_Calc!B201)</f>
        <v>Residence</v>
      </c>
      <c r="F108" s="229"/>
      <c r="G108" s="232">
        <f>IF(MIS_Calc!AA201="","–",MIS_Calc!AA201)</f>
        <v>0</v>
      </c>
      <c r="H108" s="229"/>
      <c r="I108" s="233">
        <f>IF(MIS_Calc!AC201="","–",MIS_Calc!AC201)</f>
        <v>-1</v>
      </c>
      <c r="J108" s="229"/>
      <c r="K108" s="228">
        <f>IF(MIS_Calc!AL201="","–",MIS_Calc!AL201)</f>
        <v>0</v>
      </c>
      <c r="L108" s="229"/>
      <c r="M108" s="232">
        <f>IF(MIS_Calc!AD201="","–",MIS_Calc!AD201)</f>
        <v>8718</v>
      </c>
      <c r="N108" s="229"/>
      <c r="O108" s="233">
        <f>IF(MIS_Calc!AF201="","–",MIS_Calc!AF201)</f>
        <v>0.67562009283373525</v>
      </c>
      <c r="P108" s="229"/>
      <c r="Q108" s="228">
        <f>IF(MIS_Calc!AM201="","–",MIS_Calc!AM201)</f>
        <v>6.0248790601243954E-2</v>
      </c>
      <c r="R108" s="229"/>
      <c r="S108" s="232">
        <f>IF(MIS_Calc!AP201="","–",MIS_Calc!AP201)</f>
        <v>1205</v>
      </c>
      <c r="T108" s="229"/>
      <c r="U108" s="232">
        <f>IF(MIS_Calc!AQ201="","–",MIS_Calc!AQ201)</f>
        <v>68631</v>
      </c>
      <c r="V108" s="229"/>
      <c r="W108" s="238">
        <f>IF(MIS_Calc!AI201="","–",MIS_Calc!AI201)</f>
        <v>0</v>
      </c>
      <c r="X108" s="229"/>
      <c r="Y108" s="241">
        <f>IF(MIS_Calc!AJ201="","–",MIS_Calc!AJ201)</f>
        <v>311.35714285714283</v>
      </c>
      <c r="Z108" s="229"/>
    </row>
    <row r="109" spans="1:26" ht="17.100000000000001" customHeight="1" x14ac:dyDescent="0.2">
      <c r="A109" s="190"/>
      <c r="B109" s="243" t="str">
        <f>IF(MIS_Calc!A202="","–",MIS_Calc!A202)</f>
        <v>Junior School</v>
      </c>
      <c r="C109" s="229"/>
      <c r="D109" s="229"/>
      <c r="E109" s="234" t="str">
        <f>IF(MIS_Calc!B202="","–",MIS_Calc!B202)</f>
        <v>Academic</v>
      </c>
      <c r="F109" s="229"/>
      <c r="G109" s="232">
        <f>IF(MIS_Calc!AA202="","–",MIS_Calc!AA202)</f>
        <v>120</v>
      </c>
      <c r="H109" s="229"/>
      <c r="I109" s="233">
        <f>IF(MIS_Calc!AC202="","–",MIS_Calc!AC202)</f>
        <v>-0.76608187134502925</v>
      </c>
      <c r="J109" s="229"/>
      <c r="K109" s="228">
        <f>IF(MIS_Calc!AL202="","–",MIS_Calc!AL202)</f>
        <v>1.707455890722823E-2</v>
      </c>
      <c r="L109" s="229"/>
      <c r="M109" s="232">
        <f>IF(MIS_Calc!AD202="","–",MIS_Calc!AD202)</f>
        <v>10905</v>
      </c>
      <c r="N109" s="229"/>
      <c r="O109" s="233">
        <f>IF(MIS_Calc!AF202="","–",MIS_Calc!AF202)</f>
        <v>0.29232957070482635</v>
      </c>
      <c r="P109" s="229"/>
      <c r="Q109" s="228">
        <f>IF(MIS_Calc!AM202="","–",MIS_Calc!AM202)</f>
        <v>7.5362819626814098E-2</v>
      </c>
      <c r="R109" s="229"/>
      <c r="S109" s="232">
        <f>IF(MIS_Calc!AP202="","–",MIS_Calc!AP202)</f>
        <v>358</v>
      </c>
      <c r="T109" s="229"/>
      <c r="U109" s="232">
        <f>IF(MIS_Calc!AQ202="","–",MIS_Calc!AQ202)</f>
        <v>79142</v>
      </c>
      <c r="V109" s="229"/>
      <c r="W109" s="238" t="str">
        <f>IF(MIS_Calc!AI202="","–",MIS_Calc!AI202)</f>
        <v>–</v>
      </c>
      <c r="X109" s="229"/>
      <c r="Y109" s="241" t="str">
        <f>IF(MIS_Calc!AJ202="","–",MIS_Calc!AJ202)</f>
        <v>–</v>
      </c>
      <c r="Z109" s="229"/>
    </row>
    <row r="110" spans="1:26" ht="17.100000000000001" customHeight="1" x14ac:dyDescent="0.2">
      <c r="A110" s="190"/>
      <c r="B110" s="243" t="str">
        <f>IF(MIS_Calc!A203="","–",MIS_Calc!A203)</f>
        <v>Senior School 1 &amp; 3</v>
      </c>
      <c r="C110" s="229"/>
      <c r="D110" s="229"/>
      <c r="E110" s="234" t="str">
        <f>IF(MIS_Calc!B203="","–",MIS_Calc!B203)</f>
        <v>Academic</v>
      </c>
      <c r="F110" s="229"/>
      <c r="G110" s="232">
        <f>IF(MIS_Calc!AA203="","–",MIS_Calc!AA203)</f>
        <v>82</v>
      </c>
      <c r="H110" s="229"/>
      <c r="I110" s="233">
        <f>IF(MIS_Calc!AC203="","–",MIS_Calc!AC203)</f>
        <v>-0.8241915311774165</v>
      </c>
      <c r="J110" s="229"/>
      <c r="K110" s="228">
        <f>IF(MIS_Calc!AL203="","–",MIS_Calc!AL203)</f>
        <v>1.1667615253272624E-2</v>
      </c>
      <c r="L110" s="229"/>
      <c r="M110" s="232">
        <f>IF(MIS_Calc!AD203="","–",MIS_Calc!AD203)</f>
        <v>8760</v>
      </c>
      <c r="N110" s="229"/>
      <c r="O110" s="233">
        <f>IF(MIS_Calc!AF203="","–",MIS_Calc!AF203)</f>
        <v>-8.9507509484296199E-2</v>
      </c>
      <c r="P110" s="229"/>
      <c r="Q110" s="228">
        <f>IF(MIS_Calc!AM203="","–",MIS_Calc!AM203)</f>
        <v>6.0539046302695229E-2</v>
      </c>
      <c r="R110" s="229"/>
      <c r="S110" s="232">
        <f>IF(MIS_Calc!AP203="","–",MIS_Calc!AP203)</f>
        <v>482</v>
      </c>
      <c r="T110" s="229"/>
      <c r="U110" s="232">
        <f>IF(MIS_Calc!AQ203="","–",MIS_Calc!AQ203)</f>
        <v>86779</v>
      </c>
      <c r="V110" s="229"/>
      <c r="W110" s="238" t="str">
        <f>IF(MIS_Calc!AI203="","–",MIS_Calc!AI203)</f>
        <v>–</v>
      </c>
      <c r="X110" s="229"/>
      <c r="Y110" s="241" t="str">
        <f>IF(MIS_Calc!AJ203="","–",MIS_Calc!AJ203)</f>
        <v>–</v>
      </c>
      <c r="Z110" s="229"/>
    </row>
    <row r="111" spans="1:26" ht="17.100000000000001" customHeight="1" x14ac:dyDescent="0.2">
      <c r="A111" s="190"/>
      <c r="B111" s="243" t="str">
        <f>IF(MIS_Calc!A204="","–",MIS_Calc!A204)</f>
        <v>Senior School 2</v>
      </c>
      <c r="C111" s="229"/>
      <c r="D111" s="229"/>
      <c r="E111" s="234" t="str">
        <f>IF(MIS_Calc!B204="","–",MIS_Calc!B204)</f>
        <v>Academic</v>
      </c>
      <c r="F111" s="229"/>
      <c r="G111" s="232">
        <f>IF(MIS_Calc!AA204="","–",MIS_Calc!AA204)</f>
        <v>45</v>
      </c>
      <c r="H111" s="229"/>
      <c r="I111" s="233">
        <f>IF(MIS_Calc!AC204="","–",MIS_Calc!AC204)</f>
        <v>0.3300492610837451</v>
      </c>
      <c r="J111" s="229"/>
      <c r="K111" s="228">
        <f>IF(MIS_Calc!AL204="","–",MIS_Calc!AL204)</f>
        <v>6.4029595902105859E-3</v>
      </c>
      <c r="L111" s="229"/>
      <c r="M111" s="232">
        <f>IF(MIS_Calc!AD204="","–",MIS_Calc!AD204)</f>
        <v>8229</v>
      </c>
      <c r="N111" s="229"/>
      <c r="O111" s="233">
        <f>IF(MIS_Calc!AF204="","–",MIS_Calc!AF204)</f>
        <v>9.5046408729498655E-2</v>
      </c>
      <c r="P111" s="229"/>
      <c r="Q111" s="228">
        <f>IF(MIS_Calc!AM204="","–",MIS_Calc!AM204)</f>
        <v>5.6869384934346921E-2</v>
      </c>
      <c r="R111" s="229"/>
      <c r="S111" s="232">
        <f>IF(MIS_Calc!AP204="","–",MIS_Calc!AP204)</f>
        <v>558</v>
      </c>
      <c r="T111" s="229"/>
      <c r="U111" s="232">
        <f>IF(MIS_Calc!AQ204="","–",MIS_Calc!AQ204)</f>
        <v>69436</v>
      </c>
      <c r="V111" s="229"/>
      <c r="W111" s="238" t="str">
        <f>IF(MIS_Calc!AI204="","–",MIS_Calc!AI204)</f>
        <v>–</v>
      </c>
      <c r="X111" s="229"/>
      <c r="Y111" s="241" t="str">
        <f>IF(MIS_Calc!AJ204="","–",MIS_Calc!AJ204)</f>
        <v>–</v>
      </c>
      <c r="Z111" s="229"/>
    </row>
    <row r="112" spans="1:26" ht="17.100000000000001" customHeight="1" x14ac:dyDescent="0.2">
      <c r="A112" s="190"/>
      <c r="B112" s="243" t="str">
        <f>IF(MIS_Calc!A205="","–",MIS_Calc!A205)</f>
        <v>Academy Building</v>
      </c>
      <c r="C112" s="229"/>
      <c r="D112" s="229"/>
      <c r="E112" s="234" t="str">
        <f>IF(MIS_Calc!B205="","–",MIS_Calc!B205)</f>
        <v>Academic</v>
      </c>
      <c r="F112" s="229"/>
      <c r="G112" s="232">
        <f>IF(MIS_Calc!AA205="","–",MIS_Calc!AA205)</f>
        <v>38</v>
      </c>
      <c r="H112" s="229"/>
      <c r="I112" s="233">
        <f>IF(MIS_Calc!AC205="","–",MIS_Calc!AC205)</f>
        <v>3.3428571428571425</v>
      </c>
      <c r="J112" s="229"/>
      <c r="K112" s="228">
        <f>IF(MIS_Calc!AL205="","–",MIS_Calc!AL205)</f>
        <v>5.4069436539556058E-3</v>
      </c>
      <c r="L112" s="229"/>
      <c r="M112" s="232">
        <f>IF(MIS_Calc!AD205="","–",MIS_Calc!AD205)</f>
        <v>18300</v>
      </c>
      <c r="N112" s="229"/>
      <c r="O112" s="233">
        <f>IF(MIS_Calc!AF205="","–",MIS_Calc!AF205)</f>
        <v>-5.8850158442662615E-3</v>
      </c>
      <c r="P112" s="229"/>
      <c r="Q112" s="228">
        <f>IF(MIS_Calc!AM205="","–",MIS_Calc!AM205)</f>
        <v>0.12646855563234277</v>
      </c>
      <c r="R112" s="229"/>
      <c r="S112" s="232">
        <f>IF(MIS_Calc!AP205="","–",MIS_Calc!AP205)</f>
        <v>809</v>
      </c>
      <c r="T112" s="229"/>
      <c r="U112" s="232">
        <f>IF(MIS_Calc!AQ205="","–",MIS_Calc!AQ205)</f>
        <v>154300</v>
      </c>
      <c r="V112" s="229"/>
      <c r="W112" s="238" t="str">
        <f>IF(MIS_Calc!AI205="","–",MIS_Calc!AI205)</f>
        <v>–</v>
      </c>
      <c r="X112" s="229"/>
      <c r="Y112" s="241" t="str">
        <f>IF(MIS_Calc!AJ205="","–",MIS_Calc!AJ205)</f>
        <v>–</v>
      </c>
      <c r="Z112" s="229"/>
    </row>
    <row r="113" spans="1:26" ht="17.100000000000001" customHeight="1" x14ac:dyDescent="0.2">
      <c r="A113" s="190"/>
      <c r="B113" s="243" t="str">
        <f>IF(MIS_Calc!A206="","–",MIS_Calc!A206)</f>
        <v>Commons</v>
      </c>
      <c r="C113" s="229"/>
      <c r="D113" s="229"/>
      <c r="E113" s="234" t="str">
        <f>IF(MIS_Calc!B206="","–",MIS_Calc!B206)</f>
        <v>Amenity</v>
      </c>
      <c r="F113" s="229"/>
      <c r="G113" s="232">
        <f>IF(MIS_Calc!AA206="","–",MIS_Calc!AA206)</f>
        <v>1094</v>
      </c>
      <c r="H113" s="229"/>
      <c r="I113" s="233">
        <f>IF(MIS_Calc!AC206="","–",MIS_Calc!AC206)</f>
        <v>4.9699863574351975</v>
      </c>
      <c r="J113" s="229"/>
      <c r="K113" s="228">
        <f>IF(MIS_Calc!AL206="","–",MIS_Calc!AL206)</f>
        <v>0.15566306203756403</v>
      </c>
      <c r="L113" s="229"/>
      <c r="M113" s="232">
        <f>IF(MIS_Calc!AD206="","–",MIS_Calc!AD206)</f>
        <v>25640</v>
      </c>
      <c r="N113" s="229"/>
      <c r="O113" s="233">
        <f>IF(MIS_Calc!AF206="","–",MIS_Calc!AF206)</f>
        <v>1.037035091061278E-2</v>
      </c>
      <c r="P113" s="229"/>
      <c r="Q113" s="228">
        <f>IF(MIS_Calc!AM206="","–",MIS_Calc!AM206)</f>
        <v>0.17719419488597096</v>
      </c>
      <c r="R113" s="229"/>
      <c r="S113" s="232">
        <f>IF(MIS_Calc!AP206="","–",MIS_Calc!AP206)</f>
        <v>3314</v>
      </c>
      <c r="T113" s="229"/>
      <c r="U113" s="232">
        <f>IF(MIS_Calc!AQ206="","–",MIS_Calc!AQ206)</f>
        <v>168440</v>
      </c>
      <c r="V113" s="229"/>
      <c r="W113" s="238" t="str">
        <f>IF(MIS_Calc!AI206="","–",MIS_Calc!AI206)</f>
        <v>–</v>
      </c>
      <c r="X113" s="229"/>
      <c r="Y113" s="241" t="str">
        <f>IF(MIS_Calc!AJ206="","–",MIS_Calc!AJ206)</f>
        <v>–</v>
      </c>
      <c r="Z113" s="229"/>
    </row>
    <row r="114" spans="1:26" ht="17.100000000000001" customHeight="1" x14ac:dyDescent="0.2">
      <c r="A114" s="190"/>
      <c r="B114" s="243" t="str">
        <f>IF(MIS_Calc!A207="","–",MIS_Calc!A207)</f>
        <v>Athletic Centre</v>
      </c>
      <c r="C114" s="229"/>
      <c r="D114" s="229"/>
      <c r="E114" s="234" t="str">
        <f>IF(MIS_Calc!B207="","–",MIS_Calc!B207)</f>
        <v>Amenity</v>
      </c>
      <c r="F114" s="229"/>
      <c r="G114" s="232">
        <f>IF(MIS_Calc!AA207="","–",MIS_Calc!AA207)</f>
        <v>54</v>
      </c>
      <c r="H114" s="229"/>
      <c r="I114" s="233">
        <f>IF(MIS_Calc!AC207="","–",MIS_Calc!AC207)</f>
        <v>-0.88440956118444536</v>
      </c>
      <c r="J114" s="229"/>
      <c r="K114" s="228">
        <f>IF(MIS_Calc!AL207="","–",MIS_Calc!AL207)</f>
        <v>7.6835515082527032E-3</v>
      </c>
      <c r="L114" s="229"/>
      <c r="M114" s="232">
        <f>IF(MIS_Calc!AD207="","–",MIS_Calc!AD207)</f>
        <v>9768</v>
      </c>
      <c r="N114" s="229"/>
      <c r="O114" s="233">
        <f>IF(MIS_Calc!AF207="","–",MIS_Calc!AF207)</f>
        <v>0.71691975081696779</v>
      </c>
      <c r="P114" s="229"/>
      <c r="Q114" s="228">
        <f>IF(MIS_Calc!AM207="","–",MIS_Calc!AM207)</f>
        <v>6.7505183137525918E-2</v>
      </c>
      <c r="R114" s="229"/>
      <c r="S114" s="232">
        <f>IF(MIS_Calc!AP207="","–",MIS_Calc!AP207)</f>
        <v>801</v>
      </c>
      <c r="T114" s="229"/>
      <c r="U114" s="232">
        <f>IF(MIS_Calc!AQ207="","–",MIS_Calc!AQ207)</f>
        <v>63308</v>
      </c>
      <c r="V114" s="229"/>
      <c r="W114" s="238" t="str">
        <f>IF(MIS_Calc!AI207="","–",MIS_Calc!AI207)</f>
        <v>–</v>
      </c>
      <c r="X114" s="229"/>
      <c r="Y114" s="241" t="str">
        <f>IF(MIS_Calc!AJ207="","–",MIS_Calc!AJ207)</f>
        <v>–</v>
      </c>
      <c r="Z114" s="229"/>
    </row>
    <row r="115" spans="1:26" ht="17.100000000000001" customHeight="1" x14ac:dyDescent="0.2">
      <c r="A115" s="190"/>
      <c r="B115" s="243" t="str">
        <f>IF(MIS_Calc!A208="","–",MIS_Calc!A208)</f>
        <v>Swimming Pool</v>
      </c>
      <c r="C115" s="229"/>
      <c r="D115" s="229"/>
      <c r="E115" s="234" t="str">
        <f>IF(MIS_Calc!B208="","–",MIS_Calc!B208)</f>
        <v>Amenity</v>
      </c>
      <c r="F115" s="229"/>
      <c r="G115" s="232">
        <f>IF(MIS_Calc!AA208="","–",MIS_Calc!AA208)</f>
        <v>1559</v>
      </c>
      <c r="H115" s="229"/>
      <c r="I115" s="233">
        <f>IF(MIS_Calc!AC208="","–",MIS_Calc!AC208)</f>
        <v>2.4421343146274124</v>
      </c>
      <c r="J115" s="229"/>
      <c r="K115" s="228">
        <f>IF(MIS_Calc!AL208="","–",MIS_Calc!AL208)</f>
        <v>0.22182697780307342</v>
      </c>
      <c r="L115" s="229"/>
      <c r="M115" s="232" t="str">
        <f>IF(MIS_Calc!AD208="","–",MIS_Calc!AD208)</f>
        <v>–</v>
      </c>
      <c r="N115" s="229"/>
      <c r="O115" s="233" t="str">
        <f>IF(MIS_Calc!AF208="","–",MIS_Calc!AF208)</f>
        <v>–</v>
      </c>
      <c r="P115" s="229"/>
      <c r="Q115" s="228" t="str">
        <f>IF(MIS_Calc!AM208="","–",MIS_Calc!AM208)</f>
        <v>–</v>
      </c>
      <c r="R115" s="229"/>
      <c r="S115" s="232">
        <f>IF(MIS_Calc!AP208="","–",MIS_Calc!AP208)</f>
        <v>6554</v>
      </c>
      <c r="T115" s="229"/>
      <c r="U115" s="232" t="str">
        <f>IF(MIS_Calc!AQ208="","–",MIS_Calc!AQ208)</f>
        <v>–</v>
      </c>
      <c r="V115" s="229"/>
      <c r="W115" s="238" t="str">
        <f>IF(MIS_Calc!AI208="","–",MIS_Calc!AI208)</f>
        <v>–</v>
      </c>
      <c r="X115" s="229"/>
      <c r="Y115" s="241" t="str">
        <f>IF(MIS_Calc!AJ208="","–",MIS_Calc!AJ208)</f>
        <v>–</v>
      </c>
      <c r="Z115" s="229"/>
    </row>
    <row r="116" spans="1:26" ht="17.100000000000001" customHeight="1" x14ac:dyDescent="0.2">
      <c r="A116" s="190"/>
      <c r="B116" s="243" t="str">
        <f>IF(MIS_Calc!A209="","–",MIS_Calc!A209)</f>
        <v>PCM</v>
      </c>
      <c r="C116" s="229"/>
      <c r="D116" s="229"/>
      <c r="E116" s="234" t="str">
        <f>IF(MIS_Calc!B209="","–",MIS_Calc!B209)</f>
        <v>Support</v>
      </c>
      <c r="F116" s="229"/>
      <c r="G116" s="232">
        <f>IF(MIS_Calc!AA209="","–",MIS_Calc!AA209)</f>
        <v>570</v>
      </c>
      <c r="H116" s="229"/>
      <c r="I116" s="233">
        <f>IF(MIS_Calc!AC209="","–",MIS_Calc!AC209)</f>
        <v>-0.50029222676796903</v>
      </c>
      <c r="J116" s="229"/>
      <c r="K116" s="228">
        <f>IF(MIS_Calc!AL209="","–",MIS_Calc!AL209)</f>
        <v>8.1104154809334097E-2</v>
      </c>
      <c r="L116" s="229"/>
      <c r="M116" s="232">
        <f>IF(MIS_Calc!AD209="","–",MIS_Calc!AD209)</f>
        <v>3784</v>
      </c>
      <c r="N116" s="229"/>
      <c r="O116" s="233">
        <f>IF(MIS_Calc!AF209="","–",MIS_Calc!AF209)</f>
        <v>0.14576972571976943</v>
      </c>
      <c r="P116" s="229"/>
      <c r="Q116" s="228">
        <f>IF(MIS_Calc!AM209="","–",MIS_Calc!AM209)</f>
        <v>2.6150656530753283E-2</v>
      </c>
      <c r="R116" s="229"/>
      <c r="S116" s="232">
        <f>IF(MIS_Calc!AP209="","–",MIS_Calc!AP209)</f>
        <v>4155</v>
      </c>
      <c r="T116" s="229"/>
      <c r="U116" s="232">
        <f>IF(MIS_Calc!AQ209="","–",MIS_Calc!AQ209)</f>
        <v>28363</v>
      </c>
      <c r="V116" s="229"/>
      <c r="W116" s="238" t="str">
        <f>IF(MIS_Calc!AI209="","–",MIS_Calc!AI209)</f>
        <v>–</v>
      </c>
      <c r="X116" s="229"/>
      <c r="Y116" s="241" t="str">
        <f>IF(MIS_Calc!AJ209="","–",MIS_Calc!AJ209)</f>
        <v>–</v>
      </c>
      <c r="Z116" s="229"/>
    </row>
    <row r="117" spans="1:26" ht="17.100000000000001" customHeight="1" x14ac:dyDescent="0.2">
      <c r="A117" s="190"/>
      <c r="B117" s="243" t="str">
        <f>IF(MIS_Calc!A210="","–",MIS_Calc!A210)</f>
        <v>Nursery</v>
      </c>
      <c r="C117" s="229"/>
      <c r="D117" s="229"/>
      <c r="E117" s="234" t="str">
        <f>IF(MIS_Calc!B210="","–",MIS_Calc!B210)</f>
        <v>Support</v>
      </c>
      <c r="F117" s="229"/>
      <c r="G117" s="232">
        <f>IF(MIS_Calc!AA210="","–",MIS_Calc!AA210)</f>
        <v>209</v>
      </c>
      <c r="H117" s="229"/>
      <c r="I117" s="233" t="str">
        <f>IF(MIS_Calc!AC210="","–",MIS_Calc!AC210)</f>
        <v>–</v>
      </c>
      <c r="J117" s="229"/>
      <c r="K117" s="228">
        <f>IF(MIS_Calc!AL210="","–",MIS_Calc!AL210)</f>
        <v>2.9738190096755834E-2</v>
      </c>
      <c r="L117" s="229"/>
      <c r="M117" s="232">
        <f>IF(MIS_Calc!AD210="","–",MIS_Calc!AD210)</f>
        <v>4852</v>
      </c>
      <c r="N117" s="229"/>
      <c r="O117" s="233">
        <f>IF(MIS_Calc!AF210="","–",MIS_Calc!AF210)</f>
        <v>0.92906485546261286</v>
      </c>
      <c r="P117" s="229"/>
      <c r="Q117" s="228">
        <f>IF(MIS_Calc!AM210="","–",MIS_Calc!AM210)</f>
        <v>3.3531444367657225E-2</v>
      </c>
      <c r="R117" s="229"/>
      <c r="S117" s="232">
        <f>IF(MIS_Calc!AP210="","–",MIS_Calc!AP210)</f>
        <v>887</v>
      </c>
      <c r="T117" s="229"/>
      <c r="U117" s="232">
        <f>IF(MIS_Calc!AQ210="","–",MIS_Calc!AQ210)</f>
        <v>31620.7</v>
      </c>
      <c r="V117" s="229"/>
      <c r="W117" s="238" t="str">
        <f>IF(MIS_Calc!AI210="","–",MIS_Calc!AI210)</f>
        <v>–</v>
      </c>
      <c r="X117" s="229"/>
      <c r="Y117" s="241" t="str">
        <f>IF(MIS_Calc!AJ210="","–",MIS_Calc!AJ210)</f>
        <v>–</v>
      </c>
      <c r="Z117" s="229"/>
    </row>
    <row r="118" spans="1:26" ht="17.100000000000001" customHeight="1" x14ac:dyDescent="0.2">
      <c r="A118" s="190"/>
      <c r="B118" s="243" t="str">
        <f>IF(MIS_Calc!A211="","–",MIS_Calc!A211)</f>
        <v>Laundry</v>
      </c>
      <c r="C118" s="229"/>
      <c r="D118" s="229"/>
      <c r="E118" s="234" t="str">
        <f>IF(MIS_Calc!B211="","–",MIS_Calc!B211)</f>
        <v>Support</v>
      </c>
      <c r="F118" s="229"/>
      <c r="G118" s="232">
        <f>IF(MIS_Calc!AA211="","–",MIS_Calc!AA211)</f>
        <v>135</v>
      </c>
      <c r="H118" s="229"/>
      <c r="I118" s="233" t="str">
        <f>IF(MIS_Calc!AC211="","–",MIS_Calc!AC211)</f>
        <v>–</v>
      </c>
      <c r="J118" s="229"/>
      <c r="K118" s="228">
        <f>IF(MIS_Calc!AL211="","–",MIS_Calc!AL211)</f>
        <v>1.9208878770631758E-2</v>
      </c>
      <c r="L118" s="229"/>
      <c r="M118" s="232">
        <f>IF(MIS_Calc!AD211="","–",MIS_Calc!AD211)</f>
        <v>3382</v>
      </c>
      <c r="N118" s="229"/>
      <c r="O118" s="233">
        <f>IF(MIS_Calc!AF211="","–",MIS_Calc!AF211)</f>
        <v>0.24958433401071489</v>
      </c>
      <c r="P118" s="229"/>
      <c r="Q118" s="228">
        <f>IF(MIS_Calc!AM211="","–",MIS_Calc!AM211)</f>
        <v>2.3372494816862474E-2</v>
      </c>
      <c r="R118" s="229"/>
      <c r="S118" s="232">
        <f>IF(MIS_Calc!AP211="","–",MIS_Calc!AP211)</f>
        <v>690</v>
      </c>
      <c r="T118" s="229"/>
      <c r="U118" s="232">
        <f>IF(MIS_Calc!AQ211="","–",MIS_Calc!AQ211)</f>
        <v>23054</v>
      </c>
      <c r="V118" s="229"/>
      <c r="W118" s="238" t="str">
        <f>IF(MIS_Calc!AI211="","–",MIS_Calc!AI211)</f>
        <v>–</v>
      </c>
      <c r="X118" s="229"/>
      <c r="Y118" s="241" t="str">
        <f>IF(MIS_Calc!AJ211="","–",MIS_Calc!AJ211)</f>
        <v>–</v>
      </c>
      <c r="Z118" s="229"/>
    </row>
    <row r="119" spans="1:26" ht="18" customHeight="1" x14ac:dyDescent="0.2">
      <c r="A119" s="190"/>
      <c r="B119" s="273" t="s">
        <v>52</v>
      </c>
      <c r="C119" s="236"/>
      <c r="D119" s="236"/>
      <c r="E119" s="290"/>
      <c r="F119" s="236"/>
      <c r="G119" s="237">
        <f>SUM(MIS_Calc!AA194:AA211)</f>
        <v>7028</v>
      </c>
      <c r="H119" s="236"/>
      <c r="I119" s="235"/>
      <c r="J119" s="236"/>
      <c r="K119" s="268">
        <f>IF(COUNT(K101:K118)=0,"–",SUM(K101:K118))</f>
        <v>1.0000000000000002</v>
      </c>
      <c r="L119" s="236"/>
      <c r="M119" s="237">
        <f>SUM(MIS_Calc!AD194:AD211)</f>
        <v>144700</v>
      </c>
      <c r="N119" s="236"/>
      <c r="O119" s="235"/>
      <c r="P119" s="236"/>
      <c r="Q119" s="268">
        <f>IF(COUNT(Q101:Q118)=0,"–",SUM(Q101:Q118))</f>
        <v>0.99999999999999989</v>
      </c>
      <c r="R119" s="236"/>
      <c r="S119" s="237">
        <f>SUM(MIS_Calc!AP194:AP211)</f>
        <v>36687</v>
      </c>
      <c r="T119" s="236"/>
      <c r="U119" s="237">
        <f>SUM(MIS_Calc!AQ194:AQ211)</f>
        <v>1083778.7</v>
      </c>
      <c r="V119" s="236"/>
      <c r="W119" s="271"/>
      <c r="X119" s="236"/>
      <c r="Y119" s="269"/>
      <c r="Z119" s="236"/>
    </row>
    <row r="120" spans="1:26" ht="15" customHeight="1" x14ac:dyDescent="0.2">
      <c r="A120" s="190"/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</row>
    <row r="121" spans="1:26" ht="21.95" customHeight="1" x14ac:dyDescent="0.2">
      <c r="A121" s="190"/>
      <c r="B121" s="283" t="s">
        <v>53</v>
      </c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65" t="s">
        <v>54</v>
      </c>
      <c r="O121" s="266"/>
      <c r="P121" s="266"/>
      <c r="Q121" s="266"/>
      <c r="R121" s="266"/>
      <c r="S121" s="266"/>
      <c r="T121" s="266"/>
      <c r="U121" s="266"/>
      <c r="V121" s="266"/>
      <c r="W121" s="266"/>
      <c r="X121" s="266"/>
      <c r="Y121" s="266"/>
      <c r="Z121" s="188"/>
    </row>
    <row r="122" spans="1:26" ht="26.1" customHeight="1" x14ac:dyDescent="0.2">
      <c r="A122" s="190"/>
      <c r="B122" s="234" t="s">
        <v>55</v>
      </c>
      <c r="C122" s="229"/>
      <c r="D122" s="229"/>
      <c r="E122" s="229"/>
      <c r="F122" s="229"/>
      <c r="G122" s="229"/>
      <c r="H122" s="229"/>
      <c r="I122" s="229"/>
      <c r="J122" s="245">
        <f>MIS_Calc!$F$46</f>
        <v>334.15924143517418</v>
      </c>
      <c r="K122" s="229"/>
      <c r="L122" s="258" t="str">
        <f>IF(MIS_Calc!$F$46="","–",IF(MIS_Calc!$F$46&gt;MIS_Calc!$B$8,"▲ Act","✔ OK"))</f>
        <v>▲ Act</v>
      </c>
      <c r="M122" s="229"/>
      <c r="N122" s="254" t="s">
        <v>56</v>
      </c>
      <c r="O122" s="229"/>
      <c r="P122" s="229"/>
      <c r="Q122" s="229"/>
      <c r="R122" s="229"/>
      <c r="S122" s="229"/>
      <c r="T122" s="229"/>
      <c r="U122" s="229"/>
      <c r="V122" s="229"/>
      <c r="W122" s="229"/>
      <c r="X122" s="229"/>
      <c r="Y122" s="229"/>
      <c r="Z122" s="188"/>
    </row>
    <row r="123" spans="1:26" ht="26.1" customHeight="1" x14ac:dyDescent="0.2">
      <c r="A123" s="190"/>
      <c r="B123" s="234" t="s">
        <v>57</v>
      </c>
      <c r="C123" s="229"/>
      <c r="D123" s="229"/>
      <c r="E123" s="229"/>
      <c r="F123" s="229"/>
      <c r="G123" s="229"/>
      <c r="H123" s="229"/>
      <c r="I123" s="229"/>
      <c r="J123" s="262">
        <f>MIS_Calc!$F$53</f>
        <v>0.93618572524942445</v>
      </c>
      <c r="K123" s="229"/>
      <c r="L123" s="258" t="str">
        <f>IF(MIS_Calc!$F$53="","–",IF(MIS_Calc!$F$53&lt;MIS_Calc!$B$10,"▲ Act","✔ OK"))</f>
        <v>▲ Act</v>
      </c>
      <c r="M123" s="229"/>
      <c r="N123" s="254" t="s">
        <v>58</v>
      </c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188"/>
    </row>
    <row r="124" spans="1:26" ht="26.1" customHeight="1" x14ac:dyDescent="0.2">
      <c r="A124" s="190"/>
      <c r="B124" s="234" t="s">
        <v>59</v>
      </c>
      <c r="C124" s="229"/>
      <c r="D124" s="229"/>
      <c r="E124" s="229"/>
      <c r="F124" s="229"/>
      <c r="G124" s="229"/>
      <c r="H124" s="229"/>
      <c r="I124" s="229"/>
      <c r="J124" s="275">
        <f>MIS_Calc!$F$58</f>
        <v>2.7801652097282279</v>
      </c>
      <c r="K124" s="229"/>
      <c r="L124" s="258" t="str">
        <f>IF(MIS_Calc!$F$58="","–",IF(MIS_Calc!$F$58&gt;MIS_Calc!$B$9,"▲ Act","✔ OK"))</f>
        <v>✔ OK</v>
      </c>
      <c r="M124" s="229"/>
      <c r="N124" s="254" t="s">
        <v>60</v>
      </c>
      <c r="O124" s="229"/>
      <c r="P124" s="229"/>
      <c r="Q124" s="229"/>
      <c r="R124" s="229"/>
      <c r="S124" s="229"/>
      <c r="T124" s="229"/>
      <c r="U124" s="229"/>
      <c r="V124" s="229"/>
      <c r="W124" s="229"/>
      <c r="X124" s="229"/>
      <c r="Y124" s="229"/>
      <c r="Z124" s="188"/>
    </row>
    <row r="125" spans="1:26" ht="26.1" customHeight="1" x14ac:dyDescent="0.2">
      <c r="A125" s="190"/>
      <c r="B125" s="234" t="s">
        <v>61</v>
      </c>
      <c r="C125" s="229"/>
      <c r="D125" s="229"/>
      <c r="E125" s="229"/>
      <c r="F125" s="229"/>
      <c r="G125" s="229"/>
      <c r="H125" s="229"/>
      <c r="I125" s="229"/>
      <c r="J125" s="285">
        <f>MIS_Calc!$F$77</f>
        <v>0.84843749999999996</v>
      </c>
      <c r="K125" s="229"/>
      <c r="L125" s="258" t="str">
        <f>IF(MIS_Calc!$F$77="","–",IF(MIS_Calc!$F$77&lt;MIS_Calc!$B$11,"▲ Act","✔ OK"))</f>
        <v>▲ Act</v>
      </c>
      <c r="M125" s="229"/>
      <c r="N125" s="254" t="str">
        <f>"4. Building wise water: "&amp;COUNTIF('Building wise water'!$Z$11:$Z$39,"VERIFY*")&amp;" meters flag 'VERIFY AVG-2025 (&gt;3× prior yrs)'; building comparisons therefore use the median 2023–25 baseline."</f>
        <v>4. Building wise water: 13 meters flag 'VERIFY AVG-2025 (&gt;3× prior yrs)'; building comparisons therefore use the median 2023–25 baseline.</v>
      </c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188"/>
    </row>
    <row r="126" spans="1:26" ht="26.1" customHeight="1" x14ac:dyDescent="0.2">
      <c r="A126" s="190"/>
      <c r="B126" s="234" t="s">
        <v>62</v>
      </c>
      <c r="C126" s="229"/>
      <c r="D126" s="229"/>
      <c r="E126" s="229"/>
      <c r="F126" s="229"/>
      <c r="G126" s="229"/>
      <c r="H126" s="229"/>
      <c r="I126" s="229"/>
      <c r="J126" s="240">
        <f>MATCH(MIS_Calc!$B$6,MIS_Calc!$A$21:$A$32,0)-MIS_Calc!$G$40</f>
        <v>3</v>
      </c>
      <c r="K126" s="229"/>
      <c r="L126" s="258" t="str">
        <f>IF(MATCH(MIS_Calc!$B$6,MIS_Calc!$A$21:$A$32,0)-MIS_Calc!$G$40&gt;0,"▲ Act","✔ OK")</f>
        <v>▲ Act</v>
      </c>
      <c r="M126" s="229"/>
      <c r="N126" s="254" t="s">
        <v>63</v>
      </c>
      <c r="O126" s="229"/>
      <c r="P126" s="229"/>
      <c r="Q126" s="229"/>
      <c r="R126" s="229"/>
      <c r="S126" s="229"/>
      <c r="T126" s="229"/>
      <c r="U126" s="229"/>
      <c r="V126" s="229"/>
      <c r="W126" s="229"/>
      <c r="X126" s="229"/>
      <c r="Y126" s="229"/>
      <c r="Z126" s="188"/>
    </row>
    <row r="127" spans="1:26" ht="26.1" customHeight="1" x14ac:dyDescent="0.2">
      <c r="A127" s="190"/>
      <c r="B127" s="234" t="s">
        <v>64</v>
      </c>
      <c r="C127" s="229"/>
      <c r="D127" s="229"/>
      <c r="E127" s="229"/>
      <c r="F127" s="229"/>
      <c r="G127" s="229"/>
      <c r="H127" s="229"/>
      <c r="I127" s="229"/>
      <c r="J127" s="240">
        <f>MATCH(MIS_Calc!$B$6,MIS_Calc!$A$21:$A$32,0)-MIS_Calc!$G$73</f>
        <v>6</v>
      </c>
      <c r="K127" s="229"/>
      <c r="L127" s="258" t="str">
        <f>IF(MATCH(MIS_Calc!$B$6,MIS_Calc!$A$21:$A$32,0)-MIS_Calc!$G$73&gt;0,"▲ Act","✔ OK")</f>
        <v>▲ Act</v>
      </c>
      <c r="M127" s="229"/>
      <c r="N127" s="254" t="s">
        <v>65</v>
      </c>
      <c r="O127" s="229"/>
      <c r="P127" s="229"/>
      <c r="Q127" s="229"/>
      <c r="R127" s="229"/>
      <c r="S127" s="229"/>
      <c r="T127" s="229"/>
      <c r="U127" s="229"/>
      <c r="V127" s="229"/>
      <c r="W127" s="229"/>
      <c r="X127" s="229"/>
      <c r="Y127" s="229"/>
      <c r="Z127" s="188"/>
    </row>
    <row r="128" spans="1:26" ht="26.1" customHeight="1" x14ac:dyDescent="0.2">
      <c r="A128" s="190"/>
      <c r="B128" s="234" t="s">
        <v>66</v>
      </c>
      <c r="C128" s="229"/>
      <c r="D128" s="229"/>
      <c r="E128" s="229"/>
      <c r="F128" s="229"/>
      <c r="G128" s="229"/>
      <c r="H128" s="229"/>
      <c r="I128" s="229"/>
      <c r="J128" s="281">
        <f>MIS_Calc!$F$80</f>
        <v>0.875</v>
      </c>
      <c r="K128" s="229"/>
      <c r="L128" s="258" t="str">
        <f>IF(MIS_Calc!$F$80="","–",IF(MIS_Calc!$F$80&lt;0.8,"▲ Act","✔ OK"))</f>
        <v>✔ OK</v>
      </c>
      <c r="M128" s="229"/>
      <c r="N128" s="254" t="s">
        <v>67</v>
      </c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188"/>
    </row>
    <row r="129" spans="1:26" ht="26.1" customHeight="1" x14ac:dyDescent="0.2">
      <c r="A129" s="190"/>
      <c r="B129" s="234" t="s">
        <v>68</v>
      </c>
      <c r="C129" s="229"/>
      <c r="D129" s="229"/>
      <c r="E129" s="229"/>
      <c r="F129" s="229"/>
      <c r="G129" s="229"/>
      <c r="H129" s="229"/>
      <c r="I129" s="229"/>
      <c r="J129" s="240">
        <f>'Building wise water'!W5</f>
        <v>14</v>
      </c>
      <c r="K129" s="229"/>
      <c r="L129" s="258" t="str">
        <f>IF('Building wise water'!W5&gt;0,"▲ Act","✔ OK")</f>
        <v>▲ Act</v>
      </c>
      <c r="M129" s="229"/>
      <c r="N129" s="254" t="s">
        <v>69</v>
      </c>
      <c r="O129" s="229"/>
      <c r="P129" s="229"/>
      <c r="Q129" s="229"/>
      <c r="R129" s="229"/>
      <c r="S129" s="229"/>
      <c r="T129" s="229"/>
      <c r="U129" s="229"/>
      <c r="V129" s="229"/>
      <c r="W129" s="229"/>
      <c r="X129" s="229"/>
      <c r="Y129" s="229"/>
      <c r="Z129" s="188"/>
    </row>
    <row r="130" spans="1:26" ht="26.1" customHeight="1" x14ac:dyDescent="0.2">
      <c r="A130" s="190"/>
      <c r="B130" s="234" t="s">
        <v>70</v>
      </c>
      <c r="C130" s="229"/>
      <c r="D130" s="229"/>
      <c r="E130" s="229"/>
      <c r="F130" s="229"/>
      <c r="G130" s="229"/>
      <c r="H130" s="229"/>
      <c r="I130" s="229"/>
      <c r="J130" s="240">
        <f>SUM(WQ!D60:M60)</f>
        <v>8</v>
      </c>
      <c r="K130" s="229"/>
      <c r="L130" s="258" t="str">
        <f>IF(SUM(WQ!D60:M60)&gt;0,"▲ Act","✔ OK")</f>
        <v>▲ Act</v>
      </c>
      <c r="M130" s="229"/>
      <c r="N130" s="254" t="s">
        <v>71</v>
      </c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188"/>
    </row>
    <row r="131" spans="1:26" ht="18" customHeight="1" x14ac:dyDescent="0.2">
      <c r="A131" s="190"/>
      <c r="B131" s="234" t="s">
        <v>72</v>
      </c>
      <c r="C131" s="229"/>
      <c r="D131" s="229"/>
      <c r="E131" s="229"/>
      <c r="F131" s="229"/>
      <c r="G131" s="229"/>
      <c r="H131" s="229"/>
      <c r="I131" s="229"/>
      <c r="J131" s="242">
        <f>MIS_Calc!$J$65</f>
        <v>4.8655455572146344E-2</v>
      </c>
      <c r="K131" s="229"/>
      <c r="L131" s="258" t="str">
        <f>IF(MIS_Calc!$J$65="","–",IF(MIS_Calc!$J$65&gt;0.1,"▲ Act","✔ OK"))</f>
        <v>✔ OK</v>
      </c>
      <c r="M131" s="229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</row>
    <row r="132" spans="1:26" ht="18" customHeight="1" x14ac:dyDescent="0.2">
      <c r="A132" s="190"/>
      <c r="B132" s="234" t="s">
        <v>73</v>
      </c>
      <c r="C132" s="229"/>
      <c r="D132" s="229"/>
      <c r="E132" s="229"/>
      <c r="F132" s="229"/>
      <c r="G132" s="229"/>
      <c r="H132" s="229"/>
      <c r="I132" s="229"/>
      <c r="J132" s="242">
        <f>MIS_Calc!$J$54</f>
        <v>5.0692958541949107E-2</v>
      </c>
      <c r="K132" s="229"/>
      <c r="L132" s="258" t="str">
        <f>IF(MIS_Calc!$J$54="","–",IF(MIS_Calc!$J$54&gt;0.1,"▲ Act","✔ OK"))</f>
        <v>✔ OK</v>
      </c>
      <c r="M132" s="229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</row>
    <row r="133" spans="1:26" ht="18" customHeight="1" x14ac:dyDescent="0.2">
      <c r="A133" s="190"/>
      <c r="B133" s="234" t="s">
        <v>74</v>
      </c>
      <c r="C133" s="229"/>
      <c r="D133" s="229"/>
      <c r="E133" s="229"/>
      <c r="F133" s="229"/>
      <c r="G133" s="229"/>
      <c r="H133" s="229"/>
      <c r="I133" s="229"/>
      <c r="J133" s="239">
        <f>MIS_Calc!$F$63</f>
        <v>1</v>
      </c>
      <c r="K133" s="229"/>
      <c r="L133" s="258" t="str">
        <f>IF(MIS_Calc!$F$63="","–",IF(MIS_Calc!$F$63&gt;N(MIS_Calc!$H$63)*1.2,"▲ Act","✔ OK"))</f>
        <v>✔ OK</v>
      </c>
      <c r="M133" s="229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</row>
    <row r="134" spans="1:26" ht="15" customHeight="1" x14ac:dyDescent="0.2">
      <c r="A134" s="190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</row>
    <row r="135" spans="1:26" ht="30" customHeight="1" x14ac:dyDescent="0.2">
      <c r="A135" s="190"/>
      <c r="B135" s="226" t="s">
        <v>75</v>
      </c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188"/>
    </row>
    <row r="136" spans="1:26" ht="15" customHeight="1" x14ac:dyDescent="0.2">
      <c r="A136" s="190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</row>
    <row r="137" spans="1:26" ht="15" customHeight="1" x14ac:dyDescent="0.2">
      <c r="A137" s="190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</row>
    <row r="138" spans="1:26" ht="15" customHeight="1" x14ac:dyDescent="0.2">
      <c r="A138" s="190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</row>
    <row r="139" spans="1:26" ht="15" customHeight="1" x14ac:dyDescent="0.2">
      <c r="A139" s="190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</row>
    <row r="140" spans="1:26" ht="15" customHeight="1" x14ac:dyDescent="0.2">
      <c r="A140" s="190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</row>
    <row r="141" spans="1:26" ht="15" customHeight="1" x14ac:dyDescent="0.2">
      <c r="A141" s="190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</row>
    <row r="142" spans="1:26" ht="15" customHeight="1" x14ac:dyDescent="0.2">
      <c r="A142" s="190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</row>
    <row r="143" spans="1:26" ht="15" customHeight="1" x14ac:dyDescent="0.2">
      <c r="A143" s="190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</row>
    <row r="144" spans="1:26" ht="15" customHeight="1" x14ac:dyDescent="0.2">
      <c r="A144" s="190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</row>
    <row r="145" spans="1:26" ht="15" customHeight="1" x14ac:dyDescent="0.2">
      <c r="A145" s="190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</row>
    <row r="146" spans="1:26" ht="15" customHeight="1" x14ac:dyDescent="0.2">
      <c r="A146" s="190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</row>
    <row r="147" spans="1:26" ht="15" customHeight="1" x14ac:dyDescent="0.2">
      <c r="A147" s="190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</row>
    <row r="148" spans="1:26" ht="15" customHeight="1" x14ac:dyDescent="0.2">
      <c r="A148" s="190"/>
      <c r="B148" s="188"/>
      <c r="C148" s="188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</row>
    <row r="149" spans="1:26" ht="15" customHeight="1" x14ac:dyDescent="0.2">
      <c r="A149" s="190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</row>
    <row r="150" spans="1:26" ht="15" customHeight="1" x14ac:dyDescent="0.2">
      <c r="A150" s="190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</row>
  </sheetData>
  <mergeCells count="337">
    <mergeCell ref="J5:O5"/>
    <mergeCell ref="K101:L101"/>
    <mergeCell ref="F13:I13"/>
    <mergeCell ref="Q116:R116"/>
    <mergeCell ref="E117:F117"/>
    <mergeCell ref="Y103:Z103"/>
    <mergeCell ref="G117:H117"/>
    <mergeCell ref="W118:X118"/>
    <mergeCell ref="Y118:Z118"/>
    <mergeCell ref="V13:Y13"/>
    <mergeCell ref="E108:F108"/>
    <mergeCell ref="B13:E13"/>
    <mergeCell ref="B110:D110"/>
    <mergeCell ref="Q107:R107"/>
    <mergeCell ref="H5:I5"/>
    <mergeCell ref="S113:T113"/>
    <mergeCell ref="B101:D101"/>
    <mergeCell ref="D5:G5"/>
    <mergeCell ref="B105:D105"/>
    <mergeCell ref="B107:D107"/>
    <mergeCell ref="I104:J104"/>
    <mergeCell ref="K104:L104"/>
    <mergeCell ref="I106:J106"/>
    <mergeCell ref="Y113:Z113"/>
    <mergeCell ref="J4:O4"/>
    <mergeCell ref="B1:Y1"/>
    <mergeCell ref="R8:U8"/>
    <mergeCell ref="J8:M8"/>
    <mergeCell ref="G112:H112"/>
    <mergeCell ref="N123:Y123"/>
    <mergeCell ref="I112:J112"/>
    <mergeCell ref="K106:L106"/>
    <mergeCell ref="K105:L105"/>
    <mergeCell ref="I114:J114"/>
    <mergeCell ref="M105:N105"/>
    <mergeCell ref="B11:E11"/>
    <mergeCell ref="I107:J107"/>
    <mergeCell ref="K107:L107"/>
    <mergeCell ref="E110:F110"/>
    <mergeCell ref="M101:N101"/>
    <mergeCell ref="Y116:Z116"/>
    <mergeCell ref="Q104:R104"/>
    <mergeCell ref="M115:N115"/>
    <mergeCell ref="O115:P115"/>
    <mergeCell ref="Q106:R106"/>
    <mergeCell ref="Y117:Z117"/>
    <mergeCell ref="S101:T101"/>
    <mergeCell ref="Q109:R109"/>
    <mergeCell ref="L129:M129"/>
    <mergeCell ref="L123:M123"/>
    <mergeCell ref="R7:U7"/>
    <mergeCell ref="B113:D113"/>
    <mergeCell ref="S104:T104"/>
    <mergeCell ref="B5:C5"/>
    <mergeCell ref="B115:D115"/>
    <mergeCell ref="L124:M124"/>
    <mergeCell ref="S106:T106"/>
    <mergeCell ref="E109:F109"/>
    <mergeCell ref="E111:F111"/>
    <mergeCell ref="B108:D108"/>
    <mergeCell ref="E119:F119"/>
    <mergeCell ref="E116:F116"/>
    <mergeCell ref="F7:I7"/>
    <mergeCell ref="B127:I127"/>
    <mergeCell ref="N8:Q8"/>
    <mergeCell ref="F8:I8"/>
    <mergeCell ref="E112:F112"/>
    <mergeCell ref="G106:H106"/>
    <mergeCell ref="B117:D117"/>
    <mergeCell ref="G105:H105"/>
    <mergeCell ref="B9:E9"/>
    <mergeCell ref="B12:E12"/>
    <mergeCell ref="N130:Y130"/>
    <mergeCell ref="S105:T105"/>
    <mergeCell ref="N9:Q9"/>
    <mergeCell ref="M113:N113"/>
    <mergeCell ref="K110:L110"/>
    <mergeCell ref="J127:K127"/>
    <mergeCell ref="M110:N110"/>
    <mergeCell ref="U101:V101"/>
    <mergeCell ref="M108:N108"/>
    <mergeCell ref="K103:L103"/>
    <mergeCell ref="M103:N103"/>
    <mergeCell ref="N122:Y122"/>
    <mergeCell ref="Q112:R112"/>
    <mergeCell ref="M111:N111"/>
    <mergeCell ref="U105:V105"/>
    <mergeCell ref="L130:M130"/>
    <mergeCell ref="S107:T107"/>
    <mergeCell ref="N11:Q11"/>
    <mergeCell ref="U107:V107"/>
    <mergeCell ref="W111:X111"/>
    <mergeCell ref="I105:J105"/>
    <mergeCell ref="I111:J111"/>
    <mergeCell ref="Q105:R105"/>
    <mergeCell ref="J11:M11"/>
    <mergeCell ref="L132:M132"/>
    <mergeCell ref="W113:X113"/>
    <mergeCell ref="U100:V100"/>
    <mergeCell ref="W100:X100"/>
    <mergeCell ref="G108:H108"/>
    <mergeCell ref="U115:V115"/>
    <mergeCell ref="J128:K128"/>
    <mergeCell ref="N12:Q12"/>
    <mergeCell ref="W115:X115"/>
    <mergeCell ref="U102:V102"/>
    <mergeCell ref="M116:N116"/>
    <mergeCell ref="B121:M121"/>
    <mergeCell ref="J129:K129"/>
    <mergeCell ref="O111:P111"/>
    <mergeCell ref="J125:K125"/>
    <mergeCell ref="J131:K131"/>
    <mergeCell ref="B130:I130"/>
    <mergeCell ref="B132:I132"/>
    <mergeCell ref="L126:M126"/>
    <mergeCell ref="O114:P114"/>
    <mergeCell ref="B114:D114"/>
    <mergeCell ref="U103:V103"/>
    <mergeCell ref="Q114:R114"/>
    <mergeCell ref="O109:P109"/>
    <mergeCell ref="D4:G4"/>
    <mergeCell ref="B111:D111"/>
    <mergeCell ref="S110:T110"/>
    <mergeCell ref="U108:V108"/>
    <mergeCell ref="O108:P108"/>
    <mergeCell ref="P5:Y5"/>
    <mergeCell ref="K119:L119"/>
    <mergeCell ref="E104:F104"/>
    <mergeCell ref="G104:H104"/>
    <mergeCell ref="B109:D109"/>
    <mergeCell ref="V9:Y9"/>
    <mergeCell ref="V11:Y11"/>
    <mergeCell ref="U110:V110"/>
    <mergeCell ref="O101:P101"/>
    <mergeCell ref="N13:Q13"/>
    <mergeCell ref="W116:X116"/>
    <mergeCell ref="M117:N117"/>
    <mergeCell ref="O117:P117"/>
    <mergeCell ref="W108:X108"/>
    <mergeCell ref="M119:N119"/>
    <mergeCell ref="E107:F107"/>
    <mergeCell ref="G101:H101"/>
    <mergeCell ref="O112:P112"/>
    <mergeCell ref="S103:T103"/>
    <mergeCell ref="L131:M131"/>
    <mergeCell ref="B2:Y2"/>
    <mergeCell ref="Y106:Z106"/>
    <mergeCell ref="B119:D119"/>
    <mergeCell ref="G107:H107"/>
    <mergeCell ref="H4:I4"/>
    <mergeCell ref="B122:I122"/>
    <mergeCell ref="I101:J101"/>
    <mergeCell ref="B112:D112"/>
    <mergeCell ref="I113:J113"/>
    <mergeCell ref="I100:J100"/>
    <mergeCell ref="K100:L100"/>
    <mergeCell ref="V12:Y12"/>
    <mergeCell ref="I115:J115"/>
    <mergeCell ref="I102:J102"/>
    <mergeCell ref="K102:L102"/>
    <mergeCell ref="W109:X109"/>
    <mergeCell ref="Y109:Z109"/>
    <mergeCell ref="U117:V117"/>
    <mergeCell ref="W117:X117"/>
    <mergeCell ref="J124:K124"/>
    <mergeCell ref="Y111:Z111"/>
    <mergeCell ref="Y104:Z104"/>
    <mergeCell ref="J9:M9"/>
    <mergeCell ref="B133:I133"/>
    <mergeCell ref="Q101:R101"/>
    <mergeCell ref="W112:X112"/>
    <mergeCell ref="S119:T119"/>
    <mergeCell ref="U119:V119"/>
    <mergeCell ref="K113:L113"/>
    <mergeCell ref="W114:X114"/>
    <mergeCell ref="B99:Y99"/>
    <mergeCell ref="Y105:Z105"/>
    <mergeCell ref="K115:L115"/>
    <mergeCell ref="L122:M122"/>
    <mergeCell ref="O110:P110"/>
    <mergeCell ref="G110:H110"/>
    <mergeCell ref="Q110:R110"/>
    <mergeCell ref="I110:J110"/>
    <mergeCell ref="Y100:Z100"/>
    <mergeCell ref="K116:L116"/>
    <mergeCell ref="B123:I123"/>
    <mergeCell ref="W119:X119"/>
    <mergeCell ref="K118:L118"/>
    <mergeCell ref="M118:N118"/>
    <mergeCell ref="Y112:Z112"/>
    <mergeCell ref="Y114:Z114"/>
    <mergeCell ref="Q102:R102"/>
    <mergeCell ref="J12:M12"/>
    <mergeCell ref="Y102:Z102"/>
    <mergeCell ref="S115:T115"/>
    <mergeCell ref="N127:Y127"/>
    <mergeCell ref="I116:J116"/>
    <mergeCell ref="S102:T102"/>
    <mergeCell ref="W110:X110"/>
    <mergeCell ref="K109:L109"/>
    <mergeCell ref="M109:N109"/>
    <mergeCell ref="N121:Y121"/>
    <mergeCell ref="Y110:Z110"/>
    <mergeCell ref="R13:U13"/>
    <mergeCell ref="Q119:R119"/>
    <mergeCell ref="Y119:Z119"/>
    <mergeCell ref="N128:Y128"/>
    <mergeCell ref="N7:Q7"/>
    <mergeCell ref="K111:L111"/>
    <mergeCell ref="E114:F114"/>
    <mergeCell ref="M104:N104"/>
    <mergeCell ref="O104:P104"/>
    <mergeCell ref="M106:N106"/>
    <mergeCell ref="U113:V113"/>
    <mergeCell ref="E106:F106"/>
    <mergeCell ref="K114:L114"/>
    <mergeCell ref="R9:U9"/>
    <mergeCell ref="J123:K123"/>
    <mergeCell ref="Q111:R111"/>
    <mergeCell ref="S111:T111"/>
    <mergeCell ref="U111:V111"/>
    <mergeCell ref="U104:V104"/>
    <mergeCell ref="W104:X104"/>
    <mergeCell ref="F9:I9"/>
    <mergeCell ref="B7:E7"/>
    <mergeCell ref="V8:Y8"/>
    <mergeCell ref="N125:Y125"/>
    <mergeCell ref="Q100:R100"/>
    <mergeCell ref="S100:T100"/>
    <mergeCell ref="L125:M125"/>
    <mergeCell ref="L133:M133"/>
    <mergeCell ref="L127:M127"/>
    <mergeCell ref="R11:U11"/>
    <mergeCell ref="B104:D104"/>
    <mergeCell ref="J13:M13"/>
    <mergeCell ref="S116:T116"/>
    <mergeCell ref="U116:V116"/>
    <mergeCell ref="I117:J117"/>
    <mergeCell ref="K117:L117"/>
    <mergeCell ref="L128:M128"/>
    <mergeCell ref="B106:D106"/>
    <mergeCell ref="S118:T118"/>
    <mergeCell ref="U118:V118"/>
    <mergeCell ref="N129:Y129"/>
    <mergeCell ref="K112:L112"/>
    <mergeCell ref="M112:N112"/>
    <mergeCell ref="O106:P106"/>
    <mergeCell ref="J126:K126"/>
    <mergeCell ref="O105:P105"/>
    <mergeCell ref="M114:N114"/>
    <mergeCell ref="B125:I125"/>
    <mergeCell ref="M107:N107"/>
    <mergeCell ref="O107:P107"/>
    <mergeCell ref="Q117:R117"/>
    <mergeCell ref="P4:Y4"/>
    <mergeCell ref="E105:F105"/>
    <mergeCell ref="S112:T112"/>
    <mergeCell ref="N124:Y124"/>
    <mergeCell ref="U106:V106"/>
    <mergeCell ref="E101:F101"/>
    <mergeCell ref="N126:Y126"/>
    <mergeCell ref="E113:F113"/>
    <mergeCell ref="M100:N100"/>
    <mergeCell ref="G113:H113"/>
    <mergeCell ref="E100:F100"/>
    <mergeCell ref="O100:P100"/>
    <mergeCell ref="G100:H100"/>
    <mergeCell ref="R12:U12"/>
    <mergeCell ref="W101:X101"/>
    <mergeCell ref="E115:F115"/>
    <mergeCell ref="M102:N102"/>
    <mergeCell ref="E102:F102"/>
    <mergeCell ref="O102:P102"/>
    <mergeCell ref="G102:H102"/>
    <mergeCell ref="S109:T109"/>
    <mergeCell ref="U109:V109"/>
    <mergeCell ref="I108:J108"/>
    <mergeCell ref="V7:Y7"/>
    <mergeCell ref="E103:F103"/>
    <mergeCell ref="O103:P103"/>
    <mergeCell ref="G103:H103"/>
    <mergeCell ref="Q103:R103"/>
    <mergeCell ref="I103:J103"/>
    <mergeCell ref="E118:F118"/>
    <mergeCell ref="O118:P118"/>
    <mergeCell ref="G118:H118"/>
    <mergeCell ref="U112:V112"/>
    <mergeCell ref="Q115:R115"/>
    <mergeCell ref="G114:H114"/>
    <mergeCell ref="B4:C4"/>
    <mergeCell ref="J122:K122"/>
    <mergeCell ref="B129:I129"/>
    <mergeCell ref="K108:L108"/>
    <mergeCell ref="Y115:Z115"/>
    <mergeCell ref="O116:P116"/>
    <mergeCell ref="B116:D116"/>
    <mergeCell ref="B131:I131"/>
    <mergeCell ref="B103:D103"/>
    <mergeCell ref="B118:D118"/>
    <mergeCell ref="Q118:R118"/>
    <mergeCell ref="F11:I11"/>
    <mergeCell ref="O113:P113"/>
    <mergeCell ref="Q113:R113"/>
    <mergeCell ref="F12:I12"/>
    <mergeCell ref="W102:X102"/>
    <mergeCell ref="I118:J118"/>
    <mergeCell ref="Y108:Z108"/>
    <mergeCell ref="J7:M7"/>
    <mergeCell ref="W106:X106"/>
    <mergeCell ref="W105:X105"/>
    <mergeCell ref="B128:I128"/>
    <mergeCell ref="B100:D100"/>
    <mergeCell ref="Y101:Z101"/>
    <mergeCell ref="B135:Y135"/>
    <mergeCell ref="Q108:R108"/>
    <mergeCell ref="B8:E8"/>
    <mergeCell ref="S108:T108"/>
    <mergeCell ref="G109:H109"/>
    <mergeCell ref="I109:J109"/>
    <mergeCell ref="B124:I124"/>
    <mergeCell ref="O119:P119"/>
    <mergeCell ref="G119:H119"/>
    <mergeCell ref="W103:X103"/>
    <mergeCell ref="I119:J119"/>
    <mergeCell ref="G111:H111"/>
    <mergeCell ref="B126:I126"/>
    <mergeCell ref="J133:K133"/>
    <mergeCell ref="J130:K130"/>
    <mergeCell ref="W107:X107"/>
    <mergeCell ref="Y107:Z107"/>
    <mergeCell ref="J132:K132"/>
    <mergeCell ref="B102:D102"/>
    <mergeCell ref="S114:T114"/>
    <mergeCell ref="U114:V114"/>
    <mergeCell ref="G115:H115"/>
    <mergeCell ref="S117:T117"/>
    <mergeCell ref="G116:H116"/>
  </mergeCells>
  <conditionalFormatting sqref="G101:G118">
    <cfRule type="dataBar" priority="1">
      <dataBar>
        <cfvo type="num" val="0"/>
        <cfvo type="max"/>
        <color rgb="FF2874A6"/>
      </dataBar>
    </cfRule>
  </conditionalFormatting>
  <conditionalFormatting sqref="I101:I118">
    <cfRule type="expression" dxfId="85" priority="3">
      <formula>AND(ISNUMBER(I101),I101&gt;0.1)</formula>
    </cfRule>
    <cfRule type="expression" dxfId="84" priority="4">
      <formula>AND(ISNUMBER(I101),I101&lt;-0.1)</formula>
    </cfRule>
  </conditionalFormatting>
  <conditionalFormatting sqref="L122:L133">
    <cfRule type="expression" dxfId="83" priority="8">
      <formula>LEFT(L122,1)="▲"</formula>
    </cfRule>
    <cfRule type="expression" dxfId="82" priority="9">
      <formula>LEFT(L122,1)="✔"</formula>
    </cfRule>
  </conditionalFormatting>
  <conditionalFormatting sqref="M101:M118">
    <cfRule type="dataBar" priority="2">
      <dataBar>
        <cfvo type="num" val="0"/>
        <cfvo type="max"/>
        <color rgb="FFD4A017"/>
      </dataBar>
    </cfRule>
  </conditionalFormatting>
  <conditionalFormatting sqref="O101:O118">
    <cfRule type="expression" dxfId="81" priority="5">
      <formula>AND(ISNUMBER(O101),O101&gt;0.1)</formula>
    </cfRule>
    <cfRule type="expression" dxfId="80" priority="6">
      <formula>AND(ISNUMBER(O101),O101&lt;-0.1)</formula>
    </cfRule>
  </conditionalFormatting>
  <hyperlinks>
    <hyperlink ref="A5" location="'FM_Dashboard'!A1" display="▶ FM Dashboard" xr:uid="{00000000-0004-0000-0000-000000000000}"/>
    <hyperlink ref="A7" location="'PerCapita_Pyramid'!A1" display="   Per-Capita Pyramid" xr:uid="{00000000-0004-0000-0000-000001000000}"/>
    <hyperlink ref="A9" location="'Monthly KPI Report'!A1" display="   Monthly KPI" xr:uid="{00000000-0004-0000-0000-000002000000}"/>
    <hyperlink ref="A11" location="'Complaints summary'!A1" display="   Complaints" xr:uid="{00000000-0004-0000-0000-000003000000}"/>
    <hyperlink ref="A13" location="'Building wise water'!A1" display="   Water - Bldg" xr:uid="{00000000-0004-0000-0000-000004000000}"/>
    <hyperlink ref="A15" location="'LPCD'!A1" display="   LPCD" xr:uid="{00000000-0004-0000-0000-000005000000}"/>
    <hyperlink ref="A17" location="'WQ'!A1" display="   Water Quality" xr:uid="{00000000-0004-0000-0000-000006000000}"/>
    <hyperlink ref="A19" location="'Power data'!A1" display="   Power" xr:uid="{00000000-0004-0000-0000-000007000000}"/>
    <hyperlink ref="A21" location="'EPI'!A1" display="   EPI" xr:uid="{00000000-0004-0000-0000-000008000000}"/>
    <hyperlink ref="A23" location="'Power Building wise'!A1" display="   Power - Bldg" xr:uid="{00000000-0004-0000-0000-000009000000}"/>
    <hyperlink ref="A25" location="'Solar Power'!A1" display="   Solar" xr:uid="{00000000-0004-0000-0000-00000A000000}"/>
    <hyperlink ref="A27" location="'HVAC consumption'!A1" display="   HVAC" xr:uid="{00000000-0004-0000-0000-00000B000000}"/>
    <hyperlink ref="A29" location="'DG Units Generated'!A1" display="   DG / Outages" xr:uid="{00000000-0004-0000-0000-00000C000000}"/>
    <hyperlink ref="A31" location="'Technical manpower cost'!A1" display="   Tech Manpower" xr:uid="{00000000-0004-0000-0000-00000D000000}"/>
    <hyperlink ref="A33" location="'Attendance'!A1" display="   Attendance" xr:uid="{00000000-0004-0000-0000-00000E000000}"/>
    <hyperlink ref="A35" location="'Building_Master'!A1" display="   Building Master" xr:uid="{00000000-0004-0000-0000-00000F000000}"/>
    <hyperlink ref="A37" location="'MIS_Calc'!A1" display="   Calc engine" xr:uid="{00000000-0004-0000-0000-000010000000}"/>
  </hyperlinks>
  <pageMargins left="0.75" right="0.75" top="1" bottom="1" header="0.5" footer="0.5"/>
  <pageSetup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000-000007000000}">
            <xm:f>$B101=MIS_Calc!$B$4</xm:f>
            <x14:dxf>
              <font>
                <b/>
                <color rgb="FF145A32"/>
              </font>
              <fill>
                <patternFill patternType="solid">
                  <fgColor rgb="FFFCF3CF"/>
                </patternFill>
              </fill>
            </x14:dxf>
          </x14:cfRule>
          <xm:sqref>B101:Y118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MIS_Calc!$E$3:$E$15</xm:f>
          </x14:formula1>
          <xm:sqref>D5</xm:sqref>
        </x14:dataValidation>
        <x14:dataValidation type="list" xr:uid="{00000000-0002-0000-0000-000001000000}">
          <x14:formula1>
            <xm:f>MIS_Calc!$CU$3:$CU$21</xm:f>
          </x14:formula1>
          <xm:sqref>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227"/>
    <pageSetUpPr fitToPage="1"/>
  </sheetPr>
  <dimension ref="A1:Z240"/>
  <sheetViews>
    <sheetView showGridLines="0" topLeftCell="B20" zoomScale="85" workbookViewId="0">
      <selection activeCell="O90" sqref="O90"/>
    </sheetView>
  </sheetViews>
  <sheetFormatPr defaultRowHeight="14.25" x14ac:dyDescent="0.2"/>
  <cols>
    <col min="1" max="1" width="17" customWidth="1"/>
    <col min="2" max="25" width="7.625" customWidth="1"/>
    <col min="26" max="26" width="2" customWidth="1"/>
  </cols>
  <sheetData>
    <row r="1" spans="1:26" ht="44.1" customHeight="1" x14ac:dyDescent="0.2">
      <c r="A1" s="193" t="s">
        <v>0</v>
      </c>
      <c r="B1" s="417" t="s">
        <v>76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194"/>
    </row>
    <row r="2" spans="1:26" ht="20.100000000000001" customHeight="1" x14ac:dyDescent="0.2">
      <c r="A2" s="195" t="s">
        <v>77</v>
      </c>
      <c r="B2" s="395" t="str">
        <f>"Live MIS data Jan-26 to "&amp;MIS_Calc!$B$6&amp;"  •  "&amp;TEXT(MIS_Calc!$B$15,"#,##0")&amp;" occupants (LPCD sheet)  •  "&amp;TEXT(MIS_Calc!$B$7,"#,##0")&amp;" m²  •  100 = Avg-2025 baseline, above 100 = better"</f>
        <v>Live MIS data Jan-26 to Aug-26  •  1,354 occupants (LPCD sheet)  •  52,652 m²  •  100 = Avg-2025 baseline, above 100 = better</v>
      </c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194"/>
    </row>
    <row r="3" spans="1:26" ht="5.0999999999999996" customHeight="1" x14ac:dyDescent="0.2">
      <c r="A3" s="196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</row>
    <row r="4" spans="1:26" ht="15.95" customHeight="1" x14ac:dyDescent="0.2">
      <c r="A4" s="196"/>
      <c r="B4" s="244" t="s">
        <v>3</v>
      </c>
      <c r="C4" s="231"/>
      <c r="D4" s="276"/>
      <c r="E4" s="231"/>
      <c r="F4" s="231"/>
      <c r="G4" s="231"/>
      <c r="H4" s="298" t="str">
        <f>"Showing: "&amp;MIS_Calc!$B$5&amp;"   |   population base "&amp;TEXT(MIS_Calc!$B$15,"#,##0")&amp;" persons  •  "&amp;TEXT(MIS_Calc!$B$14,"0.0")&amp;" days"</f>
        <v>Showing: Aug-26   |   population base 1,354 persons  •  31.0 days</v>
      </c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194"/>
    </row>
    <row r="5" spans="1:26" ht="26.1" customHeight="1" x14ac:dyDescent="0.2">
      <c r="A5" s="197" t="s">
        <v>78</v>
      </c>
      <c r="B5" s="418" t="s">
        <v>6</v>
      </c>
      <c r="C5" s="231"/>
      <c r="D5" s="364" t="s">
        <v>7</v>
      </c>
      <c r="E5" s="365"/>
      <c r="F5" s="365"/>
      <c r="G5" s="365"/>
      <c r="H5" s="277" t="s">
        <v>79</v>
      </c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194"/>
    </row>
    <row r="6" spans="1:26" ht="8.1" customHeight="1" x14ac:dyDescent="0.2">
      <c r="A6" s="196"/>
      <c r="B6" s="194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</row>
    <row r="7" spans="1:26" ht="20.100000000000001" customHeight="1" x14ac:dyDescent="0.2">
      <c r="A7" s="198" t="s">
        <v>80</v>
      </c>
      <c r="B7" s="399" t="s">
        <v>81</v>
      </c>
      <c r="C7" s="400"/>
      <c r="D7" s="400"/>
      <c r="E7" s="400"/>
      <c r="F7" s="400"/>
      <c r="G7" s="400"/>
      <c r="H7" s="400"/>
      <c r="I7" s="400"/>
      <c r="J7" s="400"/>
      <c r="K7" s="400"/>
      <c r="L7" s="400"/>
      <c r="M7" s="400"/>
      <c r="N7" s="400"/>
      <c r="O7" s="400"/>
      <c r="P7" s="400"/>
      <c r="Q7" s="400"/>
      <c r="R7" s="400"/>
      <c r="S7" s="400"/>
      <c r="T7" s="400"/>
      <c r="U7" s="400"/>
      <c r="V7" s="400"/>
      <c r="W7" s="400"/>
      <c r="X7" s="400"/>
      <c r="Y7" s="400"/>
      <c r="Z7" s="194"/>
    </row>
    <row r="8" spans="1:26" ht="6.95" customHeight="1" x14ac:dyDescent="0.2">
      <c r="A8" s="196"/>
      <c r="B8" s="194"/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</row>
    <row r="9" spans="1:26" ht="20.100000000000001" customHeight="1" x14ac:dyDescent="0.2">
      <c r="A9" s="197" t="s">
        <v>18</v>
      </c>
      <c r="B9" s="376" t="s">
        <v>82</v>
      </c>
      <c r="C9" s="227"/>
      <c r="D9" s="227"/>
      <c r="E9" s="227"/>
      <c r="F9" s="227"/>
      <c r="G9" s="227"/>
      <c r="H9" s="227"/>
      <c r="I9" s="227"/>
      <c r="J9" s="194"/>
      <c r="K9" s="350" t="s">
        <v>83</v>
      </c>
      <c r="L9" s="351"/>
      <c r="M9" s="351"/>
      <c r="N9" s="351"/>
      <c r="O9" s="351"/>
      <c r="P9" s="352"/>
      <c r="Q9" s="194"/>
      <c r="R9" s="342" t="str">
        <f>"Scored on "&amp;SUM(MIS_Calc!$L$279:$L$309)&amp;" core per-capita KPIs across 6 domains"&amp;CHAR(10)&amp;MIS_Calc!E322</f>
        <v>Scored on 18 core per-capita KPIs across 6 domains
8 better  •  4 in line  •  7 watch  •  7 no data</v>
      </c>
      <c r="S9" s="227"/>
      <c r="T9" s="227"/>
      <c r="U9" s="227"/>
      <c r="V9" s="227"/>
      <c r="W9" s="227"/>
      <c r="X9" s="227"/>
      <c r="Y9" s="227"/>
      <c r="Z9" s="194"/>
    </row>
    <row r="10" spans="1:26" ht="44.1" customHeight="1" x14ac:dyDescent="0.2">
      <c r="A10" s="196"/>
      <c r="B10" s="227"/>
      <c r="C10" s="227"/>
      <c r="D10" s="227"/>
      <c r="E10" s="227"/>
      <c r="F10" s="227"/>
      <c r="G10" s="227"/>
      <c r="H10" s="227"/>
      <c r="I10" s="227"/>
      <c r="J10" s="194"/>
      <c r="K10" s="371">
        <f>IF(MIS_Calc!C322="","–",MIS_Calc!C322)</f>
        <v>105.204478723652</v>
      </c>
      <c r="L10" s="231"/>
      <c r="M10" s="231"/>
      <c r="N10" s="231"/>
      <c r="O10" s="231"/>
      <c r="P10" s="372"/>
      <c r="Q10" s="194"/>
      <c r="R10" s="227"/>
      <c r="S10" s="227"/>
      <c r="T10" s="227"/>
      <c r="U10" s="227"/>
      <c r="V10" s="227"/>
      <c r="W10" s="227"/>
      <c r="X10" s="227"/>
      <c r="Y10" s="227"/>
      <c r="Z10" s="194"/>
    </row>
    <row r="11" spans="1:26" ht="18" customHeight="1" x14ac:dyDescent="0.2">
      <c r="A11" s="197" t="s">
        <v>19</v>
      </c>
      <c r="B11" s="227"/>
      <c r="C11" s="227"/>
      <c r="D11" s="227"/>
      <c r="E11" s="227"/>
      <c r="F11" s="227"/>
      <c r="G11" s="227"/>
      <c r="H11" s="227"/>
      <c r="I11" s="227"/>
      <c r="J11" s="194"/>
      <c r="K11" s="374" t="str">
        <f>MIS_Calc!D322</f>
        <v>✔ Better than 2025</v>
      </c>
      <c r="L11" s="231"/>
      <c r="M11" s="231"/>
      <c r="N11" s="231"/>
      <c r="O11" s="231"/>
      <c r="P11" s="372"/>
      <c r="Q11" s="194"/>
      <c r="R11" s="227"/>
      <c r="S11" s="227"/>
      <c r="T11" s="227"/>
      <c r="U11" s="227"/>
      <c r="V11" s="227"/>
      <c r="W11" s="227"/>
      <c r="X11" s="227"/>
      <c r="Y11" s="227"/>
      <c r="Z11" s="194"/>
    </row>
    <row r="12" spans="1:26" ht="14.1" customHeight="1" x14ac:dyDescent="0.2">
      <c r="A12" s="196"/>
      <c r="B12" s="227"/>
      <c r="C12" s="227"/>
      <c r="D12" s="227"/>
      <c r="E12" s="227"/>
      <c r="F12" s="227"/>
      <c r="G12" s="227"/>
      <c r="H12" s="227"/>
      <c r="I12" s="227"/>
      <c r="J12" s="194"/>
      <c r="K12" s="402" t="str">
        <f>IF(MIS_Calc!C322="","INDEX SCORE  •  100 = Avg-2025","INDEX SCORE  •  100 = Avg-2025  •  "&amp;TEXT(MIS_Calc!C322-100,"+0.0;-0.0;0")&amp;" pts vs 2025")</f>
        <v>INDEX SCORE  •  100 = Avg-2025  •  +5.2 pts vs 2025</v>
      </c>
      <c r="L12" s="403"/>
      <c r="M12" s="403"/>
      <c r="N12" s="403"/>
      <c r="O12" s="403"/>
      <c r="P12" s="404"/>
      <c r="Q12" s="194"/>
      <c r="R12" s="227"/>
      <c r="S12" s="227"/>
      <c r="T12" s="227"/>
      <c r="U12" s="227"/>
      <c r="V12" s="227"/>
      <c r="W12" s="227"/>
      <c r="X12" s="227"/>
      <c r="Y12" s="227"/>
      <c r="Z12" s="194"/>
    </row>
    <row r="13" spans="1:26" ht="6.95" customHeight="1" x14ac:dyDescent="0.2">
      <c r="A13" s="197" t="s">
        <v>26</v>
      </c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</row>
    <row r="14" spans="1:26" ht="18" customHeight="1" x14ac:dyDescent="0.2">
      <c r="A14" s="196"/>
      <c r="B14" s="376" t="s">
        <v>84</v>
      </c>
      <c r="C14" s="227"/>
      <c r="D14" s="227"/>
      <c r="E14" s="227"/>
      <c r="F14" s="227"/>
      <c r="G14" s="194"/>
      <c r="H14" s="380" t="s">
        <v>85</v>
      </c>
      <c r="I14" s="319"/>
      <c r="J14" s="319"/>
      <c r="K14" s="381"/>
      <c r="L14" s="397" t="s">
        <v>86</v>
      </c>
      <c r="M14" s="321"/>
      <c r="N14" s="321"/>
      <c r="O14" s="398"/>
      <c r="P14" s="309" t="s">
        <v>87</v>
      </c>
      <c r="Q14" s="310"/>
      <c r="R14" s="310"/>
      <c r="S14" s="311"/>
      <c r="T14" s="194"/>
      <c r="U14" s="387" t="s">
        <v>88</v>
      </c>
      <c r="V14" s="227"/>
      <c r="W14" s="227"/>
      <c r="X14" s="227"/>
      <c r="Y14" s="227"/>
      <c r="Z14" s="194"/>
    </row>
    <row r="15" spans="1:26" ht="33.950000000000003" customHeight="1" x14ac:dyDescent="0.2">
      <c r="A15" s="197" t="s">
        <v>27</v>
      </c>
      <c r="B15" s="227"/>
      <c r="C15" s="227"/>
      <c r="D15" s="227"/>
      <c r="E15" s="227"/>
      <c r="F15" s="227"/>
      <c r="G15" s="194"/>
      <c r="H15" s="415">
        <f>IF(MIS_Calc!C319="","–",MIS_Calc!C319)</f>
        <v>121.90229017247944</v>
      </c>
      <c r="I15" s="231"/>
      <c r="J15" s="231"/>
      <c r="K15" s="336"/>
      <c r="L15" s="373">
        <f>IF(MIS_Calc!C320="","–",MIS_Calc!C320)</f>
        <v>113.27105600397682</v>
      </c>
      <c r="M15" s="231"/>
      <c r="N15" s="231"/>
      <c r="O15" s="327"/>
      <c r="P15" s="394">
        <f>IF(MIS_Calc!C321="","–",MIS_Calc!C321)</f>
        <v>80.440089994499687</v>
      </c>
      <c r="Q15" s="231"/>
      <c r="R15" s="231"/>
      <c r="S15" s="333"/>
      <c r="T15" s="194"/>
      <c r="U15" s="227"/>
      <c r="V15" s="227"/>
      <c r="W15" s="227"/>
      <c r="X15" s="227"/>
      <c r="Y15" s="227"/>
      <c r="Z15" s="194"/>
    </row>
    <row r="16" spans="1:26" ht="15.95" customHeight="1" x14ac:dyDescent="0.2">
      <c r="A16" s="196"/>
      <c r="B16" s="227"/>
      <c r="C16" s="227"/>
      <c r="D16" s="227"/>
      <c r="E16" s="227"/>
      <c r="F16" s="227"/>
      <c r="G16" s="194"/>
      <c r="H16" s="335" t="str">
        <f>MIS_Calc!D319</f>
        <v>✔ Better than 2025</v>
      </c>
      <c r="I16" s="231"/>
      <c r="J16" s="231"/>
      <c r="K16" s="336"/>
      <c r="L16" s="326" t="str">
        <f>MIS_Calc!D320</f>
        <v>✔ Better than 2025</v>
      </c>
      <c r="M16" s="231"/>
      <c r="N16" s="231"/>
      <c r="O16" s="327"/>
      <c r="P16" s="392" t="str">
        <f>MIS_Calc!D321</f>
        <v>▲ Below 2025</v>
      </c>
      <c r="Q16" s="231"/>
      <c r="R16" s="231"/>
      <c r="S16" s="333"/>
      <c r="T16" s="194"/>
      <c r="U16" s="227"/>
      <c r="V16" s="227"/>
      <c r="W16" s="227"/>
      <c r="X16" s="227"/>
      <c r="Y16" s="227"/>
      <c r="Z16" s="194"/>
    </row>
    <row r="17" spans="1:26" ht="14.1" customHeight="1" x14ac:dyDescent="0.2">
      <c r="A17" s="197" t="s">
        <v>28</v>
      </c>
      <c r="B17" s="227"/>
      <c r="C17" s="227"/>
      <c r="D17" s="227"/>
      <c r="E17" s="227"/>
      <c r="F17" s="227"/>
      <c r="G17" s="194"/>
      <c r="H17" s="329" t="str">
        <f>"PILLAR SCORE = avg(Energy, Water)"</f>
        <v>PILLAR SCORE = avg(Energy, Water)</v>
      </c>
      <c r="I17" s="330"/>
      <c r="J17" s="330"/>
      <c r="K17" s="331"/>
      <c r="L17" s="405" t="str">
        <f>"PILLAR SCORE = avg(Solar, Treatment)"</f>
        <v>PILLAR SCORE = avg(Solar, Treatment)</v>
      </c>
      <c r="M17" s="406"/>
      <c r="N17" s="406"/>
      <c r="O17" s="407"/>
      <c r="P17" s="337" t="str">
        <f>"PILLAR = avg(Service Desk, People &amp; Cost)"</f>
        <v>PILLAR = avg(Service Desk, People &amp; Cost)</v>
      </c>
      <c r="Q17" s="338"/>
      <c r="R17" s="338"/>
      <c r="S17" s="339"/>
      <c r="T17" s="194"/>
      <c r="U17" s="227"/>
      <c r="V17" s="227"/>
      <c r="W17" s="227"/>
      <c r="X17" s="227"/>
      <c r="Y17" s="227"/>
      <c r="Z17" s="194"/>
    </row>
    <row r="18" spans="1:26" ht="6.95" customHeight="1" x14ac:dyDescent="0.2">
      <c r="A18" s="196"/>
      <c r="B18" s="194"/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</row>
    <row r="19" spans="1:26" ht="18" customHeight="1" x14ac:dyDescent="0.2">
      <c r="A19" s="197" t="s">
        <v>29</v>
      </c>
      <c r="B19" s="376" t="s">
        <v>89</v>
      </c>
      <c r="C19" s="227"/>
      <c r="D19" s="227"/>
      <c r="E19" s="380" t="s">
        <v>90</v>
      </c>
      <c r="F19" s="319"/>
      <c r="G19" s="381"/>
      <c r="H19" s="380" t="s">
        <v>91</v>
      </c>
      <c r="I19" s="319"/>
      <c r="J19" s="381"/>
      <c r="K19" s="397" t="s">
        <v>92</v>
      </c>
      <c r="L19" s="321"/>
      <c r="M19" s="398"/>
      <c r="N19" s="397" t="s">
        <v>93</v>
      </c>
      <c r="O19" s="321"/>
      <c r="P19" s="398"/>
      <c r="Q19" s="309" t="s">
        <v>94</v>
      </c>
      <c r="R19" s="310"/>
      <c r="S19" s="311"/>
      <c r="T19" s="309" t="s">
        <v>95</v>
      </c>
      <c r="U19" s="310"/>
      <c r="V19" s="311"/>
      <c r="W19" s="387" t="s">
        <v>96</v>
      </c>
      <c r="X19" s="227"/>
      <c r="Y19" s="227"/>
      <c r="Z19" s="194"/>
    </row>
    <row r="20" spans="1:26" ht="27.95" customHeight="1" x14ac:dyDescent="0.2">
      <c r="A20" s="196"/>
      <c r="B20" s="227"/>
      <c r="C20" s="227"/>
      <c r="D20" s="227"/>
      <c r="E20" s="382">
        <f>IF(MIS_Calc!C313="","–",MIS_Calc!C313)</f>
        <v>93.804580344958879</v>
      </c>
      <c r="F20" s="231"/>
      <c r="G20" s="336"/>
      <c r="H20" s="382">
        <f>IF(MIS_Calc!C314="","–",MIS_Calc!C314)</f>
        <v>150</v>
      </c>
      <c r="I20" s="231"/>
      <c r="J20" s="336"/>
      <c r="K20" s="334">
        <f>IF(MIS_Calc!C315="","–",MIS_Calc!C315)</f>
        <v>128.75927677201247</v>
      </c>
      <c r="L20" s="231"/>
      <c r="M20" s="327"/>
      <c r="N20" s="334">
        <f>IF(MIS_Calc!C316="","–",MIS_Calc!C316)</f>
        <v>97.782835235941178</v>
      </c>
      <c r="O20" s="231"/>
      <c r="P20" s="327"/>
      <c r="Q20" s="332">
        <f>IF(MIS_Calc!C317="","–",MIS_Calc!C317)</f>
        <v>58.796296296296305</v>
      </c>
      <c r="R20" s="231"/>
      <c r="S20" s="333"/>
      <c r="T20" s="332">
        <f>IF(MIS_Calc!C318="","–",MIS_Calc!C318)</f>
        <v>102.08388369270307</v>
      </c>
      <c r="U20" s="231"/>
      <c r="V20" s="333"/>
      <c r="W20" s="227"/>
      <c r="X20" s="227"/>
      <c r="Y20" s="227"/>
      <c r="Z20" s="194"/>
    </row>
    <row r="21" spans="1:26" ht="15" customHeight="1" x14ac:dyDescent="0.2">
      <c r="A21" s="197" t="s">
        <v>30</v>
      </c>
      <c r="B21" s="227"/>
      <c r="C21" s="227"/>
      <c r="D21" s="227"/>
      <c r="E21" s="335" t="str">
        <f>IF(MIS_Calc!F313="","no data this month",TEXT(MIS_Calc!F313,MIS_Calc!M279)&amp;" kWh/p/mo")</f>
        <v>108.1 kWh/p/mo</v>
      </c>
      <c r="F21" s="231"/>
      <c r="G21" s="336"/>
      <c r="H21" s="335" t="str">
        <f>IF(MIS_Calc!F314="","no data this month",TEXT(MIS_Calc!F314,MIS_Calc!M286)&amp;" LPCD")</f>
        <v>334.2 LPCD</v>
      </c>
      <c r="I21" s="231"/>
      <c r="J21" s="336"/>
      <c r="K21" s="326" t="str">
        <f>IF(MIS_Calc!F315="","no data this month",TEXT(MIS_Calc!F315,MIS_Calc!M292)&amp;" kWh/p/mo")</f>
        <v>85.6 kWh/p/mo</v>
      </c>
      <c r="L21" s="231"/>
      <c r="M21" s="327"/>
      <c r="N21" s="326" t="str">
        <f>IF(MIS_Calc!F316="","no data this month",TEXT(MIS_Calc!F316,MIS_Calc!M288)&amp;" L/p/day STP")</f>
        <v>63.9 L/p/day STP</v>
      </c>
      <c r="O21" s="231"/>
      <c r="P21" s="327"/>
      <c r="Q21" s="392" t="str">
        <f>IF(MIS_Calc!F317="","no data this month",TEXT(MIS_Calc!F317,MIS_Calc!M299)&amp;" /100p/mo")</f>
        <v>15.95 /100p/mo</v>
      </c>
      <c r="R21" s="231"/>
      <c r="S21" s="333"/>
      <c r="T21" s="392" t="str">
        <f>IF(MIS_Calc!F318="",IF(MIS_Calc!C318="","no data this month","OPEX not yet invoiced"),TEXT(MIS_Calc!F318,MIS_Calc!M306)&amp;" ₹ OPEX/p/mo")</f>
        <v>OPEX not yet invoiced</v>
      </c>
      <c r="U21" s="231"/>
      <c r="V21" s="333"/>
      <c r="W21" s="227"/>
      <c r="X21" s="227"/>
      <c r="Y21" s="227"/>
      <c r="Z21" s="194"/>
    </row>
    <row r="22" spans="1:26" ht="14.1" customHeight="1" x14ac:dyDescent="0.2">
      <c r="A22" s="196"/>
      <c r="B22" s="227"/>
      <c r="C22" s="227"/>
      <c r="D22" s="227"/>
      <c r="E22" s="347" t="str">
        <f>"SCORE  •  "&amp;MIS_Calc!G313&amp;" of "&amp;COUNTIFS(MIS_Calc!$B$279:$B$309,MIS_Calc!B313,MIS_Calc!$L$279:$L$309,1)&amp;" KPIs"</f>
        <v>SCORE  •  5 of 5 KPIs</v>
      </c>
      <c r="F22" s="348"/>
      <c r="G22" s="349"/>
      <c r="H22" s="329" t="str">
        <f>"SCORE  •  "&amp;MIS_Calc!G314&amp;" of "&amp;COUNTIFS(MIS_Calc!$B$279:$B$309,MIS_Calc!B314,MIS_Calc!$L$279:$L$309,1)&amp;" KPIs"</f>
        <v>SCORE  •  2 of 2 KPIs</v>
      </c>
      <c r="I22" s="330"/>
      <c r="J22" s="331"/>
      <c r="K22" s="383" t="str">
        <f>"SCORE  •  "&amp;MIS_Calc!G315&amp;" of "&amp;COUNTIFS(MIS_Calc!$B$279:$B$309,MIS_Calc!B315,MIS_Calc!$L$279:$L$309,1)&amp;" KPIs"</f>
        <v>SCORE  •  2 of 2 KPIs</v>
      </c>
      <c r="L22" s="384"/>
      <c r="M22" s="385"/>
      <c r="N22" s="405" t="str">
        <f>"SCORE  •  "&amp;MIS_Calc!G316&amp;" of "&amp;COUNTIFS(MIS_Calc!$B$279:$B$309,MIS_Calc!B316,MIS_Calc!$L$279:$L$309,1)&amp;" KPIs"</f>
        <v>SCORE  •  2 of 2 KPIs</v>
      </c>
      <c r="O22" s="406"/>
      <c r="P22" s="407"/>
      <c r="Q22" s="337" t="str">
        <f>"SCORE  •  "&amp;MIS_Calc!G317&amp;" of "&amp;COUNTIFS(MIS_Calc!$B$279:$B$309,MIS_Calc!B317,MIS_Calc!$L$279:$L$309,1)&amp;" KPIs"</f>
        <v>SCORE  •  2 of 3 KPIs</v>
      </c>
      <c r="R22" s="338"/>
      <c r="S22" s="339"/>
      <c r="T22" s="337" t="str">
        <f>"SCORE  •  "&amp;MIS_Calc!G318&amp;" of "&amp;COUNTIFS(MIS_Calc!$B$279:$B$309,MIS_Calc!B318,MIS_Calc!$L$279:$L$309,1)&amp;" KPIs"</f>
        <v>SCORE  •  1 of 4 KPIs</v>
      </c>
      <c r="U22" s="338"/>
      <c r="V22" s="339"/>
      <c r="W22" s="227"/>
      <c r="X22" s="227"/>
      <c r="Y22" s="227"/>
      <c r="Z22" s="194"/>
    </row>
    <row r="23" spans="1:26" ht="6.95" customHeight="1" x14ac:dyDescent="0.2">
      <c r="A23" s="197" t="s">
        <v>31</v>
      </c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</row>
    <row r="24" spans="1:26" ht="15.95" customHeight="1" x14ac:dyDescent="0.2">
      <c r="A24" s="196"/>
      <c r="B24" s="386" t="s">
        <v>97</v>
      </c>
      <c r="C24" s="227"/>
      <c r="D24" s="227"/>
      <c r="E24" s="227"/>
      <c r="F24" s="227"/>
      <c r="G24" s="227"/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194"/>
    </row>
    <row r="25" spans="1:26" ht="18" customHeight="1" x14ac:dyDescent="0.2">
      <c r="A25" s="197" t="s">
        <v>32</v>
      </c>
      <c r="B25" s="318" t="s">
        <v>98</v>
      </c>
      <c r="C25" s="319"/>
      <c r="D25" s="318" t="s">
        <v>99</v>
      </c>
      <c r="E25" s="319"/>
      <c r="F25" s="318" t="s">
        <v>100</v>
      </c>
      <c r="G25" s="319"/>
      <c r="H25" s="318" t="s">
        <v>101</v>
      </c>
      <c r="I25" s="319"/>
      <c r="J25" s="318" t="s">
        <v>102</v>
      </c>
      <c r="K25" s="319"/>
      <c r="L25" s="318" t="s">
        <v>103</v>
      </c>
      <c r="M25" s="319"/>
      <c r="N25" s="320" t="s">
        <v>104</v>
      </c>
      <c r="O25" s="321"/>
      <c r="P25" s="320" t="s">
        <v>105</v>
      </c>
      <c r="Q25" s="321"/>
      <c r="R25" s="314" t="s">
        <v>106</v>
      </c>
      <c r="S25" s="310"/>
      <c r="T25" s="314" t="s">
        <v>107</v>
      </c>
      <c r="U25" s="310"/>
      <c r="V25" s="314" t="s">
        <v>108</v>
      </c>
      <c r="W25" s="310"/>
      <c r="X25" s="314" t="s">
        <v>109</v>
      </c>
      <c r="Y25" s="310"/>
      <c r="Z25" s="194"/>
    </row>
    <row r="26" spans="1:26" ht="26.1" customHeight="1" x14ac:dyDescent="0.2">
      <c r="A26" s="196"/>
      <c r="B26" s="393">
        <f>IF(MIS_Calc!E279="","–",MIS_Calc!E279)</f>
        <v>108.11078286558346</v>
      </c>
      <c r="C26" s="231"/>
      <c r="D26" s="412">
        <f>IF(MIS_Calc!E280="","–",MIS_Calc!E280)</f>
        <v>1351.2341211225996</v>
      </c>
      <c r="E26" s="231"/>
      <c r="F26" s="313">
        <f>IF(MIS_Calc!E282="","–",MIS_Calc!E282)</f>
        <v>16.21704579025111</v>
      </c>
      <c r="G26" s="231"/>
      <c r="H26" s="313">
        <f>IF(MIS_Calc!E281="","–",MIS_Calc!E281)</f>
        <v>2.7801652097282279</v>
      </c>
      <c r="I26" s="231"/>
      <c r="J26" s="393">
        <f>IF(MIS_Calc!E286="","–",MIS_Calc!E286)</f>
        <v>334.15924143517418</v>
      </c>
      <c r="K26" s="231"/>
      <c r="L26" s="393">
        <f>IF(MIS_Calc!E287="","–",MIS_Calc!E287)</f>
        <v>285.77214466098059</v>
      </c>
      <c r="M26" s="231"/>
      <c r="N26" s="416">
        <f>IF(MIS_Calc!E292="","–",MIS_Calc!E292)</f>
        <v>85.606351550960113</v>
      </c>
      <c r="O26" s="231"/>
      <c r="P26" s="416">
        <f>IF(MIS_Calc!E288="","–",MIS_Calc!E288)</f>
        <v>63.920522228045932</v>
      </c>
      <c r="Q26" s="231"/>
      <c r="R26" s="369">
        <f>IF(MIS_Calc!E299="","–",MIS_Calc!E299)</f>
        <v>15.952732644017726</v>
      </c>
      <c r="S26" s="231"/>
      <c r="T26" s="370">
        <f>IF(MIS_Calc!E300="","–",MIS_Calc!E300)</f>
        <v>0.67592592592592593</v>
      </c>
      <c r="U26" s="231"/>
      <c r="V26" s="411" t="str">
        <f>IF(MIS_Calc!E306="","–",MIS_Calc!E306)</f>
        <v>–</v>
      </c>
      <c r="W26" s="231"/>
      <c r="X26" s="322">
        <f>IF(MIS_Calc!E308="","–",MIS_Calc!E308)</f>
        <v>50.148148148148145</v>
      </c>
      <c r="Y26" s="231"/>
      <c r="Z26" s="194"/>
    </row>
    <row r="27" spans="1:26" ht="12.95" customHeight="1" x14ac:dyDescent="0.2">
      <c r="A27" s="197" t="s">
        <v>33</v>
      </c>
      <c r="B27" s="324" t="s">
        <v>110</v>
      </c>
      <c r="C27" s="231"/>
      <c r="D27" s="324" t="s">
        <v>111</v>
      </c>
      <c r="E27" s="231"/>
      <c r="F27" s="324" t="s">
        <v>112</v>
      </c>
      <c r="G27" s="231"/>
      <c r="H27" s="324" t="s">
        <v>113</v>
      </c>
      <c r="I27" s="231"/>
      <c r="J27" s="324" t="s">
        <v>114</v>
      </c>
      <c r="K27" s="231"/>
      <c r="L27" s="324" t="s">
        <v>115</v>
      </c>
      <c r="M27" s="231"/>
      <c r="N27" s="389" t="s">
        <v>110</v>
      </c>
      <c r="O27" s="231"/>
      <c r="P27" s="389" t="s">
        <v>115</v>
      </c>
      <c r="Q27" s="231"/>
      <c r="R27" s="355" t="s">
        <v>116</v>
      </c>
      <c r="S27" s="231"/>
      <c r="T27" s="355" t="s">
        <v>117</v>
      </c>
      <c r="U27" s="231"/>
      <c r="V27" s="355" t="s">
        <v>118</v>
      </c>
      <c r="W27" s="231"/>
      <c r="X27" s="355" t="s">
        <v>119</v>
      </c>
      <c r="Y27" s="231"/>
      <c r="Z27" s="194"/>
    </row>
    <row r="28" spans="1:26" ht="15" customHeight="1" x14ac:dyDescent="0.2">
      <c r="A28" s="196"/>
      <c r="B28" s="317" t="str">
        <f>IF(MIS_Calc!H279="","–",TEXT(MIS_Calc!H279,"+0%;-0%;0%")&amp;" "&amp;LEFT(MIS_Calc!J279,1))</f>
        <v>+10% ▲</v>
      </c>
      <c r="C28" s="231"/>
      <c r="D28" s="317" t="str">
        <f>IF(MIS_Calc!H280="","–",TEXT(MIS_Calc!H280,"+0%;-0%;0%")&amp;" "&amp;LEFT(MIS_Calc!J280,1))</f>
        <v>+5% ▲</v>
      </c>
      <c r="E28" s="231"/>
      <c r="F28" s="317" t="str">
        <f>IF(MIS_Calc!H282="","–",TEXT(MIS_Calc!H282,"+0%;-0%;0%")&amp;" "&amp;LEFT(MIS_Calc!J282,1))</f>
        <v>+5% ●</v>
      </c>
      <c r="G28" s="231"/>
      <c r="H28" s="317" t="str">
        <f>IF(MIS_Calc!H281="","–",TEXT(MIS_Calc!H281,"+0%;-0%;0%")&amp;" "&amp;LEFT(MIS_Calc!J281,1))</f>
        <v>+10% ▲</v>
      </c>
      <c r="I28" s="231"/>
      <c r="J28" s="317" t="str">
        <f>IF(MIS_Calc!H286="","–",TEXT(MIS_Calc!H286,"+0%;-0%;0%")&amp;" "&amp;LEFT(MIS_Calc!J286,1))</f>
        <v>-86% ✔</v>
      </c>
      <c r="K28" s="231"/>
      <c r="L28" s="317" t="str">
        <f>IF(MIS_Calc!H287="","–",TEXT(MIS_Calc!H287,"+0%;-0%;0%")&amp;" "&amp;LEFT(MIS_Calc!J287,1))</f>
        <v>-60% ✔</v>
      </c>
      <c r="M28" s="231"/>
      <c r="N28" s="328" t="str">
        <f>IF(MIS_Calc!H292="","–",TEXT(MIS_Calc!H292,"+0%;-0%;0%")&amp;" "&amp;LEFT(MIS_Calc!J292,1))</f>
        <v>+35% ✔</v>
      </c>
      <c r="O28" s="231"/>
      <c r="P28" s="328" t="str">
        <f>IF(MIS_Calc!H288="","–",TEXT(MIS_Calc!H288,"+0%;-0%;0%")&amp;" "&amp;LEFT(MIS_Calc!J288,1))</f>
        <v>-42% ▲</v>
      </c>
      <c r="Q28" s="231"/>
      <c r="R28" s="315" t="str">
        <f>IF(MIS_Calc!H299="","–",TEXT(MIS_Calc!H299,"+0%;-0%;0%")&amp;" "&amp;LEFT(MIS_Calc!J299,1))</f>
        <v>+154% ▲</v>
      </c>
      <c r="S28" s="231"/>
      <c r="T28" s="315" t="str">
        <f>IF(MIS_Calc!H300="","–",TEXT(MIS_Calc!H300,"+0%;-0%;0%")&amp;" "&amp;LEFT(MIS_Calc!J300,1))</f>
        <v>-32% ▲</v>
      </c>
      <c r="U28" s="231"/>
      <c r="V28" s="315" t="str">
        <f>IF(MIS_Calc!H306="","–",TEXT(MIS_Calc!H306,"+0%;-0%;0%")&amp;" "&amp;LEFT(MIS_Calc!J306,1))</f>
        <v>–</v>
      </c>
      <c r="W28" s="231"/>
      <c r="X28" s="315" t="str">
        <f>IF(MIS_Calc!H308="","–",TEXT(MIS_Calc!H308,"+0%;-0%;0%")&amp;" "&amp;LEFT(MIS_Calc!J308,1))</f>
        <v>–</v>
      </c>
      <c r="Y28" s="231"/>
      <c r="Z28" s="194"/>
    </row>
    <row r="29" spans="1:26" ht="15" customHeight="1" x14ac:dyDescent="0.2">
      <c r="A29" s="197" t="s">
        <v>34</v>
      </c>
      <c r="B29" s="419" t="str">
        <f>IF(OR(MIS_Calc!F279="",MIS_Calc!F279="–"),"2025 avg: –","2025 avg: "&amp;TEXT(MIS_Calc!F279,MIS_Calc!M279))</f>
        <v>2025 avg: 98.1</v>
      </c>
      <c r="C29" s="419"/>
      <c r="D29" s="419" t="str">
        <f>IF(OR(MIS_Calc!F280="",MIS_Calc!F280="–"),"2025 avg: –","2025 avg: "&amp;TEXT(MIS_Calc!F280,MIS_Calc!M280))</f>
        <v>2025 avg: 1,286</v>
      </c>
      <c r="E29" s="419"/>
      <c r="F29" s="419" t="str">
        <f>IF(OR(MIS_Calc!F282="",MIS_Calc!F282="–"),"2025 avg: –","2025 avg: "&amp;TEXT(MIS_Calc!F282,MIS_Calc!M282))</f>
        <v>2025 avg: 15.46</v>
      </c>
      <c r="G29" s="419"/>
      <c r="H29" s="419" t="str">
        <f>IF(OR(MIS_Calc!F281="",MIS_Calc!F281="–"),"2025 avg: –","2025 avg: "&amp;TEXT(MIS_Calc!F281,MIS_Calc!M281))</f>
        <v>2025 avg: 2.52</v>
      </c>
      <c r="I29" s="419"/>
      <c r="J29" s="419" t="str">
        <f>IF(OR(MIS_Calc!F286="",MIS_Calc!F286="–"),"2025 avg: –","2025 avg: "&amp;TEXT(MIS_Calc!F286,MIS_Calc!M286))</f>
        <v>2025 avg: 2432.2</v>
      </c>
      <c r="K29" s="419"/>
      <c r="L29" s="419" t="str">
        <f>IF(OR(MIS_Calc!F287="",MIS_Calc!F287="–"),"2025 avg: –","2025 avg: "&amp;TEXT(MIS_Calc!F287,MIS_Calc!M287))</f>
        <v>2025 avg: 718.3</v>
      </c>
      <c r="M29" s="419"/>
      <c r="N29" s="421" t="str">
        <f>IF(OR(MIS_Calc!F292="",MIS_Calc!F292="–"),"2025 avg: –","2025 avg: "&amp;TEXT(MIS_Calc!F292,MIS_Calc!M292))</f>
        <v>2025 avg: 63.4</v>
      </c>
      <c r="O29" s="421"/>
      <c r="P29" s="421" t="str">
        <f>IF(OR(MIS_Calc!F288="",MIS_Calc!F288="–"),"2025 avg: –","2025 avg: "&amp;TEXT(MIS_Calc!F288,MIS_Calc!M288))</f>
        <v>2025 avg: 110.1</v>
      </c>
      <c r="Q29" s="421"/>
      <c r="R29" s="323" t="str">
        <f>IF(OR(MIS_Calc!F299="",MIS_Calc!F299="–"),"2025 avg: –","2025 avg: "&amp;TEXT(MIS_Calc!F299,MIS_Calc!M299))</f>
        <v>2025 avg: 6.28</v>
      </c>
      <c r="S29" s="323"/>
      <c r="T29" s="323" t="str">
        <f>IF(OR(MIS_Calc!F300="",MIS_Calc!F300="–"),"2025 avg: –","2025 avg: "&amp;TEXT(MIS_Calc!F300,MIS_Calc!M300))</f>
        <v>2025 avg: 100.0%</v>
      </c>
      <c r="U29" s="323"/>
      <c r="V29" s="323" t="str">
        <f>IF(OR(MIS_Calc!F306="",MIS_Calc!F306="–"),"2025 avg: –","2025 avg: "&amp;TEXT(MIS_Calc!F306,MIS_Calc!M306))</f>
        <v>2025 avg: 1,840</v>
      </c>
      <c r="W29" s="323"/>
      <c r="X29" s="323" t="str">
        <f>IF(OR(MIS_Calc!F308="",MIS_Calc!F308="–"),"2025 avg: –","2025 avg: "&amp;TEXT(MIS_Calc!F308,MIS_Calc!M308))</f>
        <v>2025 avg: –</v>
      </c>
      <c r="Y29" s="323"/>
      <c r="Z29" s="194"/>
    </row>
    <row r="30" spans="1:26" ht="15" customHeight="1" x14ac:dyDescent="0.2">
      <c r="A30" s="196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</row>
    <row r="31" spans="1:26" ht="24" customHeight="1" x14ac:dyDescent="0.2">
      <c r="A31" s="197" t="s">
        <v>35</v>
      </c>
      <c r="B31" s="409" t="s">
        <v>120</v>
      </c>
      <c r="C31" s="410"/>
      <c r="D31" s="410"/>
      <c r="E31" s="410"/>
      <c r="F31" s="410"/>
      <c r="G31" s="410"/>
      <c r="H31" s="410"/>
      <c r="I31" s="410"/>
      <c r="J31" s="410"/>
      <c r="K31" s="410"/>
      <c r="L31" s="410"/>
      <c r="M31" s="410"/>
      <c r="N31" s="410"/>
      <c r="O31" s="410"/>
      <c r="P31" s="410"/>
      <c r="Q31" s="410"/>
      <c r="R31" s="410"/>
      <c r="S31" s="410"/>
      <c r="T31" s="410"/>
      <c r="U31" s="410"/>
      <c r="V31" s="410"/>
      <c r="W31" s="410"/>
      <c r="X31" s="410"/>
      <c r="Y31" s="410"/>
      <c r="Z31" s="194"/>
    </row>
    <row r="32" spans="1:26" ht="15" customHeight="1" x14ac:dyDescent="0.2">
      <c r="A32" s="196"/>
      <c r="B32" s="194"/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</row>
    <row r="33" spans="1:26" ht="15" customHeight="1" x14ac:dyDescent="0.2">
      <c r="A33" s="197" t="s">
        <v>36</v>
      </c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</row>
    <row r="34" spans="1:26" ht="15" customHeight="1" x14ac:dyDescent="0.2">
      <c r="A34" s="196"/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</row>
    <row r="35" spans="1:26" ht="15" customHeight="1" x14ac:dyDescent="0.2">
      <c r="A35" s="197" t="s">
        <v>37</v>
      </c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</row>
    <row r="36" spans="1:26" ht="15" customHeight="1" x14ac:dyDescent="0.2">
      <c r="A36" s="196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</row>
    <row r="37" spans="1:26" ht="15" customHeight="1" x14ac:dyDescent="0.2">
      <c r="A37" s="197" t="s">
        <v>38</v>
      </c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</row>
    <row r="38" spans="1:26" ht="15" customHeight="1" x14ac:dyDescent="0.2">
      <c r="A38" s="196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</row>
    <row r="39" spans="1:26" ht="15" customHeight="1" x14ac:dyDescent="0.2">
      <c r="A39" s="196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</row>
    <row r="40" spans="1:26" ht="15" customHeight="1" x14ac:dyDescent="0.2">
      <c r="A40" s="196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</row>
    <row r="41" spans="1:26" ht="15" customHeight="1" x14ac:dyDescent="0.2">
      <c r="A41" s="196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</row>
    <row r="42" spans="1:26" ht="15" customHeight="1" x14ac:dyDescent="0.2">
      <c r="A42" s="196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</row>
    <row r="43" spans="1:26" ht="15" customHeight="1" x14ac:dyDescent="0.2">
      <c r="A43" s="196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</row>
    <row r="44" spans="1:26" ht="15" customHeight="1" x14ac:dyDescent="0.2">
      <c r="A44" s="196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</row>
    <row r="45" spans="1:26" ht="15" customHeight="1" x14ac:dyDescent="0.2">
      <c r="A45" s="196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</row>
    <row r="46" spans="1:26" ht="15" customHeight="1" x14ac:dyDescent="0.2">
      <c r="A46" s="196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</row>
    <row r="47" spans="1:26" ht="15" customHeight="1" x14ac:dyDescent="0.2">
      <c r="A47" s="196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</row>
    <row r="48" spans="1:26" ht="15" customHeight="1" x14ac:dyDescent="0.2">
      <c r="A48" s="196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</row>
    <row r="49" spans="1:26" ht="15" customHeight="1" x14ac:dyDescent="0.2">
      <c r="A49" s="196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</row>
    <row r="50" spans="1:26" ht="15" customHeight="1" x14ac:dyDescent="0.2">
      <c r="A50" s="196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</row>
    <row r="51" spans="1:26" ht="15" customHeight="1" x14ac:dyDescent="0.2">
      <c r="A51" s="196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</row>
    <row r="52" spans="1:26" ht="15" customHeight="1" x14ac:dyDescent="0.2">
      <c r="A52" s="196"/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</row>
    <row r="53" spans="1:26" ht="15" customHeight="1" x14ac:dyDescent="0.2">
      <c r="A53" s="196"/>
      <c r="B53" s="194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</row>
    <row r="54" spans="1:26" ht="15" customHeight="1" x14ac:dyDescent="0.2">
      <c r="A54" s="196"/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</row>
    <row r="55" spans="1:26" ht="15" customHeight="1" x14ac:dyDescent="0.2">
      <c r="A55" s="196"/>
      <c r="B55" s="194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</row>
    <row r="56" spans="1:26" ht="15" customHeight="1" x14ac:dyDescent="0.2">
      <c r="A56" s="196"/>
      <c r="B56" s="194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</row>
    <row r="57" spans="1:26" ht="15" customHeight="1" x14ac:dyDescent="0.2">
      <c r="A57" s="196"/>
      <c r="B57" s="194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</row>
    <row r="58" spans="1:26" ht="15" customHeight="1" x14ac:dyDescent="0.2">
      <c r="A58" s="196"/>
      <c r="B58" s="194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</row>
    <row r="59" spans="1:26" ht="15" customHeight="1" x14ac:dyDescent="0.2">
      <c r="A59" s="196"/>
      <c r="B59" s="194"/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</row>
    <row r="60" spans="1:26" ht="15" customHeight="1" x14ac:dyDescent="0.2">
      <c r="A60" s="196"/>
      <c r="B60" s="194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</row>
    <row r="61" spans="1:26" ht="15" customHeight="1" x14ac:dyDescent="0.2">
      <c r="A61" s="196"/>
      <c r="B61" s="194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</row>
    <row r="62" spans="1:26" ht="15" customHeight="1" x14ac:dyDescent="0.2">
      <c r="A62" s="196"/>
      <c r="B62" s="194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</row>
    <row r="63" spans="1:26" ht="15" customHeight="1" x14ac:dyDescent="0.2">
      <c r="A63" s="196"/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</row>
    <row r="64" spans="1:26" ht="15" customHeight="1" x14ac:dyDescent="0.2">
      <c r="A64" s="196"/>
      <c r="B64" s="194"/>
      <c r="C64" s="194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</row>
    <row r="65" spans="1:26" ht="15" customHeight="1" x14ac:dyDescent="0.2">
      <c r="A65" s="196"/>
      <c r="B65" s="194"/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</row>
    <row r="66" spans="1:26" ht="15" customHeight="1" x14ac:dyDescent="0.2">
      <c r="A66" s="196"/>
      <c r="B66" s="194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</row>
    <row r="67" spans="1:26" ht="15" customHeight="1" x14ac:dyDescent="0.2">
      <c r="A67" s="196"/>
      <c r="B67" s="194"/>
      <c r="C67" s="194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</row>
    <row r="68" spans="1:26" ht="15" customHeight="1" x14ac:dyDescent="0.2">
      <c r="A68" s="196"/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</row>
    <row r="69" spans="1:26" ht="15" customHeight="1" x14ac:dyDescent="0.2">
      <c r="A69" s="196"/>
      <c r="B69" s="194"/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</row>
    <row r="70" spans="1:26" ht="15" customHeight="1" x14ac:dyDescent="0.2">
      <c r="A70" s="196"/>
      <c r="B70" s="194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</row>
    <row r="71" spans="1:26" ht="15" customHeight="1" x14ac:dyDescent="0.2">
      <c r="A71" s="196"/>
      <c r="B71" s="194"/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</row>
    <row r="72" spans="1:26" ht="15" customHeight="1" x14ac:dyDescent="0.2">
      <c r="A72" s="196"/>
      <c r="B72" s="194"/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</row>
    <row r="73" spans="1:26" ht="15" customHeight="1" x14ac:dyDescent="0.2">
      <c r="A73" s="196"/>
      <c r="B73" s="194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</row>
    <row r="74" spans="1:26" ht="15" customHeight="1" x14ac:dyDescent="0.2">
      <c r="A74" s="196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</row>
    <row r="75" spans="1:26" ht="15" customHeight="1" x14ac:dyDescent="0.2">
      <c r="A75" s="196"/>
      <c r="B75" s="194"/>
      <c r="C75" s="194"/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</row>
    <row r="76" spans="1:26" ht="15" customHeight="1" x14ac:dyDescent="0.2">
      <c r="A76" s="196"/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</row>
    <row r="77" spans="1:26" ht="15" customHeight="1" x14ac:dyDescent="0.2">
      <c r="A77" s="196"/>
      <c r="B77" s="194"/>
      <c r="C77" s="194"/>
      <c r="D77" s="194"/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</row>
    <row r="78" spans="1:26" ht="15" customHeight="1" x14ac:dyDescent="0.2">
      <c r="A78" s="196"/>
      <c r="B78" s="194"/>
      <c r="C78" s="194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</row>
    <row r="79" spans="1:26" ht="15" customHeight="1" x14ac:dyDescent="0.2">
      <c r="A79" s="196"/>
      <c r="B79" s="194"/>
      <c r="C79" s="194"/>
      <c r="D79" s="194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</row>
    <row r="80" spans="1:26" ht="15" customHeight="1" x14ac:dyDescent="0.2">
      <c r="A80" s="196"/>
      <c r="B80" s="194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</row>
    <row r="81" spans="1:26" ht="15" customHeight="1" x14ac:dyDescent="0.2">
      <c r="A81" s="196"/>
      <c r="B81" s="194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  <c r="Z81" s="194"/>
    </row>
    <row r="82" spans="1:26" ht="15" customHeight="1" x14ac:dyDescent="0.2">
      <c r="A82" s="196"/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</row>
    <row r="83" spans="1:26" ht="15" customHeight="1" x14ac:dyDescent="0.2">
      <c r="A83" s="196"/>
      <c r="B83" s="194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  <c r="Z83" s="194"/>
    </row>
    <row r="84" spans="1:26" ht="15" customHeight="1" x14ac:dyDescent="0.2">
      <c r="A84" s="196"/>
      <c r="B84" s="194"/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194"/>
    </row>
    <row r="85" spans="1:26" ht="15" customHeight="1" x14ac:dyDescent="0.2">
      <c r="A85" s="196"/>
      <c r="B85" s="194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</row>
    <row r="86" spans="1:26" ht="15" customHeight="1" x14ac:dyDescent="0.2">
      <c r="A86" s="196"/>
      <c r="B86" s="194"/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</row>
    <row r="87" spans="1:26" ht="15" customHeight="1" x14ac:dyDescent="0.2">
      <c r="A87" s="196"/>
      <c r="B87" s="194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  <c r="Z87" s="194"/>
    </row>
    <row r="88" spans="1:26" ht="15" customHeight="1" x14ac:dyDescent="0.2">
      <c r="A88" s="196"/>
      <c r="B88" s="194"/>
      <c r="C88" s="194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  <c r="Z88" s="194"/>
    </row>
    <row r="89" spans="1:26" ht="15" customHeight="1" x14ac:dyDescent="0.2">
      <c r="A89" s="196"/>
      <c r="B89" s="194"/>
      <c r="C89" s="194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</row>
    <row r="90" spans="1:26" ht="15" customHeight="1" x14ac:dyDescent="0.2">
      <c r="A90" s="196"/>
      <c r="B90" s="194"/>
      <c r="C90" s="194"/>
      <c r="D90" s="194"/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</row>
    <row r="91" spans="1:26" ht="15" customHeight="1" x14ac:dyDescent="0.2">
      <c r="A91" s="196"/>
      <c r="B91" s="194"/>
      <c r="C91" s="194"/>
      <c r="D91" s="194"/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194"/>
    </row>
    <row r="92" spans="1:26" ht="15" customHeight="1" x14ac:dyDescent="0.2">
      <c r="A92" s="196"/>
      <c r="B92" s="194"/>
      <c r="C92" s="194"/>
      <c r="D92" s="19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  <c r="Z92" s="194"/>
    </row>
    <row r="93" spans="1:26" ht="24" customHeight="1" x14ac:dyDescent="0.2">
      <c r="A93" s="196"/>
      <c r="B93" s="409" t="s">
        <v>121</v>
      </c>
      <c r="C93" s="410"/>
      <c r="D93" s="410"/>
      <c r="E93" s="410"/>
      <c r="F93" s="410"/>
      <c r="G93" s="410"/>
      <c r="H93" s="410"/>
      <c r="I93" s="410"/>
      <c r="J93" s="410"/>
      <c r="K93" s="410"/>
      <c r="L93" s="410"/>
      <c r="M93" s="410"/>
      <c r="N93" s="410"/>
      <c r="O93" s="410"/>
      <c r="P93" s="410"/>
      <c r="Q93" s="410"/>
      <c r="R93" s="410"/>
      <c r="S93" s="410"/>
      <c r="T93" s="410"/>
      <c r="U93" s="410"/>
      <c r="V93" s="410"/>
      <c r="W93" s="410"/>
      <c r="X93" s="410"/>
      <c r="Y93" s="410"/>
      <c r="Z93" s="194"/>
    </row>
    <row r="94" spans="1:26" ht="26.1" customHeight="1" x14ac:dyDescent="0.2">
      <c r="A94" s="196"/>
      <c r="B94" s="306" t="s">
        <v>122</v>
      </c>
      <c r="C94" s="307"/>
      <c r="D94" s="307"/>
      <c r="E94" s="307"/>
      <c r="F94" s="224" t="s">
        <v>123</v>
      </c>
      <c r="G94" s="224" t="s">
        <v>124</v>
      </c>
      <c r="H94" s="224" t="s">
        <v>125</v>
      </c>
      <c r="I94" s="224" t="s">
        <v>126</v>
      </c>
      <c r="J94" s="224" t="s">
        <v>127</v>
      </c>
      <c r="K94" s="224" t="s">
        <v>128</v>
      </c>
      <c r="L94" s="224" t="s">
        <v>129</v>
      </c>
      <c r="M94" s="224" t="s">
        <v>7</v>
      </c>
      <c r="N94" s="224" t="s">
        <v>130</v>
      </c>
      <c r="O94" s="224" t="s">
        <v>131</v>
      </c>
      <c r="P94" s="224" t="s">
        <v>132</v>
      </c>
      <c r="Q94" s="224" t="s">
        <v>133</v>
      </c>
      <c r="R94" s="306" t="s">
        <v>134</v>
      </c>
      <c r="S94" s="307"/>
      <c r="T94" s="306" t="s">
        <v>135</v>
      </c>
      <c r="U94" s="307"/>
      <c r="V94" s="306" t="s">
        <v>136</v>
      </c>
      <c r="W94" s="307"/>
      <c r="X94" s="306" t="s">
        <v>137</v>
      </c>
      <c r="Y94" s="307"/>
      <c r="Z94" s="194"/>
    </row>
    <row r="95" spans="1:26" ht="15.95" customHeight="1" x14ac:dyDescent="0.2">
      <c r="A95" s="196"/>
      <c r="B95" s="305" t="str">
        <f>MIS_Calc!A112</f>
        <v>SR-1</v>
      </c>
      <c r="C95" s="229"/>
      <c r="D95" s="229"/>
      <c r="E95" s="229"/>
      <c r="F95" s="199">
        <f>IF(MIS_Calc!C112="","",MIS_Calc!C112)</f>
        <v>264</v>
      </c>
      <c r="G95" s="199">
        <f>IF(MIS_Calc!D112="","",MIS_Calc!D112)</f>
        <v>239</v>
      </c>
      <c r="H95" s="199">
        <f>IF(MIS_Calc!E112="","",MIS_Calc!E112)</f>
        <v>280</v>
      </c>
      <c r="I95" s="199">
        <f>IF(MIS_Calc!F112="","",MIS_Calc!F112)</f>
        <v>201</v>
      </c>
      <c r="J95" s="199">
        <f>IF(MIS_Calc!G112="","",MIS_Calc!G112)</f>
        <v>189</v>
      </c>
      <c r="K95" s="199">
        <f>IF(MIS_Calc!H112="","",MIS_Calc!H112)</f>
        <v>91</v>
      </c>
      <c r="L95" s="199">
        <f>IF(MIS_Calc!I112="","",MIS_Calc!I112)</f>
        <v>224</v>
      </c>
      <c r="M95" s="199">
        <f>IF(MIS_Calc!J112="","",MIS_Calc!J112)</f>
        <v>329</v>
      </c>
      <c r="N95" s="199" t="str">
        <f>IF(MIS_Calc!K112="","",MIS_Calc!K112)</f>
        <v/>
      </c>
      <c r="O95" s="199" t="str">
        <f>IF(MIS_Calc!L112="","",MIS_Calc!L112)</f>
        <v/>
      </c>
      <c r="P95" s="199" t="str">
        <f>IF(MIS_Calc!M112="","",MIS_Calc!M112)</f>
        <v/>
      </c>
      <c r="Q95" s="199" t="str">
        <f>IF(MIS_Calc!N112="","",MIS_Calc!N112)</f>
        <v/>
      </c>
      <c r="R95" s="299">
        <f>MIS_Calc!W112</f>
        <v>227.125</v>
      </c>
      <c r="S95" s="229"/>
      <c r="T95" s="299">
        <f>IF(MIS_Calc!P112="","–",MIS_Calc!P112)</f>
        <v>388.5</v>
      </c>
      <c r="U95" s="229"/>
      <c r="V95" s="308">
        <f>IFERROR(IF(OR(MIS_Calc!W112="",MIS_Calc!P112="",MIS_Calc!P112=0),"–",MIS_Calc!W112/MIS_Calc!P112-1),"–")</f>
        <v>-0.41537966537966542</v>
      </c>
      <c r="W95" s="229"/>
      <c r="X95" s="312">
        <f>IFERROR(MIS_Calc!W112/SUM(MIS_Calc!$W$112:$W$131),"–")</f>
        <v>4.9527080437212094E-2</v>
      </c>
      <c r="Y95" s="229"/>
      <c r="Z95" s="194"/>
    </row>
    <row r="96" spans="1:26" ht="15.95" customHeight="1" x14ac:dyDescent="0.2">
      <c r="A96" s="196"/>
      <c r="B96" s="305" t="str">
        <f>MIS_Calc!A113</f>
        <v>SR-2</v>
      </c>
      <c r="C96" s="229"/>
      <c r="D96" s="229"/>
      <c r="E96" s="229"/>
      <c r="F96" s="199">
        <f>IF(MIS_Calc!C113="","",MIS_Calc!C113)</f>
        <v>267</v>
      </c>
      <c r="G96" s="199">
        <f>IF(MIS_Calc!D113="","",MIS_Calc!D113)</f>
        <v>427</v>
      </c>
      <c r="H96" s="199">
        <f>IF(MIS_Calc!E113="","",MIS_Calc!E113)</f>
        <v>111</v>
      </c>
      <c r="I96" s="199">
        <f>IF(MIS_Calc!F113="","",MIS_Calc!F113)</f>
        <v>100</v>
      </c>
      <c r="J96" s="199">
        <f>IF(MIS_Calc!G113="","",MIS_Calc!G113)</f>
        <v>102</v>
      </c>
      <c r="K96" s="199">
        <f>IF(MIS_Calc!H113="","",MIS_Calc!H113)</f>
        <v>87</v>
      </c>
      <c r="L96" s="199">
        <f>IF(MIS_Calc!I113="","",MIS_Calc!I113)</f>
        <v>125</v>
      </c>
      <c r="M96" s="199">
        <f>IF(MIS_Calc!J113="","",MIS_Calc!J113)</f>
        <v>312</v>
      </c>
      <c r="N96" s="199" t="str">
        <f>IF(MIS_Calc!K113="","",MIS_Calc!K113)</f>
        <v/>
      </c>
      <c r="O96" s="199" t="str">
        <f>IF(MIS_Calc!L113="","",MIS_Calc!L113)</f>
        <v/>
      </c>
      <c r="P96" s="199" t="str">
        <f>IF(MIS_Calc!M113="","",MIS_Calc!M113)</f>
        <v/>
      </c>
      <c r="Q96" s="199" t="str">
        <f>IF(MIS_Calc!N113="","",MIS_Calc!N113)</f>
        <v/>
      </c>
      <c r="R96" s="299">
        <f>MIS_Calc!W113</f>
        <v>191.375</v>
      </c>
      <c r="S96" s="229"/>
      <c r="T96" s="299">
        <f>IF(MIS_Calc!P113="","–",MIS_Calc!P113)</f>
        <v>199.333333333333</v>
      </c>
      <c r="U96" s="229"/>
      <c r="V96" s="308">
        <f>IFERROR(IF(OR(MIS_Calc!W113="",MIS_Calc!P113="",MIS_Calc!P113=0),"–",MIS_Calc!W113/MIS_Calc!P113-1),"–")</f>
        <v>-3.9924749163878004E-2</v>
      </c>
      <c r="W96" s="229"/>
      <c r="X96" s="312">
        <f>IFERROR(MIS_Calc!W113/SUM(MIS_Calc!$W$112:$W$131),"–")</f>
        <v>4.173140349442582E-2</v>
      </c>
      <c r="Y96" s="229"/>
      <c r="Z96" s="194"/>
    </row>
    <row r="97" spans="1:26" ht="15.95" customHeight="1" x14ac:dyDescent="0.2">
      <c r="A97" s="196"/>
      <c r="B97" s="305" t="str">
        <f>MIS_Calc!A114</f>
        <v>SR-3</v>
      </c>
      <c r="C97" s="229"/>
      <c r="D97" s="229"/>
      <c r="E97" s="229"/>
      <c r="F97" s="199">
        <f>IF(MIS_Calc!C114="","",MIS_Calc!C114)</f>
        <v>205</v>
      </c>
      <c r="G97" s="199">
        <f>IF(MIS_Calc!D114="","",MIS_Calc!D114)</f>
        <v>111</v>
      </c>
      <c r="H97" s="199">
        <f>IF(MIS_Calc!E114="","",MIS_Calc!E114)</f>
        <v>8</v>
      </c>
      <c r="I97" s="199">
        <f>IF(MIS_Calc!F114="","",MIS_Calc!F114)</f>
        <v>60</v>
      </c>
      <c r="J97" s="199">
        <f>IF(MIS_Calc!G114="","",MIS_Calc!G114)</f>
        <v>58</v>
      </c>
      <c r="K97" s="199">
        <f>IF(MIS_Calc!H114="","",MIS_Calc!H114)</f>
        <v>60</v>
      </c>
      <c r="L97" s="199">
        <f>IF(MIS_Calc!I114="","",MIS_Calc!I114)</f>
        <v>62</v>
      </c>
      <c r="M97" s="199">
        <f>IF(MIS_Calc!J114="","",MIS_Calc!J114)</f>
        <v>64</v>
      </c>
      <c r="N97" s="199" t="str">
        <f>IF(MIS_Calc!K114="","",MIS_Calc!K114)</f>
        <v/>
      </c>
      <c r="O97" s="199" t="str">
        <f>IF(MIS_Calc!L114="","",MIS_Calc!L114)</f>
        <v/>
      </c>
      <c r="P97" s="199" t="str">
        <f>IF(MIS_Calc!M114="","",MIS_Calc!M114)</f>
        <v/>
      </c>
      <c r="Q97" s="199" t="str">
        <f>IF(MIS_Calc!N114="","",MIS_Calc!N114)</f>
        <v/>
      </c>
      <c r="R97" s="299">
        <f>MIS_Calc!W114</f>
        <v>78.5</v>
      </c>
      <c r="S97" s="229"/>
      <c r="T97" s="299">
        <f>IF(MIS_Calc!P114="","–",MIS_Calc!P114)</f>
        <v>171.333333333333</v>
      </c>
      <c r="U97" s="229"/>
      <c r="V97" s="308">
        <f>IFERROR(IF(OR(MIS_Calc!W114="",MIS_Calc!P114="",MIS_Calc!P114=0),"–",MIS_Calc!W114/MIS_Calc!P114-1),"–")</f>
        <v>-0.54182879377431825</v>
      </c>
      <c r="W97" s="229"/>
      <c r="X97" s="312">
        <f>IFERROR(MIS_Calc!W114/SUM(MIS_Calc!$W$112:$W$131),"–")</f>
        <v>1.7117780140104125E-2</v>
      </c>
      <c r="Y97" s="229"/>
      <c r="Z97" s="194"/>
    </row>
    <row r="98" spans="1:26" ht="15.95" customHeight="1" x14ac:dyDescent="0.2">
      <c r="A98" s="196"/>
      <c r="B98" s="305" t="str">
        <f>MIS_Calc!A115</f>
        <v>SR-4</v>
      </c>
      <c r="C98" s="229"/>
      <c r="D98" s="229"/>
      <c r="E98" s="229"/>
      <c r="F98" s="199">
        <f>IF(MIS_Calc!C115="","",MIS_Calc!C115)</f>
        <v>136</v>
      </c>
      <c r="G98" s="199">
        <f>IF(MIS_Calc!D115="","",MIS_Calc!D115)</f>
        <v>136</v>
      </c>
      <c r="H98" s="199">
        <f>IF(MIS_Calc!E115="","",MIS_Calc!E115)</f>
        <v>337</v>
      </c>
      <c r="I98" s="199">
        <f>IF(MIS_Calc!F115="","",MIS_Calc!F115)</f>
        <v>337</v>
      </c>
      <c r="J98" s="199">
        <f>IF(MIS_Calc!G115="","",MIS_Calc!G115)</f>
        <v>233</v>
      </c>
      <c r="K98" s="199">
        <f>IF(MIS_Calc!H115="","",MIS_Calc!H115)</f>
        <v>221</v>
      </c>
      <c r="L98" s="199">
        <f>IF(MIS_Calc!I115="","",MIS_Calc!I115)</f>
        <v>146</v>
      </c>
      <c r="M98" s="199">
        <f>IF(MIS_Calc!J115="","",MIS_Calc!J115)</f>
        <v>194</v>
      </c>
      <c r="N98" s="199" t="str">
        <f>IF(MIS_Calc!K115="","",MIS_Calc!K115)</f>
        <v/>
      </c>
      <c r="O98" s="199" t="str">
        <f>IF(MIS_Calc!L115="","",MIS_Calc!L115)</f>
        <v/>
      </c>
      <c r="P98" s="199" t="str">
        <f>IF(MIS_Calc!M115="","",MIS_Calc!M115)</f>
        <v/>
      </c>
      <c r="Q98" s="199" t="str">
        <f>IF(MIS_Calc!N115="","",MIS_Calc!N115)</f>
        <v/>
      </c>
      <c r="R98" s="299">
        <f>MIS_Calc!W115</f>
        <v>217.5</v>
      </c>
      <c r="S98" s="229"/>
      <c r="T98" s="299">
        <f>IF(MIS_Calc!P115="","–",MIS_Calc!P115)</f>
        <v>162.083333333333</v>
      </c>
      <c r="U98" s="229"/>
      <c r="V98" s="308">
        <f>IFERROR(IF(OR(MIS_Calc!W115="",MIS_Calc!P115="",MIS_Calc!P115=0),"–",MIS_Calc!W115/MIS_Calc!P115-1),"–")</f>
        <v>0.34190231362468149</v>
      </c>
      <c r="W98" s="229"/>
      <c r="X98" s="312">
        <f>IFERROR(MIS_Calc!W115/SUM(MIS_Calc!$W$112:$W$131),"–")</f>
        <v>4.7428244337231175E-2</v>
      </c>
      <c r="Y98" s="229"/>
      <c r="Z98" s="194"/>
    </row>
    <row r="99" spans="1:26" ht="15.95" customHeight="1" x14ac:dyDescent="0.2">
      <c r="A99" s="196"/>
      <c r="B99" s="305" t="str">
        <f>MIS_Calc!A116</f>
        <v>SR-9-10B1A</v>
      </c>
      <c r="C99" s="229"/>
      <c r="D99" s="229"/>
      <c r="E99" s="229"/>
      <c r="F99" s="199">
        <f>IF(MIS_Calc!C116="","",MIS_Calc!C116)</f>
        <v>568</v>
      </c>
      <c r="G99" s="199">
        <f>IF(MIS_Calc!D116="","",MIS_Calc!D116)</f>
        <v>716</v>
      </c>
      <c r="H99" s="199">
        <f>IF(MIS_Calc!E116="","",MIS_Calc!E116)</f>
        <v>835</v>
      </c>
      <c r="I99" s="199">
        <f>IF(MIS_Calc!F116="","",MIS_Calc!F116)</f>
        <v>1045</v>
      </c>
      <c r="J99" s="199">
        <f>IF(MIS_Calc!G116="","",MIS_Calc!G116)</f>
        <v>781</v>
      </c>
      <c r="K99" s="199">
        <f>IF(MIS_Calc!H116="","",MIS_Calc!H116)</f>
        <v>279</v>
      </c>
      <c r="L99" s="199">
        <f>IF(MIS_Calc!I116="","",MIS_Calc!I116)</f>
        <v>1320</v>
      </c>
      <c r="M99" s="199">
        <f>IF(MIS_Calc!J116="","",MIS_Calc!J116)</f>
        <v>1468</v>
      </c>
      <c r="N99" s="199" t="str">
        <f>IF(MIS_Calc!K116="","",MIS_Calc!K116)</f>
        <v/>
      </c>
      <c r="O99" s="199" t="str">
        <f>IF(MIS_Calc!L116="","",MIS_Calc!L116)</f>
        <v/>
      </c>
      <c r="P99" s="199" t="str">
        <f>IF(MIS_Calc!M116="","",MIS_Calc!M116)</f>
        <v/>
      </c>
      <c r="Q99" s="199" t="str">
        <f>IF(MIS_Calc!N116="","",MIS_Calc!N116)</f>
        <v/>
      </c>
      <c r="R99" s="299">
        <f>MIS_Calc!W116</f>
        <v>876.5</v>
      </c>
      <c r="S99" s="229"/>
      <c r="T99" s="299">
        <f>IF(MIS_Calc!P116="","–",MIS_Calc!P116)</f>
        <v>458.75</v>
      </c>
      <c r="U99" s="229"/>
      <c r="V99" s="308">
        <f>IFERROR(IF(OR(MIS_Calc!W116="",MIS_Calc!P116="",MIS_Calc!P116=0),"–",MIS_Calc!W116/MIS_Calc!P116-1),"–")</f>
        <v>0.91062670299727522</v>
      </c>
      <c r="W99" s="229"/>
      <c r="X99" s="312">
        <f>IFERROR(MIS_Calc!W116/SUM(MIS_Calc!$W$112:$W$131),"–")</f>
        <v>0.191130373156704</v>
      </c>
      <c r="Y99" s="229"/>
      <c r="Z99" s="194"/>
    </row>
    <row r="100" spans="1:26" ht="15.95" customHeight="1" x14ac:dyDescent="0.2">
      <c r="A100" s="196"/>
      <c r="B100" s="305" t="str">
        <f>MIS_Calc!A117</f>
        <v>SR-9-10B1B</v>
      </c>
      <c r="C100" s="229"/>
      <c r="D100" s="229"/>
      <c r="E100" s="229"/>
      <c r="F100" s="199">
        <f>IF(MIS_Calc!C117="","",MIS_Calc!C117)</f>
        <v>209</v>
      </c>
      <c r="G100" s="199">
        <f>IF(MIS_Calc!D117="","",MIS_Calc!D117)</f>
        <v>73</v>
      </c>
      <c r="H100" s="199">
        <f>IF(MIS_Calc!E117="","",MIS_Calc!E117)</f>
        <v>268</v>
      </c>
      <c r="I100" s="199">
        <f>IF(MIS_Calc!F117="","",MIS_Calc!F117)</f>
        <v>149</v>
      </c>
      <c r="J100" s="199">
        <f>IF(MIS_Calc!G117="","",MIS_Calc!G117)</f>
        <v>167</v>
      </c>
      <c r="K100" s="199">
        <f>IF(MIS_Calc!H117="","",MIS_Calc!H117)</f>
        <v>46</v>
      </c>
      <c r="L100" s="199">
        <f>IF(MIS_Calc!I117="","",MIS_Calc!I117)</f>
        <v>42</v>
      </c>
      <c r="M100" s="199">
        <f>IF(MIS_Calc!J117="","",MIS_Calc!J117)</f>
        <v>45</v>
      </c>
      <c r="N100" s="199" t="str">
        <f>IF(MIS_Calc!K117="","",MIS_Calc!K117)</f>
        <v/>
      </c>
      <c r="O100" s="199" t="str">
        <f>IF(MIS_Calc!L117="","",MIS_Calc!L117)</f>
        <v/>
      </c>
      <c r="P100" s="199" t="str">
        <f>IF(MIS_Calc!M117="","",MIS_Calc!M117)</f>
        <v/>
      </c>
      <c r="Q100" s="199" t="str">
        <f>IF(MIS_Calc!N117="","",MIS_Calc!N117)</f>
        <v/>
      </c>
      <c r="R100" s="299">
        <f>MIS_Calc!W117</f>
        <v>124.875</v>
      </c>
      <c r="S100" s="229"/>
      <c r="T100" s="299">
        <f>IF(MIS_Calc!P117="","–",MIS_Calc!P117)</f>
        <v>454.25</v>
      </c>
      <c r="U100" s="229"/>
      <c r="V100" s="308">
        <f>IFERROR(IF(OR(MIS_Calc!W117="",MIS_Calc!P117="",MIS_Calc!P117=0),"–",MIS_Calc!W117/MIS_Calc!P117-1),"–")</f>
        <v>-0.72509631260319207</v>
      </c>
      <c r="W100" s="229"/>
      <c r="X100" s="312">
        <f>IFERROR(MIS_Calc!W117/SUM(MIS_Calc!$W$112:$W$131),"–")</f>
        <v>2.7230354076375828E-2</v>
      </c>
      <c r="Y100" s="229"/>
      <c r="Z100" s="194"/>
    </row>
    <row r="101" spans="1:26" ht="15.95" customHeight="1" x14ac:dyDescent="0.2">
      <c r="A101" s="196"/>
      <c r="B101" s="305" t="str">
        <f>MIS_Calc!A118</f>
        <v>SR-11-12CA</v>
      </c>
      <c r="C101" s="229"/>
      <c r="D101" s="229"/>
      <c r="E101" s="229"/>
      <c r="F101" s="199">
        <f>IF(MIS_Calc!C118="","",MIS_Calc!C118)</f>
        <v>233</v>
      </c>
      <c r="G101" s="199">
        <f>IF(MIS_Calc!D118="","",MIS_Calc!D118)</f>
        <v>285</v>
      </c>
      <c r="H101" s="199">
        <f>IF(MIS_Calc!E118="","",MIS_Calc!E118)</f>
        <v>337</v>
      </c>
      <c r="I101" s="199">
        <f>IF(MIS_Calc!F118="","",MIS_Calc!F118)</f>
        <v>377</v>
      </c>
      <c r="J101" s="199">
        <f>IF(MIS_Calc!G118="","",MIS_Calc!G118)</f>
        <v>358</v>
      </c>
      <c r="K101" s="199">
        <f>IF(MIS_Calc!H118="","",MIS_Calc!H118)</f>
        <v>200</v>
      </c>
      <c r="L101" s="199">
        <f>IF(MIS_Calc!I118="","",MIS_Calc!I118)</f>
        <v>647</v>
      </c>
      <c r="M101" s="199">
        <f>IF(MIS_Calc!J118="","",MIS_Calc!J118)</f>
        <v>710</v>
      </c>
      <c r="N101" s="199" t="str">
        <f>IF(MIS_Calc!K118="","",MIS_Calc!K118)</f>
        <v/>
      </c>
      <c r="O101" s="199" t="str">
        <f>IF(MIS_Calc!L118="","",MIS_Calc!L118)</f>
        <v/>
      </c>
      <c r="P101" s="199" t="str">
        <f>IF(MIS_Calc!M118="","",MIS_Calc!M118)</f>
        <v/>
      </c>
      <c r="Q101" s="199" t="str">
        <f>IF(MIS_Calc!N118="","",MIS_Calc!N118)</f>
        <v/>
      </c>
      <c r="R101" s="299">
        <f>MIS_Calc!W118</f>
        <v>393.375</v>
      </c>
      <c r="S101" s="229"/>
      <c r="T101" s="299">
        <f>IF(MIS_Calc!P118="","–",MIS_Calc!P118)</f>
        <v>341.25</v>
      </c>
      <c r="U101" s="229"/>
      <c r="V101" s="308">
        <f>IFERROR(IF(OR(MIS_Calc!W118="",MIS_Calc!P118="",MIS_Calc!P118=0),"–",MIS_Calc!W118/MIS_Calc!P118-1),"–")</f>
        <v>0.15274725274725265</v>
      </c>
      <c r="W101" s="229"/>
      <c r="X101" s="312">
        <f>IFERROR(MIS_Calc!W118/SUM(MIS_Calc!$W$112:$W$131),"–")</f>
        <v>8.5779703982337072E-2</v>
      </c>
      <c r="Y101" s="229"/>
      <c r="Z101" s="194"/>
    </row>
    <row r="102" spans="1:26" ht="15.95" customHeight="1" x14ac:dyDescent="0.2">
      <c r="A102" s="196"/>
      <c r="B102" s="305" t="str">
        <f>MIS_Calc!A119</f>
        <v>SR-11-12CB</v>
      </c>
      <c r="C102" s="229"/>
      <c r="D102" s="229"/>
      <c r="E102" s="229"/>
      <c r="F102" s="199">
        <f>IF(MIS_Calc!C119="","",MIS_Calc!C119)</f>
        <v>0</v>
      </c>
      <c r="G102" s="199">
        <f>IF(MIS_Calc!D119="","",MIS_Calc!D119)</f>
        <v>101</v>
      </c>
      <c r="H102" s="199">
        <f>IF(MIS_Calc!E119="","",MIS_Calc!E119)</f>
        <v>450</v>
      </c>
      <c r="I102" s="199">
        <f>IF(MIS_Calc!F119="","",MIS_Calc!F119)</f>
        <v>399</v>
      </c>
      <c r="J102" s="199">
        <f>IF(MIS_Calc!G119="","",MIS_Calc!G119)</f>
        <v>205</v>
      </c>
      <c r="K102" s="199">
        <f>IF(MIS_Calc!H119="","",MIS_Calc!H119)</f>
        <v>50</v>
      </c>
      <c r="L102" s="199">
        <f>IF(MIS_Calc!I119="","",MIS_Calc!I119)</f>
        <v>0</v>
      </c>
      <c r="M102" s="199">
        <f>IF(MIS_Calc!J119="","",MIS_Calc!J119)</f>
        <v>0</v>
      </c>
      <c r="N102" s="199" t="str">
        <f>IF(MIS_Calc!K119="","",MIS_Calc!K119)</f>
        <v/>
      </c>
      <c r="O102" s="199" t="str">
        <f>IF(MIS_Calc!L119="","",MIS_Calc!L119)</f>
        <v/>
      </c>
      <c r="P102" s="199" t="str">
        <f>IF(MIS_Calc!M119="","",MIS_Calc!M119)</f>
        <v/>
      </c>
      <c r="Q102" s="199" t="str">
        <f>IF(MIS_Calc!N119="","",MIS_Calc!N119)</f>
        <v/>
      </c>
      <c r="R102" s="299">
        <f>MIS_Calc!W119</f>
        <v>150.625</v>
      </c>
      <c r="S102" s="229"/>
      <c r="T102" s="299">
        <f>IF(MIS_Calc!P119="","–",MIS_Calc!P119)</f>
        <v>463.08333333333201</v>
      </c>
      <c r="U102" s="229"/>
      <c r="V102" s="308">
        <f>IFERROR(IF(OR(MIS_Calc!W119="",MIS_Calc!P119="",MIS_Calc!P119=0),"–",MIS_Calc!W119/MIS_Calc!P119-1),"–")</f>
        <v>-0.67473456901205586</v>
      </c>
      <c r="W102" s="229"/>
      <c r="X102" s="312">
        <f>IFERROR(MIS_Calc!W119/SUM(MIS_Calc!$W$112:$W$131),"–")</f>
        <v>3.284542208411699E-2</v>
      </c>
      <c r="Y102" s="229"/>
      <c r="Z102" s="194"/>
    </row>
    <row r="103" spans="1:26" ht="15.95" customHeight="1" x14ac:dyDescent="0.2">
      <c r="A103" s="196"/>
      <c r="B103" s="305" t="str">
        <f>MIS_Calc!A120</f>
        <v>Junior School-1&amp;2</v>
      </c>
      <c r="C103" s="229"/>
      <c r="D103" s="229"/>
      <c r="E103" s="229"/>
      <c r="F103" s="199">
        <f>IF(MIS_Calc!C120="","",MIS_Calc!C120)</f>
        <v>0</v>
      </c>
      <c r="G103" s="199">
        <f>IF(MIS_Calc!D120="","",MIS_Calc!D120)</f>
        <v>0</v>
      </c>
      <c r="H103" s="199">
        <f>IF(MIS_Calc!E120="","",MIS_Calc!E120)</f>
        <v>1</v>
      </c>
      <c r="I103" s="199">
        <f>IF(MIS_Calc!F120="","",MIS_Calc!F120)</f>
        <v>0</v>
      </c>
      <c r="J103" s="199">
        <f>IF(MIS_Calc!G120="","",MIS_Calc!G120)</f>
        <v>0</v>
      </c>
      <c r="K103" s="199">
        <f>IF(MIS_Calc!H120="","",MIS_Calc!H120)</f>
        <v>1</v>
      </c>
      <c r="L103" s="199">
        <f>IF(MIS_Calc!I120="","",MIS_Calc!I120)</f>
        <v>0</v>
      </c>
      <c r="M103" s="199">
        <f>IF(MIS_Calc!J120="","",MIS_Calc!J120)</f>
        <v>0</v>
      </c>
      <c r="N103" s="199" t="str">
        <f>IF(MIS_Calc!K120="","",MIS_Calc!K120)</f>
        <v/>
      </c>
      <c r="O103" s="199" t="str">
        <f>IF(MIS_Calc!L120="","",MIS_Calc!L120)</f>
        <v/>
      </c>
      <c r="P103" s="199" t="str">
        <f>IF(MIS_Calc!M120="","",MIS_Calc!M120)</f>
        <v/>
      </c>
      <c r="Q103" s="199" t="str">
        <f>IF(MIS_Calc!N120="","",MIS_Calc!N120)</f>
        <v/>
      </c>
      <c r="R103" s="299">
        <f>MIS_Calc!W120</f>
        <v>0.25</v>
      </c>
      <c r="S103" s="229"/>
      <c r="T103" s="299">
        <f>IF(MIS_Calc!P120="","–",MIS_Calc!P120)</f>
        <v>204.333333333333</v>
      </c>
      <c r="U103" s="229"/>
      <c r="V103" s="308">
        <f>IFERROR(IF(OR(MIS_Calc!W120="",MIS_Calc!P120="",MIS_Calc!P120=0),"–",MIS_Calc!W120/MIS_Calc!P120-1),"–")</f>
        <v>-0.99877650897226755</v>
      </c>
      <c r="W103" s="229"/>
      <c r="X103" s="312">
        <f>IFERROR(MIS_Calc!W120/SUM(MIS_Calc!$W$112:$W$131),"–")</f>
        <v>5.4515223376127785E-5</v>
      </c>
      <c r="Y103" s="229"/>
      <c r="Z103" s="194"/>
    </row>
    <row r="104" spans="1:26" ht="15.95" customHeight="1" x14ac:dyDescent="0.2">
      <c r="A104" s="196"/>
      <c r="B104" s="305" t="str">
        <f>MIS_Calc!A121</f>
        <v>Junior School-3</v>
      </c>
      <c r="C104" s="229"/>
      <c r="D104" s="229"/>
      <c r="E104" s="229"/>
      <c r="F104" s="199">
        <f>IF(MIS_Calc!C121="","",MIS_Calc!C121)</f>
        <v>27</v>
      </c>
      <c r="G104" s="199">
        <f>IF(MIS_Calc!D121="","",MIS_Calc!D121)</f>
        <v>22</v>
      </c>
      <c r="H104" s="199">
        <f>IF(MIS_Calc!E121="","",MIS_Calc!E121)</f>
        <v>40</v>
      </c>
      <c r="I104" s="199">
        <f>IF(MIS_Calc!F121="","",MIS_Calc!F121)</f>
        <v>25</v>
      </c>
      <c r="J104" s="199">
        <f>IF(MIS_Calc!G121="","",MIS_Calc!G121)</f>
        <v>28</v>
      </c>
      <c r="K104" s="199">
        <f>IF(MIS_Calc!H121="","",MIS_Calc!H121)</f>
        <v>7</v>
      </c>
      <c r="L104" s="199">
        <f>IF(MIS_Calc!I121="","",MIS_Calc!I121)</f>
        <v>87</v>
      </c>
      <c r="M104" s="199">
        <f>IF(MIS_Calc!J121="","",MIS_Calc!J121)</f>
        <v>120</v>
      </c>
      <c r="N104" s="199" t="str">
        <f>IF(MIS_Calc!K121="","",MIS_Calc!K121)</f>
        <v/>
      </c>
      <c r="O104" s="199" t="str">
        <f>IF(MIS_Calc!L121="","",MIS_Calc!L121)</f>
        <v/>
      </c>
      <c r="P104" s="199" t="str">
        <f>IF(MIS_Calc!M121="","",MIS_Calc!M121)</f>
        <v/>
      </c>
      <c r="Q104" s="199" t="str">
        <f>IF(MIS_Calc!N121="","",MIS_Calc!N121)</f>
        <v/>
      </c>
      <c r="R104" s="299">
        <f>MIS_Calc!W121</f>
        <v>44.5</v>
      </c>
      <c r="S104" s="229"/>
      <c r="T104" s="299">
        <f>IF(MIS_Calc!P121="","–",MIS_Calc!P121)</f>
        <v>308.66666666666703</v>
      </c>
      <c r="U104" s="229"/>
      <c r="V104" s="308">
        <f>IFERROR(IF(OR(MIS_Calc!W121="",MIS_Calc!P121="",MIS_Calc!P121=0),"–",MIS_Calc!W121/MIS_Calc!P121-1),"–")</f>
        <v>-0.85583153347732199</v>
      </c>
      <c r="W104" s="229"/>
      <c r="X104" s="312">
        <f>IFERROR(MIS_Calc!W121/SUM(MIS_Calc!$W$112:$W$131),"–")</f>
        <v>9.7037097609507447E-3</v>
      </c>
      <c r="Y104" s="229"/>
      <c r="Z104" s="194"/>
    </row>
    <row r="105" spans="1:26" ht="15.95" customHeight="1" x14ac:dyDescent="0.2">
      <c r="A105" s="196"/>
      <c r="B105" s="305" t="str">
        <f>MIS_Calc!A122</f>
        <v>Senior School-1</v>
      </c>
      <c r="C105" s="229"/>
      <c r="D105" s="229"/>
      <c r="E105" s="229"/>
      <c r="F105" s="199">
        <f>IF(MIS_Calc!C122="","",MIS_Calc!C122)</f>
        <v>101</v>
      </c>
      <c r="G105" s="199">
        <f>IF(MIS_Calc!D122="","",MIS_Calc!D122)</f>
        <v>50</v>
      </c>
      <c r="H105" s="199">
        <f>IF(MIS_Calc!E122="","",MIS_Calc!E122)</f>
        <v>61</v>
      </c>
      <c r="I105" s="199">
        <f>IF(MIS_Calc!F122="","",MIS_Calc!F122)</f>
        <v>90</v>
      </c>
      <c r="J105" s="199">
        <f>IF(MIS_Calc!G122="","",MIS_Calc!G122)</f>
        <v>7</v>
      </c>
      <c r="K105" s="199">
        <f>IF(MIS_Calc!H122="","",MIS_Calc!H122)</f>
        <v>0</v>
      </c>
      <c r="L105" s="199">
        <f>IF(MIS_Calc!I122="","",MIS_Calc!I122)</f>
        <v>78</v>
      </c>
      <c r="M105" s="199">
        <f>IF(MIS_Calc!J122="","",MIS_Calc!J122)</f>
        <v>82</v>
      </c>
      <c r="N105" s="199" t="str">
        <f>IF(MIS_Calc!K122="","",MIS_Calc!K122)</f>
        <v/>
      </c>
      <c r="O105" s="199" t="str">
        <f>IF(MIS_Calc!L122="","",MIS_Calc!L122)</f>
        <v/>
      </c>
      <c r="P105" s="199" t="str">
        <f>IF(MIS_Calc!M122="","",MIS_Calc!M122)</f>
        <v/>
      </c>
      <c r="Q105" s="199" t="str">
        <f>IF(MIS_Calc!N122="","",MIS_Calc!N122)</f>
        <v/>
      </c>
      <c r="R105" s="299">
        <f>MIS_Calc!W122</f>
        <v>58.625</v>
      </c>
      <c r="S105" s="229"/>
      <c r="T105" s="299">
        <f>IF(MIS_Calc!P122="","–",MIS_Calc!P122)</f>
        <v>367.5</v>
      </c>
      <c r="U105" s="229"/>
      <c r="V105" s="308">
        <f>IFERROR(IF(OR(MIS_Calc!W122="",MIS_Calc!P122="",MIS_Calc!P122=0),"–",MIS_Calc!W122/MIS_Calc!P122-1),"–")</f>
        <v>-0.84047619047619049</v>
      </c>
      <c r="W105" s="229"/>
      <c r="X105" s="312">
        <f>IFERROR(MIS_Calc!W122/SUM(MIS_Calc!$W$112:$W$131),"–")</f>
        <v>1.2783819881701965E-2</v>
      </c>
      <c r="Y105" s="229"/>
      <c r="Z105" s="194"/>
    </row>
    <row r="106" spans="1:26" ht="15.95" customHeight="1" x14ac:dyDescent="0.2">
      <c r="A106" s="196"/>
      <c r="B106" s="305" t="str">
        <f>MIS_Calc!A123</f>
        <v>Senior School-2</v>
      </c>
      <c r="C106" s="229"/>
      <c r="D106" s="229"/>
      <c r="E106" s="229"/>
      <c r="F106" s="199">
        <f>IF(MIS_Calc!C123="","",MIS_Calc!C123)</f>
        <v>33</v>
      </c>
      <c r="G106" s="199">
        <f>IF(MIS_Calc!D123="","",MIS_Calc!D123)</f>
        <v>41</v>
      </c>
      <c r="H106" s="199">
        <f>IF(MIS_Calc!E123="","",MIS_Calc!E123)</f>
        <v>15</v>
      </c>
      <c r="I106" s="199">
        <f>IF(MIS_Calc!F123="","",MIS_Calc!F123)</f>
        <v>121</v>
      </c>
      <c r="J106" s="199">
        <f>IF(MIS_Calc!G123="","",MIS_Calc!G123)</f>
        <v>272</v>
      </c>
      <c r="K106" s="199">
        <f>IF(MIS_Calc!H123="","",MIS_Calc!H123)</f>
        <v>5</v>
      </c>
      <c r="L106" s="199">
        <f>IF(MIS_Calc!I123="","",MIS_Calc!I123)</f>
        <v>26</v>
      </c>
      <c r="M106" s="199">
        <f>IF(MIS_Calc!J123="","",MIS_Calc!J123)</f>
        <v>45</v>
      </c>
      <c r="N106" s="199" t="str">
        <f>IF(MIS_Calc!K123="","",MIS_Calc!K123)</f>
        <v/>
      </c>
      <c r="O106" s="199" t="str">
        <f>IF(MIS_Calc!L123="","",MIS_Calc!L123)</f>
        <v/>
      </c>
      <c r="P106" s="199" t="str">
        <f>IF(MIS_Calc!M123="","",MIS_Calc!M123)</f>
        <v/>
      </c>
      <c r="Q106" s="199" t="str">
        <f>IF(MIS_Calc!N123="","",MIS_Calc!N123)</f>
        <v/>
      </c>
      <c r="R106" s="299">
        <f>MIS_Calc!W123</f>
        <v>69.75</v>
      </c>
      <c r="S106" s="229"/>
      <c r="T106" s="299">
        <f>IF(MIS_Calc!P123="","–",MIS_Calc!P123)</f>
        <v>33.8333333333333</v>
      </c>
      <c r="U106" s="229"/>
      <c r="V106" s="308">
        <f>IFERROR(IF(OR(MIS_Calc!W123="",MIS_Calc!P123="",MIS_Calc!P123=0),"–",MIS_Calc!W123/MIS_Calc!P123-1),"–")</f>
        <v>1.0615763546798052</v>
      </c>
      <c r="W106" s="229"/>
      <c r="X106" s="312">
        <f>IFERROR(MIS_Calc!W123/SUM(MIS_Calc!$W$112:$W$131),"–")</f>
        <v>1.5209747321939651E-2</v>
      </c>
      <c r="Y106" s="229"/>
      <c r="Z106" s="194"/>
    </row>
    <row r="107" spans="1:26" ht="15.95" customHeight="1" x14ac:dyDescent="0.2">
      <c r="A107" s="196"/>
      <c r="B107" s="305" t="str">
        <f>MIS_Calc!A124</f>
        <v>Senior School-3</v>
      </c>
      <c r="C107" s="229"/>
      <c r="D107" s="229"/>
      <c r="E107" s="229"/>
      <c r="F107" s="199">
        <f>IF(MIS_Calc!C124="","",MIS_Calc!C124)</f>
        <v>0</v>
      </c>
      <c r="G107" s="199">
        <f>IF(MIS_Calc!D124="","",MIS_Calc!D124)</f>
        <v>0</v>
      </c>
      <c r="H107" s="199">
        <f>IF(MIS_Calc!E124="","",MIS_Calc!E124)</f>
        <v>0</v>
      </c>
      <c r="I107" s="199">
        <f>IF(MIS_Calc!F124="","",MIS_Calc!F124)</f>
        <v>0</v>
      </c>
      <c r="J107" s="199">
        <f>IF(MIS_Calc!G124="","",MIS_Calc!G124)</f>
        <v>0</v>
      </c>
      <c r="K107" s="199">
        <f>IF(MIS_Calc!H124="","",MIS_Calc!H124)</f>
        <v>13</v>
      </c>
      <c r="L107" s="199">
        <f>IF(MIS_Calc!I124="","",MIS_Calc!I124)</f>
        <v>0</v>
      </c>
      <c r="M107" s="199">
        <f>IF(MIS_Calc!J124="","",MIS_Calc!J124)</f>
        <v>0</v>
      </c>
      <c r="N107" s="199" t="str">
        <f>IF(MIS_Calc!K124="","",MIS_Calc!K124)</f>
        <v/>
      </c>
      <c r="O107" s="199" t="str">
        <f>IF(MIS_Calc!L124="","",MIS_Calc!L124)</f>
        <v/>
      </c>
      <c r="P107" s="199" t="str">
        <f>IF(MIS_Calc!M124="","",MIS_Calc!M124)</f>
        <v/>
      </c>
      <c r="Q107" s="199" t="str">
        <f>IF(MIS_Calc!N124="","",MIS_Calc!N124)</f>
        <v/>
      </c>
      <c r="R107" s="299">
        <f>MIS_Calc!W124</f>
        <v>1.625</v>
      </c>
      <c r="S107" s="229"/>
      <c r="T107" s="299">
        <f>IF(MIS_Calc!P124="","–",MIS_Calc!P124)</f>
        <v>98.9166666666667</v>
      </c>
      <c r="U107" s="229"/>
      <c r="V107" s="308">
        <f>IFERROR(IF(OR(MIS_Calc!W124="",MIS_Calc!P124="",MIS_Calc!P124=0),"–",MIS_Calc!W124/MIS_Calc!P124-1),"–")</f>
        <v>-0.98357203032855944</v>
      </c>
      <c r="W107" s="229"/>
      <c r="X107" s="312">
        <f>IFERROR(MIS_Calc!W124/SUM(MIS_Calc!$W$112:$W$131),"–")</f>
        <v>3.5434895194483057E-4</v>
      </c>
      <c r="Y107" s="229"/>
      <c r="Z107" s="194"/>
    </row>
    <row r="108" spans="1:26" ht="15.95" customHeight="1" x14ac:dyDescent="0.2">
      <c r="A108" s="196"/>
      <c r="B108" s="305" t="str">
        <f>MIS_Calc!A125</f>
        <v>Academy Building</v>
      </c>
      <c r="C108" s="229"/>
      <c r="D108" s="229"/>
      <c r="E108" s="229"/>
      <c r="F108" s="199">
        <f>IF(MIS_Calc!C125="","",MIS_Calc!C125)</f>
        <v>1</v>
      </c>
      <c r="G108" s="199">
        <f>IF(MIS_Calc!D125="","",MIS_Calc!D125)</f>
        <v>25</v>
      </c>
      <c r="H108" s="199">
        <f>IF(MIS_Calc!E125="","",MIS_Calc!E125)</f>
        <v>53</v>
      </c>
      <c r="I108" s="199">
        <f>IF(MIS_Calc!F125="","",MIS_Calc!F125)</f>
        <v>329</v>
      </c>
      <c r="J108" s="199">
        <f>IF(MIS_Calc!G125="","",MIS_Calc!G125)</f>
        <v>224</v>
      </c>
      <c r="K108" s="199">
        <f>IF(MIS_Calc!H125="","",MIS_Calc!H125)</f>
        <v>61</v>
      </c>
      <c r="L108" s="199">
        <f>IF(MIS_Calc!I125="","",MIS_Calc!I125)</f>
        <v>78</v>
      </c>
      <c r="M108" s="199">
        <f>IF(MIS_Calc!J125="","",MIS_Calc!J125)</f>
        <v>38</v>
      </c>
      <c r="N108" s="199" t="str">
        <f>IF(MIS_Calc!K125="","",MIS_Calc!K125)</f>
        <v/>
      </c>
      <c r="O108" s="199" t="str">
        <f>IF(MIS_Calc!L125="","",MIS_Calc!L125)</f>
        <v/>
      </c>
      <c r="P108" s="199" t="str">
        <f>IF(MIS_Calc!M125="","",MIS_Calc!M125)</f>
        <v/>
      </c>
      <c r="Q108" s="199" t="str">
        <f>IF(MIS_Calc!N125="","",MIS_Calc!N125)</f>
        <v/>
      </c>
      <c r="R108" s="299">
        <f>MIS_Calc!W125</f>
        <v>101.125</v>
      </c>
      <c r="S108" s="229"/>
      <c r="T108" s="299">
        <f>IF(MIS_Calc!P125="","–",MIS_Calc!P125)</f>
        <v>8.75</v>
      </c>
      <c r="U108" s="229"/>
      <c r="V108" s="308">
        <f>IFERROR(IF(OR(MIS_Calc!W125="",MIS_Calc!P125="",MIS_Calc!P125=0),"–",MIS_Calc!W125/MIS_Calc!P125-1),"–")</f>
        <v>10.557142857142857</v>
      </c>
      <c r="W108" s="229"/>
      <c r="X108" s="312">
        <f>IFERROR(MIS_Calc!W125/SUM(MIS_Calc!$W$112:$W$131),"–")</f>
        <v>2.205140785564369E-2</v>
      </c>
      <c r="Y108" s="229"/>
      <c r="Z108" s="194"/>
    </row>
    <row r="109" spans="1:26" ht="15.95" customHeight="1" x14ac:dyDescent="0.2">
      <c r="A109" s="196"/>
      <c r="B109" s="305" t="str">
        <f>MIS_Calc!A126</f>
        <v>Commons</v>
      </c>
      <c r="C109" s="229"/>
      <c r="D109" s="229"/>
      <c r="E109" s="229"/>
      <c r="F109" s="199">
        <f>IF(MIS_Calc!C126="","",MIS_Calc!C126)</f>
        <v>180</v>
      </c>
      <c r="G109" s="199">
        <f>IF(MIS_Calc!D126="","",MIS_Calc!D126)</f>
        <v>186</v>
      </c>
      <c r="H109" s="199">
        <f>IF(MIS_Calc!E126="","",MIS_Calc!E126)</f>
        <v>587</v>
      </c>
      <c r="I109" s="199">
        <f>IF(MIS_Calc!F126="","",MIS_Calc!F126)</f>
        <v>28</v>
      </c>
      <c r="J109" s="199">
        <f>IF(MIS_Calc!G126="","",MIS_Calc!G126)</f>
        <v>73</v>
      </c>
      <c r="K109" s="199">
        <f>IF(MIS_Calc!H126="","",MIS_Calc!H126)</f>
        <v>77</v>
      </c>
      <c r="L109" s="199">
        <f>IF(MIS_Calc!I126="","",MIS_Calc!I126)</f>
        <v>1089</v>
      </c>
      <c r="M109" s="199">
        <f>IF(MIS_Calc!J126="","",MIS_Calc!J126)</f>
        <v>1094</v>
      </c>
      <c r="N109" s="199" t="str">
        <f>IF(MIS_Calc!K126="","",MIS_Calc!K126)</f>
        <v/>
      </c>
      <c r="O109" s="199" t="str">
        <f>IF(MIS_Calc!L126="","",MIS_Calc!L126)</f>
        <v/>
      </c>
      <c r="P109" s="199" t="str">
        <f>IF(MIS_Calc!M126="","",MIS_Calc!M126)</f>
        <v/>
      </c>
      <c r="Q109" s="199" t="str">
        <f>IF(MIS_Calc!N126="","",MIS_Calc!N126)</f>
        <v/>
      </c>
      <c r="R109" s="299">
        <f>MIS_Calc!W126</f>
        <v>414.25</v>
      </c>
      <c r="S109" s="229"/>
      <c r="T109" s="299">
        <f>IF(MIS_Calc!P126="","–",MIS_Calc!P126)</f>
        <v>183.25</v>
      </c>
      <c r="U109" s="229"/>
      <c r="V109" s="308">
        <f>IFERROR(IF(OR(MIS_Calc!W126="",MIS_Calc!P126="",MIS_Calc!P126=0),"–",MIS_Calc!W126/MIS_Calc!P126-1),"–")</f>
        <v>1.2605729877216918</v>
      </c>
      <c r="W109" s="229"/>
      <c r="X109" s="312">
        <f>IFERROR(MIS_Calc!W126/SUM(MIS_Calc!$W$112:$W$131),"–")</f>
        <v>9.0331725134243743E-2</v>
      </c>
      <c r="Y109" s="229"/>
      <c r="Z109" s="194"/>
    </row>
    <row r="110" spans="1:26" ht="15.95" customHeight="1" x14ac:dyDescent="0.2">
      <c r="A110" s="196"/>
      <c r="B110" s="305" t="str">
        <f>MIS_Calc!A127</f>
        <v>Swimming Pool</v>
      </c>
      <c r="C110" s="229"/>
      <c r="D110" s="229"/>
      <c r="E110" s="229"/>
      <c r="F110" s="199">
        <f>IF(MIS_Calc!C127="","",MIS_Calc!C127)</f>
        <v>526</v>
      </c>
      <c r="G110" s="199">
        <f>IF(MIS_Calc!D127="","",MIS_Calc!D127)</f>
        <v>576</v>
      </c>
      <c r="H110" s="199">
        <f>IF(MIS_Calc!E127="","",MIS_Calc!E127)</f>
        <v>633</v>
      </c>
      <c r="I110" s="199">
        <f>IF(MIS_Calc!F127="","",MIS_Calc!F127)</f>
        <v>661</v>
      </c>
      <c r="J110" s="199">
        <f>IF(MIS_Calc!G127="","",MIS_Calc!G127)</f>
        <v>482</v>
      </c>
      <c r="K110" s="199">
        <f>IF(MIS_Calc!H127="","",MIS_Calc!H127)</f>
        <v>477</v>
      </c>
      <c r="L110" s="199">
        <f>IF(MIS_Calc!I127="","",MIS_Calc!I127)</f>
        <v>1640</v>
      </c>
      <c r="M110" s="199">
        <f>IF(MIS_Calc!J127="","",MIS_Calc!J127)</f>
        <v>1559</v>
      </c>
      <c r="N110" s="199" t="str">
        <f>IF(MIS_Calc!K127="","",MIS_Calc!K127)</f>
        <v/>
      </c>
      <c r="O110" s="199" t="str">
        <f>IF(MIS_Calc!L127="","",MIS_Calc!L127)</f>
        <v/>
      </c>
      <c r="P110" s="199" t="str">
        <f>IF(MIS_Calc!M127="","",MIS_Calc!M127)</f>
        <v/>
      </c>
      <c r="Q110" s="199" t="str">
        <f>IF(MIS_Calc!N127="","",MIS_Calc!N127)</f>
        <v/>
      </c>
      <c r="R110" s="299">
        <f>MIS_Calc!W127</f>
        <v>819.25</v>
      </c>
      <c r="S110" s="229"/>
      <c r="T110" s="299">
        <f>IF(MIS_Calc!P127="","–",MIS_Calc!P127)</f>
        <v>452.91666666666703</v>
      </c>
      <c r="U110" s="229"/>
      <c r="V110" s="308">
        <f>IFERROR(IF(OR(MIS_Calc!W127="",MIS_Calc!P127="",MIS_Calc!P127=0),"–",MIS_Calc!W127/MIS_Calc!P127-1),"–")</f>
        <v>0.80883164673412922</v>
      </c>
      <c r="W110" s="229"/>
      <c r="X110" s="312">
        <f>IFERROR(MIS_Calc!W127/SUM(MIS_Calc!$W$112:$W$131),"–")</f>
        <v>0.17864638700357074</v>
      </c>
      <c r="Y110" s="229"/>
      <c r="Z110" s="194"/>
    </row>
    <row r="111" spans="1:26" ht="15.95" customHeight="1" x14ac:dyDescent="0.2">
      <c r="A111" s="196"/>
      <c r="B111" s="305" t="str">
        <f>MIS_Calc!A128</f>
        <v>Athletic Centre</v>
      </c>
      <c r="C111" s="229"/>
      <c r="D111" s="229"/>
      <c r="E111" s="229"/>
      <c r="F111" s="199">
        <f>IF(MIS_Calc!C128="","",MIS_Calc!C128)</f>
        <v>151</v>
      </c>
      <c r="G111" s="199">
        <f>IF(MIS_Calc!D128="","",MIS_Calc!D128)</f>
        <v>121</v>
      </c>
      <c r="H111" s="199">
        <f>IF(MIS_Calc!E128="","",MIS_Calc!E128)</f>
        <v>53</v>
      </c>
      <c r="I111" s="199">
        <f>IF(MIS_Calc!F128="","",MIS_Calc!F128)</f>
        <v>46</v>
      </c>
      <c r="J111" s="199">
        <f>IF(MIS_Calc!G128="","",MIS_Calc!G128)</f>
        <v>106</v>
      </c>
      <c r="K111" s="199">
        <f>IF(MIS_Calc!H128="","",MIS_Calc!H128)</f>
        <v>146</v>
      </c>
      <c r="L111" s="199">
        <f>IF(MIS_Calc!I128="","",MIS_Calc!I128)</f>
        <v>124</v>
      </c>
      <c r="M111" s="199">
        <f>IF(MIS_Calc!J128="","",MIS_Calc!J128)</f>
        <v>54</v>
      </c>
      <c r="N111" s="199" t="str">
        <f>IF(MIS_Calc!K128="","",MIS_Calc!K128)</f>
        <v/>
      </c>
      <c r="O111" s="199" t="str">
        <f>IF(MIS_Calc!L128="","",MIS_Calc!L128)</f>
        <v/>
      </c>
      <c r="P111" s="199" t="str">
        <f>IF(MIS_Calc!M128="","",MIS_Calc!M128)</f>
        <v/>
      </c>
      <c r="Q111" s="199" t="str">
        <f>IF(MIS_Calc!N128="","",MIS_Calc!N128)</f>
        <v/>
      </c>
      <c r="R111" s="299">
        <f>MIS_Calc!W128</f>
        <v>100.125</v>
      </c>
      <c r="S111" s="229"/>
      <c r="T111" s="299">
        <f>IF(MIS_Calc!P128="","–",MIS_Calc!P128)</f>
        <v>467.16666666666703</v>
      </c>
      <c r="U111" s="229"/>
      <c r="V111" s="308">
        <f>IFERROR(IF(OR(MIS_Calc!W128="",MIS_Calc!P128="",MIS_Calc!P128=0),"–",MIS_Calc!W128/MIS_Calc!P128-1),"–")</f>
        <v>-0.78567606136282575</v>
      </c>
      <c r="W111" s="229"/>
      <c r="X111" s="312">
        <f>IFERROR(MIS_Calc!W128/SUM(MIS_Calc!$W$112:$W$131),"–")</f>
        <v>2.1833346962139177E-2</v>
      </c>
      <c r="Y111" s="229"/>
      <c r="Z111" s="194"/>
    </row>
    <row r="112" spans="1:26" ht="15.95" customHeight="1" x14ac:dyDescent="0.2">
      <c r="A112" s="196"/>
      <c r="B112" s="305" t="str">
        <f>MIS_Calc!A129</f>
        <v>PCM</v>
      </c>
      <c r="C112" s="229"/>
      <c r="D112" s="229"/>
      <c r="E112" s="229"/>
      <c r="F112" s="199">
        <f>IF(MIS_Calc!C129="","",MIS_Calc!C129)</f>
        <v>468</v>
      </c>
      <c r="G112" s="199">
        <f>IF(MIS_Calc!D129="","",MIS_Calc!D129)</f>
        <v>497</v>
      </c>
      <c r="H112" s="199">
        <f>IF(MIS_Calc!E129="","",MIS_Calc!E129)</f>
        <v>520</v>
      </c>
      <c r="I112" s="199">
        <f>IF(MIS_Calc!F129="","",MIS_Calc!F129)</f>
        <v>468</v>
      </c>
      <c r="J112" s="199">
        <f>IF(MIS_Calc!G129="","",MIS_Calc!G129)</f>
        <v>445</v>
      </c>
      <c r="K112" s="199">
        <f>IF(MIS_Calc!H129="","",MIS_Calc!H129)</f>
        <v>589</v>
      </c>
      <c r="L112" s="199">
        <f>IF(MIS_Calc!I129="","",MIS_Calc!I129)</f>
        <v>598</v>
      </c>
      <c r="M112" s="199">
        <f>IF(MIS_Calc!J129="","",MIS_Calc!J129)</f>
        <v>570</v>
      </c>
      <c r="N112" s="199" t="str">
        <f>IF(MIS_Calc!K129="","",MIS_Calc!K129)</f>
        <v/>
      </c>
      <c r="O112" s="199" t="str">
        <f>IF(MIS_Calc!L129="","",MIS_Calc!L129)</f>
        <v/>
      </c>
      <c r="P112" s="199" t="str">
        <f>IF(MIS_Calc!M129="","",MIS_Calc!M129)</f>
        <v/>
      </c>
      <c r="Q112" s="199" t="str">
        <f>IF(MIS_Calc!N129="","",MIS_Calc!N129)</f>
        <v/>
      </c>
      <c r="R112" s="299">
        <f>MIS_Calc!W129</f>
        <v>519.375</v>
      </c>
      <c r="S112" s="229"/>
      <c r="T112" s="299">
        <f>IF(MIS_Calc!P129="","–",MIS_Calc!P129)</f>
        <v>1140.6666666666599</v>
      </c>
      <c r="U112" s="229"/>
      <c r="V112" s="308">
        <f>IFERROR(IF(OR(MIS_Calc!W129="",MIS_Calc!P129="",MIS_Calc!P129=0),"–",MIS_Calc!W129/MIS_Calc!P129-1),"–")</f>
        <v>-0.54467416715370853</v>
      </c>
      <c r="W112" s="229"/>
      <c r="X112" s="312">
        <f>IFERROR(MIS_Calc!W129/SUM(MIS_Calc!$W$112:$W$131),"–")</f>
        <v>0.11325537656390547</v>
      </c>
      <c r="Y112" s="229"/>
      <c r="Z112" s="194"/>
    </row>
    <row r="113" spans="1:26" ht="15.95" customHeight="1" x14ac:dyDescent="0.2">
      <c r="A113" s="196"/>
      <c r="B113" s="305" t="str">
        <f>MIS_Calc!A130</f>
        <v>Nursery</v>
      </c>
      <c r="C113" s="229"/>
      <c r="D113" s="229"/>
      <c r="E113" s="229"/>
      <c r="F113" s="199">
        <f>IF(MIS_Calc!C130="","",MIS_Calc!C130)</f>
        <v>48</v>
      </c>
      <c r="G113" s="199">
        <f>IF(MIS_Calc!D130="","",MIS_Calc!D130)</f>
        <v>33</v>
      </c>
      <c r="H113" s="199">
        <f>IF(MIS_Calc!E130="","",MIS_Calc!E130)</f>
        <v>43</v>
      </c>
      <c r="I113" s="199">
        <f>IF(MIS_Calc!F130="","",MIS_Calc!F130)</f>
        <v>78</v>
      </c>
      <c r="J113" s="199">
        <f>IF(MIS_Calc!G130="","",MIS_Calc!G130)</f>
        <v>204</v>
      </c>
      <c r="K113" s="199">
        <f>IF(MIS_Calc!H130="","",MIS_Calc!H130)</f>
        <v>96</v>
      </c>
      <c r="L113" s="199">
        <f>IF(MIS_Calc!I130="","",MIS_Calc!I130)</f>
        <v>176</v>
      </c>
      <c r="M113" s="199">
        <f>IF(MIS_Calc!J130="","",MIS_Calc!J130)</f>
        <v>209</v>
      </c>
      <c r="N113" s="199" t="str">
        <f>IF(MIS_Calc!K130="","",MIS_Calc!K130)</f>
        <v/>
      </c>
      <c r="O113" s="199" t="str">
        <f>IF(MIS_Calc!L130="","",MIS_Calc!L130)</f>
        <v/>
      </c>
      <c r="P113" s="199" t="str">
        <f>IF(MIS_Calc!M130="","",MIS_Calc!M130)</f>
        <v/>
      </c>
      <c r="Q113" s="199" t="str">
        <f>IF(MIS_Calc!N130="","",MIS_Calc!N130)</f>
        <v/>
      </c>
      <c r="R113" s="299">
        <f>MIS_Calc!W130</f>
        <v>110.875</v>
      </c>
      <c r="S113" s="229"/>
      <c r="T113" s="299" t="str">
        <f>IF(MIS_Calc!P130="","–",MIS_Calc!P130)</f>
        <v>–</v>
      </c>
      <c r="U113" s="229"/>
      <c r="V113" s="308" t="str">
        <f>IFERROR(IF(OR(MIS_Calc!W130="",MIS_Calc!P130="",MIS_Calc!P130=0),"–",MIS_Calc!W130/MIS_Calc!P130-1),"–")</f>
        <v>–</v>
      </c>
      <c r="W113" s="229"/>
      <c r="X113" s="312">
        <f>IFERROR(MIS_Calc!W130/SUM(MIS_Calc!$W$112:$W$131),"–")</f>
        <v>2.4177501567312673E-2</v>
      </c>
      <c r="Y113" s="229"/>
      <c r="Z113" s="194"/>
    </row>
    <row r="114" spans="1:26" ht="15.95" customHeight="1" x14ac:dyDescent="0.2">
      <c r="A114" s="196"/>
      <c r="B114" s="305" t="str">
        <f>MIS_Calc!A131</f>
        <v>Laundry</v>
      </c>
      <c r="C114" s="229"/>
      <c r="D114" s="229"/>
      <c r="E114" s="229"/>
      <c r="F114" s="199">
        <f>IF(MIS_Calc!C131="","",MIS_Calc!C131)</f>
        <v>94</v>
      </c>
      <c r="G114" s="199">
        <f>IF(MIS_Calc!D131="","",MIS_Calc!D131)</f>
        <v>98</v>
      </c>
      <c r="H114" s="199">
        <f>IF(MIS_Calc!E131="","",MIS_Calc!E131)</f>
        <v>104</v>
      </c>
      <c r="I114" s="199">
        <f>IF(MIS_Calc!F131="","",MIS_Calc!F131)</f>
        <v>15</v>
      </c>
      <c r="J114" s="199">
        <f>IF(MIS_Calc!G131="","",MIS_Calc!G131)</f>
        <v>87</v>
      </c>
      <c r="K114" s="199">
        <f>IF(MIS_Calc!H131="","",MIS_Calc!H131)</f>
        <v>68</v>
      </c>
      <c r="L114" s="199">
        <f>IF(MIS_Calc!I131="","",MIS_Calc!I131)</f>
        <v>89</v>
      </c>
      <c r="M114" s="199">
        <f>IF(MIS_Calc!J131="","",MIS_Calc!J131)</f>
        <v>135</v>
      </c>
      <c r="N114" s="199" t="str">
        <f>IF(MIS_Calc!K131="","",MIS_Calc!K131)</f>
        <v/>
      </c>
      <c r="O114" s="199" t="str">
        <f>IF(MIS_Calc!L131="","",MIS_Calc!L131)</f>
        <v/>
      </c>
      <c r="P114" s="199" t="str">
        <f>IF(MIS_Calc!M131="","",MIS_Calc!M131)</f>
        <v/>
      </c>
      <c r="Q114" s="199" t="str">
        <f>IF(MIS_Calc!N131="","",MIS_Calc!N131)</f>
        <v/>
      </c>
      <c r="R114" s="299">
        <f>MIS_Calc!W131</f>
        <v>86.25</v>
      </c>
      <c r="S114" s="229"/>
      <c r="T114" s="299" t="str">
        <f>IF(MIS_Calc!P131="","–",MIS_Calc!P131)</f>
        <v>–</v>
      </c>
      <c r="U114" s="229"/>
      <c r="V114" s="308" t="str">
        <f>IFERROR(IF(OR(MIS_Calc!W131="",MIS_Calc!P131="",MIS_Calc!P131=0),"–",MIS_Calc!W131/MIS_Calc!P131-1),"–")</f>
        <v>–</v>
      </c>
      <c r="W114" s="229"/>
      <c r="X114" s="312">
        <f>IFERROR(MIS_Calc!W131/SUM(MIS_Calc!$W$112:$W$131),"–")</f>
        <v>1.8807752064764087E-2</v>
      </c>
      <c r="Y114" s="229"/>
      <c r="Z114" s="194"/>
    </row>
    <row r="115" spans="1:26" ht="15" customHeight="1" x14ac:dyDescent="0.2">
      <c r="A115" s="196"/>
      <c r="B115" s="194"/>
      <c r="C115" s="194"/>
      <c r="D115" s="194"/>
      <c r="E115" s="194"/>
      <c r="F115" s="194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</row>
    <row r="116" spans="1:26" ht="15" customHeight="1" x14ac:dyDescent="0.2">
      <c r="A116" s="196"/>
      <c r="B116" s="194"/>
      <c r="C116" s="194"/>
      <c r="D116" s="194"/>
      <c r="E116" s="194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</row>
    <row r="117" spans="1:26" ht="24" customHeight="1" x14ac:dyDescent="0.2">
      <c r="A117" s="196"/>
      <c r="B117" s="409" t="s">
        <v>138</v>
      </c>
      <c r="C117" s="410"/>
      <c r="D117" s="410"/>
      <c r="E117" s="410"/>
      <c r="F117" s="410"/>
      <c r="G117" s="410"/>
      <c r="H117" s="410"/>
      <c r="I117" s="410"/>
      <c r="J117" s="410"/>
      <c r="K117" s="410"/>
      <c r="L117" s="410"/>
      <c r="M117" s="410"/>
      <c r="N117" s="410"/>
      <c r="O117" s="410"/>
      <c r="P117" s="410"/>
      <c r="Q117" s="410"/>
      <c r="R117" s="410"/>
      <c r="S117" s="410"/>
      <c r="T117" s="410"/>
      <c r="U117" s="410"/>
      <c r="V117" s="410"/>
      <c r="W117" s="410"/>
      <c r="X117" s="410"/>
      <c r="Y117" s="410"/>
      <c r="Z117" s="194"/>
    </row>
    <row r="118" spans="1:26" ht="26.1" customHeight="1" x14ac:dyDescent="0.2">
      <c r="A118" s="196"/>
      <c r="B118" s="306" t="s">
        <v>122</v>
      </c>
      <c r="C118" s="307"/>
      <c r="D118" s="307"/>
      <c r="E118" s="307"/>
      <c r="F118" s="224" t="s">
        <v>123</v>
      </c>
      <c r="G118" s="224" t="s">
        <v>124</v>
      </c>
      <c r="H118" s="224" t="s">
        <v>125</v>
      </c>
      <c r="I118" s="224" t="s">
        <v>126</v>
      </c>
      <c r="J118" s="224" t="s">
        <v>127</v>
      </c>
      <c r="K118" s="224" t="s">
        <v>128</v>
      </c>
      <c r="L118" s="224" t="s">
        <v>129</v>
      </c>
      <c r="M118" s="224" t="s">
        <v>7</v>
      </c>
      <c r="N118" s="224" t="s">
        <v>130</v>
      </c>
      <c r="O118" s="224" t="s">
        <v>131</v>
      </c>
      <c r="P118" s="224" t="s">
        <v>132</v>
      </c>
      <c r="Q118" s="224" t="s">
        <v>133</v>
      </c>
      <c r="R118" s="306" t="s">
        <v>134</v>
      </c>
      <c r="S118" s="307"/>
      <c r="T118" s="306" t="s">
        <v>139</v>
      </c>
      <c r="U118" s="307"/>
      <c r="V118" s="306" t="s">
        <v>136</v>
      </c>
      <c r="W118" s="307"/>
      <c r="X118" s="306" t="s">
        <v>137</v>
      </c>
      <c r="Y118" s="307"/>
      <c r="Z118" s="194"/>
    </row>
    <row r="119" spans="1:26" ht="15.95" customHeight="1" x14ac:dyDescent="0.2">
      <c r="A119" s="196"/>
      <c r="B119" s="305" t="str">
        <f>MIS_Calc!A136</f>
        <v>SR1,2,3&amp;4 Emergency</v>
      </c>
      <c r="C119" s="229"/>
      <c r="D119" s="229"/>
      <c r="E119" s="229"/>
      <c r="F119" s="199">
        <f>IF(MIS_Calc!C136="","",MIS_Calc!C136)</f>
        <v>480</v>
      </c>
      <c r="G119" s="199">
        <f>IF(MIS_Calc!D136="","",MIS_Calc!D136)</f>
        <v>525</v>
      </c>
      <c r="H119" s="199">
        <f>IF(MIS_Calc!E136="","",MIS_Calc!E136)</f>
        <v>675</v>
      </c>
      <c r="I119" s="199">
        <f>IF(MIS_Calc!F136="","",MIS_Calc!F136)</f>
        <v>653</v>
      </c>
      <c r="J119" s="199">
        <f>IF(MIS_Calc!G136="","",MIS_Calc!G136)</f>
        <v>647</v>
      </c>
      <c r="K119" s="199">
        <f>IF(MIS_Calc!H136="","",MIS_Calc!H136)</f>
        <v>573</v>
      </c>
      <c r="L119" s="199">
        <f>IF(MIS_Calc!I136="","",MIS_Calc!I136)</f>
        <v>631</v>
      </c>
      <c r="M119" s="199">
        <f>IF(MIS_Calc!J136="","",MIS_Calc!J136)</f>
        <v>815</v>
      </c>
      <c r="N119" s="199" t="str">
        <f>IF(MIS_Calc!K136="","",MIS_Calc!K136)</f>
        <v/>
      </c>
      <c r="O119" s="199" t="str">
        <f>IF(MIS_Calc!L136="","",MIS_Calc!L136)</f>
        <v/>
      </c>
      <c r="P119" s="199" t="str">
        <f>IF(MIS_Calc!M136="","",MIS_Calc!M136)</f>
        <v/>
      </c>
      <c r="Q119" s="199" t="str">
        <f>IF(MIS_Calc!N136="","",MIS_Calc!N136)</f>
        <v/>
      </c>
      <c r="R119" s="299">
        <f>MIS_Calc!W136</f>
        <v>624.875</v>
      </c>
      <c r="S119" s="229"/>
      <c r="T119" s="299">
        <f>IF(MIS_Calc!O136="","–",MIS_Calc!O136)</f>
        <v>537.83333333332996</v>
      </c>
      <c r="U119" s="229"/>
      <c r="V119" s="308">
        <f>IFERROR(IF(OR(MIS_Calc!W136="",MIS_Calc!O136="",MIS_Calc!O136=0),"–",MIS_Calc!W136/MIS_Calc!O136-1),"–")</f>
        <v>0.16183762008057756</v>
      </c>
      <c r="W119" s="229"/>
      <c r="X119" s="312">
        <f>IFERROR(MIS_Calc!W136/SUM(MIS_Calc!$W$136:$W$160),"–")</f>
        <v>3.9646340997235149E-3</v>
      </c>
      <c r="Y119" s="229"/>
      <c r="Z119" s="194"/>
    </row>
    <row r="120" spans="1:26" ht="15.95" customHeight="1" x14ac:dyDescent="0.2">
      <c r="A120" s="196"/>
      <c r="B120" s="305" t="str">
        <f>MIS_Calc!A137</f>
        <v>SR 9&amp;10A,B 11-12A,B Emergency</v>
      </c>
      <c r="C120" s="229"/>
      <c r="D120" s="229"/>
      <c r="E120" s="229"/>
      <c r="F120" s="199">
        <f>IF(MIS_Calc!C137="","",MIS_Calc!C137)</f>
        <v>1154</v>
      </c>
      <c r="G120" s="199">
        <f>IF(MIS_Calc!D137="","",MIS_Calc!D137)</f>
        <v>1119</v>
      </c>
      <c r="H120" s="199">
        <f>IF(MIS_Calc!E137="","",MIS_Calc!E137)</f>
        <v>1257</v>
      </c>
      <c r="I120" s="199">
        <f>IF(MIS_Calc!F137="","",MIS_Calc!F137)</f>
        <v>1253</v>
      </c>
      <c r="J120" s="199">
        <f>IF(MIS_Calc!G137="","",MIS_Calc!G137)</f>
        <v>1203</v>
      </c>
      <c r="K120" s="199">
        <f>IF(MIS_Calc!H137="","",MIS_Calc!H137)</f>
        <v>1054</v>
      </c>
      <c r="L120" s="199">
        <f>IF(MIS_Calc!I137="","",MIS_Calc!I137)</f>
        <v>1234</v>
      </c>
      <c r="M120" s="199">
        <f>IF(MIS_Calc!J137="","",MIS_Calc!J137)</f>
        <v>1331</v>
      </c>
      <c r="N120" s="199" t="str">
        <f>IF(MIS_Calc!K137="","",MIS_Calc!K137)</f>
        <v/>
      </c>
      <c r="O120" s="199" t="str">
        <f>IF(MIS_Calc!L137="","",MIS_Calc!L137)</f>
        <v/>
      </c>
      <c r="P120" s="199" t="str">
        <f>IF(MIS_Calc!M137="","",MIS_Calc!M137)</f>
        <v/>
      </c>
      <c r="Q120" s="199" t="str">
        <f>IF(MIS_Calc!N137="","",MIS_Calc!N137)</f>
        <v/>
      </c>
      <c r="R120" s="299">
        <f>MIS_Calc!W137</f>
        <v>1200.625</v>
      </c>
      <c r="S120" s="229"/>
      <c r="T120" s="299">
        <f>IF(MIS_Calc!O137="","–",MIS_Calc!O137)</f>
        <v>1150.25</v>
      </c>
      <c r="U120" s="229"/>
      <c r="V120" s="308">
        <f>IFERROR(IF(OR(MIS_Calc!W137="",MIS_Calc!O137="",MIS_Calc!O137=0),"–",MIS_Calc!W137/MIS_Calc!O137-1),"–")</f>
        <v>4.3794827211475873E-2</v>
      </c>
      <c r="W120" s="229"/>
      <c r="X120" s="312">
        <f>IFERROR(MIS_Calc!W137/SUM(MIS_Calc!$W$136:$W$160),"–")</f>
        <v>7.6175856226934104E-3</v>
      </c>
      <c r="Y120" s="229"/>
      <c r="Z120" s="194"/>
    </row>
    <row r="121" spans="1:26" ht="15.95" customHeight="1" x14ac:dyDescent="0.2">
      <c r="A121" s="196"/>
      <c r="B121" s="305" t="str">
        <f>MIS_Calc!A138</f>
        <v>Laundry</v>
      </c>
      <c r="C121" s="229"/>
      <c r="D121" s="229"/>
      <c r="E121" s="229"/>
      <c r="F121" s="199">
        <f>IF(MIS_Calc!C138="","",MIS_Calc!C138)</f>
        <v>2447</v>
      </c>
      <c r="G121" s="199">
        <f>IF(MIS_Calc!D138="","",MIS_Calc!D138)</f>
        <v>2920</v>
      </c>
      <c r="H121" s="199">
        <f>IF(MIS_Calc!E138="","",MIS_Calc!E138)</f>
        <v>3006</v>
      </c>
      <c r="I121" s="199">
        <f>IF(MIS_Calc!F138="","",MIS_Calc!F138)</f>
        <v>3383</v>
      </c>
      <c r="J121" s="199">
        <f>IF(MIS_Calc!G138="","",MIS_Calc!G138)</f>
        <v>2839</v>
      </c>
      <c r="K121" s="199">
        <f>IF(MIS_Calc!H138="","",MIS_Calc!H138)</f>
        <v>2202</v>
      </c>
      <c r="L121" s="199">
        <f>IF(MIS_Calc!I138="","",MIS_Calc!I138)</f>
        <v>2875</v>
      </c>
      <c r="M121" s="199">
        <f>IF(MIS_Calc!J138="","",MIS_Calc!J138)</f>
        <v>3382</v>
      </c>
      <c r="N121" s="199" t="str">
        <f>IF(MIS_Calc!K138="","",MIS_Calc!K138)</f>
        <v/>
      </c>
      <c r="O121" s="199" t="str">
        <f>IF(MIS_Calc!L138="","",MIS_Calc!L138)</f>
        <v/>
      </c>
      <c r="P121" s="199" t="str">
        <f>IF(MIS_Calc!M138="","",MIS_Calc!M138)</f>
        <v/>
      </c>
      <c r="Q121" s="199" t="str">
        <f>IF(MIS_Calc!N138="","",MIS_Calc!N138)</f>
        <v/>
      </c>
      <c r="R121" s="299">
        <f>MIS_Calc!W138</f>
        <v>2881.75</v>
      </c>
      <c r="S121" s="229"/>
      <c r="T121" s="299">
        <f>IF(MIS_Calc!O138="","–",MIS_Calc!O138)</f>
        <v>2706.5</v>
      </c>
      <c r="U121" s="229"/>
      <c r="V121" s="308">
        <f>IFERROR(IF(OR(MIS_Calc!W138="",MIS_Calc!O138="",MIS_Calc!O138=0),"–",MIS_Calc!W138/MIS_Calc!O138-1),"–")</f>
        <v>6.475152410862739E-2</v>
      </c>
      <c r="W121" s="229"/>
      <c r="X121" s="312">
        <f>IFERROR(MIS_Calc!W138/SUM(MIS_Calc!$W$136:$W$160),"–")</f>
        <v>1.828379166533825E-2</v>
      </c>
      <c r="Y121" s="229"/>
      <c r="Z121" s="194"/>
    </row>
    <row r="122" spans="1:26" ht="15.95" customHeight="1" x14ac:dyDescent="0.2">
      <c r="A122" s="196"/>
      <c r="B122" s="305" t="str">
        <f>MIS_Calc!A139</f>
        <v>Substation</v>
      </c>
      <c r="C122" s="229"/>
      <c r="D122" s="229"/>
      <c r="E122" s="229"/>
      <c r="F122" s="199">
        <f>IF(MIS_Calc!C139="","",MIS_Calc!C139)</f>
        <v>436</v>
      </c>
      <c r="G122" s="199">
        <f>IF(MIS_Calc!D139="","",MIS_Calc!D139)</f>
        <v>602</v>
      </c>
      <c r="H122" s="199">
        <f>IF(MIS_Calc!E139="","",MIS_Calc!E139)</f>
        <v>993.3</v>
      </c>
      <c r="I122" s="199">
        <f>IF(MIS_Calc!F139="","",MIS_Calc!F139)</f>
        <v>961.7</v>
      </c>
      <c r="J122" s="199">
        <f>IF(MIS_Calc!G139="","",MIS_Calc!G139)</f>
        <v>1173</v>
      </c>
      <c r="K122" s="199">
        <f>IF(MIS_Calc!H139="","",MIS_Calc!H139)</f>
        <v>1030</v>
      </c>
      <c r="L122" s="199">
        <f>IF(MIS_Calc!I139="","",MIS_Calc!I139)</f>
        <v>836</v>
      </c>
      <c r="M122" s="199">
        <f>IF(MIS_Calc!J139="","",MIS_Calc!J139)</f>
        <v>933</v>
      </c>
      <c r="N122" s="199" t="str">
        <f>IF(MIS_Calc!K139="","",MIS_Calc!K139)</f>
        <v/>
      </c>
      <c r="O122" s="199" t="str">
        <f>IF(MIS_Calc!L139="","",MIS_Calc!L139)</f>
        <v/>
      </c>
      <c r="P122" s="199" t="str">
        <f>IF(MIS_Calc!M139="","",MIS_Calc!M139)</f>
        <v/>
      </c>
      <c r="Q122" s="199" t="str">
        <f>IF(MIS_Calc!N139="","",MIS_Calc!N139)</f>
        <v/>
      </c>
      <c r="R122" s="299">
        <f>MIS_Calc!W139</f>
        <v>870.625</v>
      </c>
      <c r="S122" s="229"/>
      <c r="T122" s="299">
        <f>IF(MIS_Calc!O139="","–",MIS_Calc!O139)</f>
        <v>667.50833333333196</v>
      </c>
      <c r="U122" s="229"/>
      <c r="V122" s="308">
        <f>IFERROR(IF(OR(MIS_Calc!W139="",MIS_Calc!O139="",MIS_Calc!O139=0),"–",MIS_Calc!W139/MIS_Calc!O139-1),"–")</f>
        <v>0.30429083282356295</v>
      </c>
      <c r="W122" s="229"/>
      <c r="X122" s="312">
        <f>IFERROR(MIS_Calc!W139/SUM(MIS_Calc!$W$136:$W$160),"–")</f>
        <v>5.5238400689286418E-3</v>
      </c>
      <c r="Y122" s="229"/>
      <c r="Z122" s="194"/>
    </row>
    <row r="123" spans="1:26" ht="15.95" customHeight="1" x14ac:dyDescent="0.2">
      <c r="A123" s="196"/>
      <c r="B123" s="305" t="str">
        <f>MIS_Calc!A140</f>
        <v>SR-1</v>
      </c>
      <c r="C123" s="229"/>
      <c r="D123" s="229"/>
      <c r="E123" s="229"/>
      <c r="F123" s="199">
        <f>IF(MIS_Calc!C140="","",MIS_Calc!C140)</f>
        <v>2273</v>
      </c>
      <c r="G123" s="199">
        <f>IF(MIS_Calc!D140="","",MIS_Calc!D140)</f>
        <v>3173</v>
      </c>
      <c r="H123" s="199">
        <f>IF(MIS_Calc!E140="","",MIS_Calc!E140)</f>
        <v>4616</v>
      </c>
      <c r="I123" s="199">
        <f>IF(MIS_Calc!F140="","",MIS_Calc!F140)</f>
        <v>6151</v>
      </c>
      <c r="J123" s="199">
        <f>IF(MIS_Calc!G140="","",MIS_Calc!G140)</f>
        <v>5274</v>
      </c>
      <c r="K123" s="199">
        <f>IF(MIS_Calc!H140="","",MIS_Calc!H140)</f>
        <v>2391</v>
      </c>
      <c r="L123" s="199">
        <f>IF(MIS_Calc!I140="","",MIS_Calc!I140)</f>
        <v>4289</v>
      </c>
      <c r="M123" s="199">
        <f>IF(MIS_Calc!J140="","",MIS_Calc!J140)</f>
        <v>4790</v>
      </c>
      <c r="N123" s="199" t="str">
        <f>IF(MIS_Calc!K140="","",MIS_Calc!K140)</f>
        <v/>
      </c>
      <c r="O123" s="199" t="str">
        <f>IF(MIS_Calc!L140="","",MIS_Calc!L140)</f>
        <v/>
      </c>
      <c r="P123" s="199" t="str">
        <f>IF(MIS_Calc!M140="","",MIS_Calc!M140)</f>
        <v/>
      </c>
      <c r="Q123" s="199" t="str">
        <f>IF(MIS_Calc!N140="","",MIS_Calc!N140)</f>
        <v/>
      </c>
      <c r="R123" s="299">
        <f>MIS_Calc!W140</f>
        <v>4119.625</v>
      </c>
      <c r="S123" s="229"/>
      <c r="T123" s="299">
        <f>IF(MIS_Calc!O140="","–",MIS_Calc!O140)</f>
        <v>2632</v>
      </c>
      <c r="U123" s="229"/>
      <c r="V123" s="308">
        <f>IFERROR(IF(OR(MIS_Calc!W140="",MIS_Calc!O140="",MIS_Calc!O140=0),"–",MIS_Calc!W140/MIS_Calc!O140-1),"–")</f>
        <v>0.565207066869301</v>
      </c>
      <c r="W123" s="229"/>
      <c r="X123" s="312">
        <f>IFERROR(MIS_Calc!W140/SUM(MIS_Calc!$W$136:$W$160),"–")</f>
        <v>2.6137716748267228E-2</v>
      </c>
      <c r="Y123" s="229"/>
      <c r="Z123" s="194"/>
    </row>
    <row r="124" spans="1:26" ht="15.95" customHeight="1" x14ac:dyDescent="0.2">
      <c r="A124" s="196"/>
      <c r="B124" s="305" t="str">
        <f>MIS_Calc!A141</f>
        <v>SR-2</v>
      </c>
      <c r="C124" s="229"/>
      <c r="D124" s="229"/>
      <c r="E124" s="229"/>
      <c r="F124" s="199">
        <f>IF(MIS_Calc!C141="","",MIS_Calc!C141)</f>
        <v>2426</v>
      </c>
      <c r="G124" s="199">
        <f>IF(MIS_Calc!D141="","",MIS_Calc!D141)</f>
        <v>2719</v>
      </c>
      <c r="H124" s="199">
        <f>IF(MIS_Calc!E141="","",MIS_Calc!E141)</f>
        <v>4525</v>
      </c>
      <c r="I124" s="199">
        <f>IF(MIS_Calc!F141="","",MIS_Calc!F141)</f>
        <v>6080</v>
      </c>
      <c r="J124" s="199">
        <f>IF(MIS_Calc!G141="","",MIS_Calc!G141)</f>
        <v>7229</v>
      </c>
      <c r="K124" s="199">
        <f>IF(MIS_Calc!H141="","",MIS_Calc!H141)</f>
        <v>2576</v>
      </c>
      <c r="L124" s="199">
        <f>IF(MIS_Calc!I141="","",MIS_Calc!I141)</f>
        <v>3615</v>
      </c>
      <c r="M124" s="199">
        <f>IF(MIS_Calc!J141="","",MIS_Calc!J141)</f>
        <v>4692</v>
      </c>
      <c r="N124" s="199" t="str">
        <f>IF(MIS_Calc!K141="","",MIS_Calc!K141)</f>
        <v/>
      </c>
      <c r="O124" s="199" t="str">
        <f>IF(MIS_Calc!L141="","",MIS_Calc!L141)</f>
        <v/>
      </c>
      <c r="P124" s="199" t="str">
        <f>IF(MIS_Calc!M141="","",MIS_Calc!M141)</f>
        <v/>
      </c>
      <c r="Q124" s="199" t="str">
        <f>IF(MIS_Calc!N141="","",MIS_Calc!N141)</f>
        <v/>
      </c>
      <c r="R124" s="299">
        <f>MIS_Calc!W141</f>
        <v>4232.75</v>
      </c>
      <c r="S124" s="229"/>
      <c r="T124" s="299">
        <f>IF(MIS_Calc!O141="","–",MIS_Calc!O141)</f>
        <v>3026.4166666666702</v>
      </c>
      <c r="U124" s="229"/>
      <c r="V124" s="308">
        <f>IFERROR(IF(OR(MIS_Calc!W141="",MIS_Calc!O141="",MIS_Calc!O141=0),"–",MIS_Calc!W141/MIS_Calc!O141-1),"–")</f>
        <v>0.39860120604675342</v>
      </c>
      <c r="W124" s="229"/>
      <c r="X124" s="312">
        <f>IFERROR(MIS_Calc!W141/SUM(MIS_Calc!$W$136:$W$160),"–")</f>
        <v>2.6855459068781288E-2</v>
      </c>
      <c r="Y124" s="229"/>
      <c r="Z124" s="194"/>
    </row>
    <row r="125" spans="1:26" ht="15.95" customHeight="1" x14ac:dyDescent="0.2">
      <c r="A125" s="196"/>
      <c r="B125" s="305" t="str">
        <f>MIS_Calc!A142</f>
        <v>SR-3</v>
      </c>
      <c r="C125" s="229"/>
      <c r="D125" s="229"/>
      <c r="E125" s="229"/>
      <c r="F125" s="199">
        <f>IF(MIS_Calc!C142="","",MIS_Calc!C142)</f>
        <v>1858</v>
      </c>
      <c r="G125" s="199">
        <f>IF(MIS_Calc!D142="","",MIS_Calc!D142)</f>
        <v>3608</v>
      </c>
      <c r="H125" s="199">
        <f>IF(MIS_Calc!E142="","",MIS_Calc!E142)</f>
        <v>3486</v>
      </c>
      <c r="I125" s="199">
        <f>IF(MIS_Calc!F142="","",MIS_Calc!F142)</f>
        <v>4748</v>
      </c>
      <c r="J125" s="199">
        <f>IF(MIS_Calc!G142="","",MIS_Calc!G142)</f>
        <v>4922</v>
      </c>
      <c r="K125" s="199">
        <f>IF(MIS_Calc!H142="","",MIS_Calc!H142)</f>
        <v>2227</v>
      </c>
      <c r="L125" s="199">
        <f>IF(MIS_Calc!I142="","",MIS_Calc!I142)</f>
        <v>4090</v>
      </c>
      <c r="M125" s="199">
        <f>IF(MIS_Calc!J142="","",MIS_Calc!J142)</f>
        <v>5092</v>
      </c>
      <c r="N125" s="199" t="str">
        <f>IF(MIS_Calc!K142="","",MIS_Calc!K142)</f>
        <v/>
      </c>
      <c r="O125" s="199" t="str">
        <f>IF(MIS_Calc!L142="","",MIS_Calc!L142)</f>
        <v/>
      </c>
      <c r="P125" s="199" t="str">
        <f>IF(MIS_Calc!M142="","",MIS_Calc!M142)</f>
        <v/>
      </c>
      <c r="Q125" s="199" t="str">
        <f>IF(MIS_Calc!N142="","",MIS_Calc!N142)</f>
        <v/>
      </c>
      <c r="R125" s="299">
        <f>MIS_Calc!W142</f>
        <v>3753.875</v>
      </c>
      <c r="S125" s="229"/>
      <c r="T125" s="299">
        <f>IF(MIS_Calc!O142="","–",MIS_Calc!O142)</f>
        <v>3216.8333333333198</v>
      </c>
      <c r="U125" s="229"/>
      <c r="V125" s="308">
        <f>IFERROR(IF(OR(MIS_Calc!W142="",MIS_Calc!O142="",MIS_Calc!O142=0),"–",MIS_Calc!W142/MIS_Calc!O142-1),"–")</f>
        <v>0.16694730842962002</v>
      </c>
      <c r="W125" s="229"/>
      <c r="X125" s="312">
        <f>IFERROR(MIS_Calc!W142/SUM(MIS_Calc!$W$136:$W$160),"–")</f>
        <v>2.3817148759511277E-2</v>
      </c>
      <c r="Y125" s="229"/>
      <c r="Z125" s="194"/>
    </row>
    <row r="126" spans="1:26" ht="15.95" customHeight="1" x14ac:dyDescent="0.2">
      <c r="A126" s="196"/>
      <c r="B126" s="305" t="str">
        <f>MIS_Calc!A143</f>
        <v>SR-4</v>
      </c>
      <c r="C126" s="229"/>
      <c r="D126" s="229"/>
      <c r="E126" s="229"/>
      <c r="F126" s="199">
        <f>IF(MIS_Calc!C143="","",MIS_Calc!C143)</f>
        <v>3035</v>
      </c>
      <c r="G126" s="199">
        <f>IF(MIS_Calc!D143="","",MIS_Calc!D143)</f>
        <v>5027</v>
      </c>
      <c r="H126" s="199">
        <f>IF(MIS_Calc!E143="","",MIS_Calc!E143)</f>
        <v>7021</v>
      </c>
      <c r="I126" s="199">
        <f>IF(MIS_Calc!F143="","",MIS_Calc!F143)</f>
        <v>9892</v>
      </c>
      <c r="J126" s="199">
        <f>IF(MIS_Calc!G143="","",MIS_Calc!G143)</f>
        <v>10722</v>
      </c>
      <c r="K126" s="199">
        <f>IF(MIS_Calc!H143="","",MIS_Calc!H143)</f>
        <v>2915</v>
      </c>
      <c r="L126" s="199">
        <f>IF(MIS_Calc!I143="","",MIS_Calc!I143)</f>
        <v>6848</v>
      </c>
      <c r="M126" s="199">
        <f>IF(MIS_Calc!J143="","",MIS_Calc!J143)</f>
        <v>6408</v>
      </c>
      <c r="N126" s="199" t="str">
        <f>IF(MIS_Calc!K143="","",MIS_Calc!K143)</f>
        <v/>
      </c>
      <c r="O126" s="199" t="str">
        <f>IF(MIS_Calc!L143="","",MIS_Calc!L143)</f>
        <v/>
      </c>
      <c r="P126" s="199" t="str">
        <f>IF(MIS_Calc!M143="","",MIS_Calc!M143)</f>
        <v/>
      </c>
      <c r="Q126" s="199" t="str">
        <f>IF(MIS_Calc!N143="","",MIS_Calc!N143)</f>
        <v/>
      </c>
      <c r="R126" s="299">
        <f>MIS_Calc!W143</f>
        <v>6483.5</v>
      </c>
      <c r="S126" s="229"/>
      <c r="T126" s="299">
        <f>IF(MIS_Calc!O143="","–",MIS_Calc!O143)</f>
        <v>3604.75</v>
      </c>
      <c r="U126" s="229"/>
      <c r="V126" s="308">
        <f>IFERROR(IF(OR(MIS_Calc!W143="",MIS_Calc!O143="",MIS_Calc!O143=0),"–",MIS_Calc!W143/MIS_Calc!O143-1),"–")</f>
        <v>0.79859907067064295</v>
      </c>
      <c r="W126" s="229"/>
      <c r="X126" s="312">
        <f>IFERROR(MIS_Calc!W143/SUM(MIS_Calc!$W$136:$W$160),"–")</f>
        <v>4.1135755447981447E-2</v>
      </c>
      <c r="Y126" s="229"/>
      <c r="Z126" s="194"/>
    </row>
    <row r="127" spans="1:26" ht="15.95" customHeight="1" x14ac:dyDescent="0.2">
      <c r="A127" s="196"/>
      <c r="B127" s="305" t="str">
        <f>MIS_Calc!A144</f>
        <v>SR-9-10A</v>
      </c>
      <c r="C127" s="229"/>
      <c r="D127" s="229"/>
      <c r="E127" s="229"/>
      <c r="F127" s="199">
        <f>IF(MIS_Calc!C144="","",MIS_Calc!C144)</f>
        <v>2936</v>
      </c>
      <c r="G127" s="199">
        <f>IF(MIS_Calc!D144="","",MIS_Calc!D144)</f>
        <v>4122</v>
      </c>
      <c r="H127" s="199">
        <f>IF(MIS_Calc!E144="","",MIS_Calc!E144)</f>
        <v>8610</v>
      </c>
      <c r="I127" s="199">
        <f>IF(MIS_Calc!F144="","",MIS_Calc!F144)</f>
        <v>13623</v>
      </c>
      <c r="J127" s="199">
        <f>IF(MIS_Calc!G144="","",MIS_Calc!G144)</f>
        <v>4475</v>
      </c>
      <c r="K127" s="199">
        <f>IF(MIS_Calc!H144="","",MIS_Calc!H144)</f>
        <v>2951</v>
      </c>
      <c r="L127" s="199">
        <f>IF(MIS_Calc!I144="","",MIS_Calc!I144)</f>
        <v>3693</v>
      </c>
      <c r="M127" s="199">
        <f>IF(MIS_Calc!J144="","",MIS_Calc!J144)</f>
        <v>3576</v>
      </c>
      <c r="N127" s="199" t="str">
        <f>IF(MIS_Calc!K144="","",MIS_Calc!K144)</f>
        <v/>
      </c>
      <c r="O127" s="199" t="str">
        <f>IF(MIS_Calc!L144="","",MIS_Calc!L144)</f>
        <v/>
      </c>
      <c r="P127" s="199" t="str">
        <f>IF(MIS_Calc!M144="","",MIS_Calc!M144)</f>
        <v/>
      </c>
      <c r="Q127" s="199" t="str">
        <f>IF(MIS_Calc!N144="","",MIS_Calc!N144)</f>
        <v/>
      </c>
      <c r="R127" s="299">
        <f>MIS_Calc!W144</f>
        <v>5498.25</v>
      </c>
      <c r="S127" s="229"/>
      <c r="T127" s="299">
        <f>IF(MIS_Calc!O144="","–",MIS_Calc!O144)</f>
        <v>5664.7666666666701</v>
      </c>
      <c r="U127" s="229"/>
      <c r="V127" s="308">
        <f>IFERROR(IF(OR(MIS_Calc!W144="",MIS_Calc!O144="",MIS_Calc!O144=0),"–",MIS_Calc!W144/MIS_Calc!O144-1),"–")</f>
        <v>-2.9395150138576409E-2</v>
      </c>
      <c r="W127" s="229"/>
      <c r="X127" s="312">
        <f>IFERROR(MIS_Calc!W144/SUM(MIS_Calc!$W$136:$W$160),"–")</f>
        <v>3.488465603329436E-2</v>
      </c>
      <c r="Y127" s="229"/>
      <c r="Z127" s="194"/>
    </row>
    <row r="128" spans="1:26" ht="15.95" customHeight="1" x14ac:dyDescent="0.2">
      <c r="A128" s="196"/>
      <c r="B128" s="305" t="str">
        <f>MIS_Calc!A145</f>
        <v>SR-9-10B</v>
      </c>
      <c r="C128" s="229"/>
      <c r="D128" s="229"/>
      <c r="E128" s="229"/>
      <c r="F128" s="199">
        <f>IF(MIS_Calc!C145="","",MIS_Calc!C145)</f>
        <v>4053</v>
      </c>
      <c r="G128" s="199">
        <f>IF(MIS_Calc!D145="","",MIS_Calc!D145)</f>
        <v>6416</v>
      </c>
      <c r="H128" s="199">
        <f>IF(MIS_Calc!E145="","",MIS_Calc!E145)</f>
        <v>9833</v>
      </c>
      <c r="I128" s="199">
        <f>IF(MIS_Calc!F145="","",MIS_Calc!F145)</f>
        <v>14587</v>
      </c>
      <c r="J128" s="199">
        <f>IF(MIS_Calc!G145="","",MIS_Calc!G145)</f>
        <v>12517</v>
      </c>
      <c r="K128" s="199">
        <f>IF(MIS_Calc!H145="","",MIS_Calc!H145)</f>
        <v>1965</v>
      </c>
      <c r="L128" s="199">
        <f>IF(MIS_Calc!I145="","",MIS_Calc!I145)</f>
        <v>5778</v>
      </c>
      <c r="M128" s="199">
        <f>IF(MIS_Calc!J145="","",MIS_Calc!J145)</f>
        <v>12306</v>
      </c>
      <c r="N128" s="199" t="str">
        <f>IF(MIS_Calc!K145="","",MIS_Calc!K145)</f>
        <v/>
      </c>
      <c r="O128" s="199" t="str">
        <f>IF(MIS_Calc!L145="","",MIS_Calc!L145)</f>
        <v/>
      </c>
      <c r="P128" s="199" t="str">
        <f>IF(MIS_Calc!M145="","",MIS_Calc!M145)</f>
        <v/>
      </c>
      <c r="Q128" s="199" t="str">
        <f>IF(MIS_Calc!N145="","",MIS_Calc!N145)</f>
        <v/>
      </c>
      <c r="R128" s="299">
        <f>MIS_Calc!W145</f>
        <v>8431.875</v>
      </c>
      <c r="S128" s="229"/>
      <c r="T128" s="299">
        <f>IF(MIS_Calc!O145="","–",MIS_Calc!O145)</f>
        <v>5468.95</v>
      </c>
      <c r="U128" s="229"/>
      <c r="V128" s="308">
        <f>IFERROR(IF(OR(MIS_Calc!W145="",MIS_Calc!O145="",MIS_Calc!O145=0),"–",MIS_Calc!W145/MIS_Calc!O145-1),"–")</f>
        <v>0.54177218661717519</v>
      </c>
      <c r="W128" s="229"/>
      <c r="X128" s="312">
        <f>IFERROR(MIS_Calc!W145/SUM(MIS_Calc!$W$136:$W$160),"–")</f>
        <v>5.349757815500094E-2</v>
      </c>
      <c r="Y128" s="229"/>
      <c r="Z128" s="194"/>
    </row>
    <row r="129" spans="1:26" ht="15.95" customHeight="1" x14ac:dyDescent="0.2">
      <c r="A129" s="196"/>
      <c r="B129" s="305" t="str">
        <f>MIS_Calc!A146</f>
        <v>SR-11-12CA</v>
      </c>
      <c r="C129" s="229"/>
      <c r="D129" s="229"/>
      <c r="E129" s="229"/>
      <c r="F129" s="199">
        <f>IF(MIS_Calc!C146="","",MIS_Calc!C146)</f>
        <v>3981</v>
      </c>
      <c r="G129" s="199">
        <f>IF(MIS_Calc!D146="","",MIS_Calc!D146)</f>
        <v>5304</v>
      </c>
      <c r="H129" s="199">
        <f>IF(MIS_Calc!E146="","",MIS_Calc!E146)</f>
        <v>7352</v>
      </c>
      <c r="I129" s="199">
        <f>IF(MIS_Calc!F146="","",MIS_Calc!F146)</f>
        <v>9602</v>
      </c>
      <c r="J129" s="199">
        <f>IF(MIS_Calc!G146="","",MIS_Calc!G146)</f>
        <v>9997</v>
      </c>
      <c r="K129" s="199">
        <f>IF(MIS_Calc!H146="","",MIS_Calc!H146)</f>
        <v>4369</v>
      </c>
      <c r="L129" s="199">
        <f>IF(MIS_Calc!I146="","",MIS_Calc!I146)</f>
        <v>4443</v>
      </c>
      <c r="M129" s="199">
        <f>IF(MIS_Calc!J146="","",MIS_Calc!J146)</f>
        <v>5498</v>
      </c>
      <c r="N129" s="199" t="str">
        <f>IF(MIS_Calc!K146="","",MIS_Calc!K146)</f>
        <v/>
      </c>
      <c r="O129" s="199" t="str">
        <f>IF(MIS_Calc!L146="","",MIS_Calc!L146)</f>
        <v/>
      </c>
      <c r="P129" s="199" t="str">
        <f>IF(MIS_Calc!M146="","",MIS_Calc!M146)</f>
        <v/>
      </c>
      <c r="Q129" s="199" t="str">
        <f>IF(MIS_Calc!N146="","",MIS_Calc!N146)</f>
        <v/>
      </c>
      <c r="R129" s="299">
        <f>MIS_Calc!W146</f>
        <v>6318.25</v>
      </c>
      <c r="S129" s="229"/>
      <c r="T129" s="299">
        <f>IF(MIS_Calc!O146="","–",MIS_Calc!O146)</f>
        <v>4599.3999999999896</v>
      </c>
      <c r="U129" s="229"/>
      <c r="V129" s="308">
        <f>IFERROR(IF(OR(MIS_Calc!W146="",MIS_Calc!O146="",MIS_Calc!O146=0),"–",MIS_Calc!W146/MIS_Calc!O146-1),"–")</f>
        <v>0.37371178849415454</v>
      </c>
      <c r="W129" s="229"/>
      <c r="X129" s="312">
        <f>IFERROR(MIS_Calc!W146/SUM(MIS_Calc!$W$136:$W$160),"–")</f>
        <v>4.0087296500225002E-2</v>
      </c>
      <c r="Y129" s="229"/>
      <c r="Z129" s="194"/>
    </row>
    <row r="130" spans="1:26" ht="15.95" customHeight="1" x14ac:dyDescent="0.2">
      <c r="A130" s="196"/>
      <c r="B130" s="305" t="str">
        <f>MIS_Calc!A147</f>
        <v>SR-11-12CB</v>
      </c>
      <c r="C130" s="229"/>
      <c r="D130" s="229"/>
      <c r="E130" s="229"/>
      <c r="F130" s="199">
        <f>IF(MIS_Calc!C147="","",MIS_Calc!C147)</f>
        <v>4068</v>
      </c>
      <c r="G130" s="199">
        <f>IF(MIS_Calc!D147="","",MIS_Calc!D147)</f>
        <v>7064</v>
      </c>
      <c r="H130" s="199">
        <f>IF(MIS_Calc!E147="","",MIS_Calc!E147)</f>
        <v>10129</v>
      </c>
      <c r="I130" s="199">
        <f>IF(MIS_Calc!F147="","",MIS_Calc!F147)</f>
        <v>13778</v>
      </c>
      <c r="J130" s="199">
        <f>IF(MIS_Calc!G147="","",MIS_Calc!G147)</f>
        <v>14594</v>
      </c>
      <c r="K130" s="199">
        <f>IF(MIS_Calc!H147="","",MIS_Calc!H147)</f>
        <v>3887</v>
      </c>
      <c r="L130" s="199">
        <f>IF(MIS_Calc!I147="","",MIS_Calc!I147)</f>
        <v>6393</v>
      </c>
      <c r="M130" s="199">
        <f>IF(MIS_Calc!J147="","",MIS_Calc!J147)</f>
        <v>8718</v>
      </c>
      <c r="N130" s="199" t="str">
        <f>IF(MIS_Calc!K147="","",MIS_Calc!K147)</f>
        <v/>
      </c>
      <c r="O130" s="199" t="str">
        <f>IF(MIS_Calc!L147="","",MIS_Calc!L147)</f>
        <v/>
      </c>
      <c r="P130" s="199" t="str">
        <f>IF(MIS_Calc!M147="","",MIS_Calc!M147)</f>
        <v/>
      </c>
      <c r="Q130" s="199" t="str">
        <f>IF(MIS_Calc!N147="","",MIS_Calc!N147)</f>
        <v/>
      </c>
      <c r="R130" s="299">
        <f>MIS_Calc!W147</f>
        <v>8578.875</v>
      </c>
      <c r="S130" s="229"/>
      <c r="T130" s="299">
        <f>IF(MIS_Calc!O147="","–",MIS_Calc!O147)</f>
        <v>5202.8500000000004</v>
      </c>
      <c r="U130" s="229"/>
      <c r="V130" s="308">
        <f>IFERROR(IF(OR(MIS_Calc!W147="",MIS_Calc!O147="",MIS_Calc!O147=0),"–",MIS_Calc!W147/MIS_Calc!O147-1),"–")</f>
        <v>0.64887994080167588</v>
      </c>
      <c r="W130" s="229"/>
      <c r="X130" s="312">
        <f>IFERROR(MIS_Calc!W147/SUM(MIS_Calc!$W$136:$W$160),"–")</f>
        <v>5.4430246628950699E-2</v>
      </c>
      <c r="Y130" s="229"/>
      <c r="Z130" s="194"/>
    </row>
    <row r="131" spans="1:26" ht="15.95" customHeight="1" x14ac:dyDescent="0.2">
      <c r="A131" s="196"/>
      <c r="B131" s="305" t="str">
        <f>MIS_Calc!A148</f>
        <v>Junior School-1,2&amp;3</v>
      </c>
      <c r="C131" s="229"/>
      <c r="D131" s="229"/>
      <c r="E131" s="229"/>
      <c r="F131" s="199">
        <f>IF(MIS_Calc!C148="","",MIS_Calc!C148)</f>
        <v>3679</v>
      </c>
      <c r="G131" s="199">
        <f>IF(MIS_Calc!D148="","",MIS_Calc!D148)</f>
        <v>5521</v>
      </c>
      <c r="H131" s="199">
        <f>IF(MIS_Calc!E148="","",MIS_Calc!E148)</f>
        <v>10138</v>
      </c>
      <c r="I131" s="199">
        <f>IF(MIS_Calc!F148="","",MIS_Calc!F148)</f>
        <v>16196</v>
      </c>
      <c r="J131" s="199">
        <f>IF(MIS_Calc!G148="","",MIS_Calc!G148)</f>
        <v>21333</v>
      </c>
      <c r="K131" s="199">
        <f>IF(MIS_Calc!H148="","",MIS_Calc!H148)</f>
        <v>4292</v>
      </c>
      <c r="L131" s="199">
        <f>IF(MIS_Calc!I148="","",MIS_Calc!I148)</f>
        <v>7078</v>
      </c>
      <c r="M131" s="199">
        <f>IF(MIS_Calc!J148="","",MIS_Calc!J148)</f>
        <v>10905</v>
      </c>
      <c r="N131" s="199" t="str">
        <f>IF(MIS_Calc!K148="","",MIS_Calc!K148)</f>
        <v/>
      </c>
      <c r="O131" s="199" t="str">
        <f>IF(MIS_Calc!L148="","",MIS_Calc!L148)</f>
        <v/>
      </c>
      <c r="P131" s="199" t="str">
        <f>IF(MIS_Calc!M148="","",MIS_Calc!M148)</f>
        <v/>
      </c>
      <c r="Q131" s="199" t="str">
        <f>IF(MIS_Calc!N148="","",MIS_Calc!N148)</f>
        <v/>
      </c>
      <c r="R131" s="299">
        <f>MIS_Calc!W148</f>
        <v>9892.75</v>
      </c>
      <c r="S131" s="229"/>
      <c r="T131" s="299">
        <f>IF(MIS_Calc!O148="","–",MIS_Calc!O148)</f>
        <v>8438.25</v>
      </c>
      <c r="U131" s="229"/>
      <c r="V131" s="308">
        <f>IFERROR(IF(OR(MIS_Calc!W148="",MIS_Calc!O148="",MIS_Calc!O148=0),"–",MIS_Calc!W148/MIS_Calc!O148-1),"–")</f>
        <v>0.17236986341954785</v>
      </c>
      <c r="W131" s="229"/>
      <c r="X131" s="312">
        <f>IFERROR(MIS_Calc!W148/SUM(MIS_Calc!$W$136:$W$160),"–")</f>
        <v>6.2766367657595204E-2</v>
      </c>
      <c r="Y131" s="229"/>
      <c r="Z131" s="194"/>
    </row>
    <row r="132" spans="1:26" ht="15.95" customHeight="1" x14ac:dyDescent="0.2">
      <c r="A132" s="196"/>
      <c r="B132" s="305" t="str">
        <f>MIS_Calc!A149</f>
        <v>Senior School-1&amp;3</v>
      </c>
      <c r="C132" s="229"/>
      <c r="D132" s="229"/>
      <c r="E132" s="229"/>
      <c r="F132" s="199">
        <f>IF(MIS_Calc!C149="","",MIS_Calc!C149)</f>
        <v>7015</v>
      </c>
      <c r="G132" s="199">
        <f>IF(MIS_Calc!D149="","",MIS_Calc!D149)</f>
        <v>5863</v>
      </c>
      <c r="H132" s="199">
        <f>IF(MIS_Calc!E149="","",MIS_Calc!E149)</f>
        <v>10663</v>
      </c>
      <c r="I132" s="199">
        <f>IF(MIS_Calc!F149="","",MIS_Calc!F149)</f>
        <v>18355</v>
      </c>
      <c r="J132" s="199">
        <f>IF(MIS_Calc!G149="","",MIS_Calc!G149)</f>
        <v>19464</v>
      </c>
      <c r="K132" s="199">
        <f>IF(MIS_Calc!H149="","",MIS_Calc!H149)</f>
        <v>9012</v>
      </c>
      <c r="L132" s="199">
        <f>IF(MIS_Calc!I149="","",MIS_Calc!I149)</f>
        <v>7647</v>
      </c>
      <c r="M132" s="199">
        <f>IF(MIS_Calc!J149="","",MIS_Calc!J149)</f>
        <v>8760</v>
      </c>
      <c r="N132" s="199" t="str">
        <f>IF(MIS_Calc!K149="","",MIS_Calc!K149)</f>
        <v/>
      </c>
      <c r="O132" s="199" t="str">
        <f>IF(MIS_Calc!L149="","",MIS_Calc!L149)</f>
        <v/>
      </c>
      <c r="P132" s="199" t="str">
        <f>IF(MIS_Calc!M149="","",MIS_Calc!M149)</f>
        <v/>
      </c>
      <c r="Q132" s="199" t="str">
        <f>IF(MIS_Calc!N149="","",MIS_Calc!N149)</f>
        <v/>
      </c>
      <c r="R132" s="299">
        <f>MIS_Calc!W149</f>
        <v>10847.375</v>
      </c>
      <c r="S132" s="229"/>
      <c r="T132" s="299">
        <f>IF(MIS_Calc!O149="","–",MIS_Calc!O149)</f>
        <v>9621.1666666666606</v>
      </c>
      <c r="U132" s="229"/>
      <c r="V132" s="308">
        <f>IFERROR(IF(OR(MIS_Calc!W149="",MIS_Calc!O149="",MIS_Calc!O149=0),"–",MIS_Calc!W149/MIS_Calc!O149-1),"–")</f>
        <v>0.12744902731824004</v>
      </c>
      <c r="W132" s="229"/>
      <c r="X132" s="312">
        <f>IFERROR(MIS_Calc!W149/SUM(MIS_Calc!$W$136:$W$160),"–")</f>
        <v>6.8823161140209421E-2</v>
      </c>
      <c r="Y132" s="229"/>
      <c r="Z132" s="194"/>
    </row>
    <row r="133" spans="1:26" ht="15.95" customHeight="1" x14ac:dyDescent="0.2">
      <c r="A133" s="196"/>
      <c r="B133" s="305" t="str">
        <f>MIS_Calc!A150</f>
        <v>Senior School-2</v>
      </c>
      <c r="C133" s="229"/>
      <c r="D133" s="229"/>
      <c r="E133" s="229"/>
      <c r="F133" s="199">
        <f>IF(MIS_Calc!C150="","",MIS_Calc!C150)</f>
        <v>6053</v>
      </c>
      <c r="G133" s="199">
        <f>IF(MIS_Calc!D150="","",MIS_Calc!D150)</f>
        <v>5908</v>
      </c>
      <c r="H133" s="199">
        <f>IF(MIS_Calc!E150="","",MIS_Calc!E150)</f>
        <v>8688</v>
      </c>
      <c r="I133" s="199">
        <f>IF(MIS_Calc!F150="","",MIS_Calc!F150)</f>
        <v>11663</v>
      </c>
      <c r="J133" s="199">
        <f>IF(MIS_Calc!G150="","",MIS_Calc!G150)</f>
        <v>13162</v>
      </c>
      <c r="K133" s="199">
        <f>IF(MIS_Calc!H150="","",MIS_Calc!H150)</f>
        <v>7658</v>
      </c>
      <c r="L133" s="199">
        <f>IF(MIS_Calc!I150="","",MIS_Calc!I150)</f>
        <v>8075</v>
      </c>
      <c r="M133" s="199">
        <f>IF(MIS_Calc!J150="","",MIS_Calc!J150)</f>
        <v>8229</v>
      </c>
      <c r="N133" s="199" t="str">
        <f>IF(MIS_Calc!K150="","",MIS_Calc!K150)</f>
        <v/>
      </c>
      <c r="O133" s="199" t="str">
        <f>IF(MIS_Calc!L150="","",MIS_Calc!L150)</f>
        <v/>
      </c>
      <c r="P133" s="199" t="str">
        <f>IF(MIS_Calc!M150="","",MIS_Calc!M150)</f>
        <v/>
      </c>
      <c r="Q133" s="199" t="str">
        <f>IF(MIS_Calc!N150="","",MIS_Calc!N150)</f>
        <v/>
      </c>
      <c r="R133" s="299">
        <f>MIS_Calc!W150</f>
        <v>8679.5</v>
      </c>
      <c r="S133" s="229"/>
      <c r="T133" s="299">
        <f>IF(MIS_Calc!O150="","–",MIS_Calc!O150)</f>
        <v>7514.75</v>
      </c>
      <c r="U133" s="229"/>
      <c r="V133" s="308">
        <f>IFERROR(IF(OR(MIS_Calc!W150="",MIS_Calc!O150="",MIS_Calc!O150=0),"–",MIS_Calc!W150/MIS_Calc!O150-1),"–")</f>
        <v>0.15499517615356462</v>
      </c>
      <c r="W133" s="229"/>
      <c r="X133" s="312">
        <f>IFERROR(MIS_Calc!W150/SUM(MIS_Calc!$W$136:$W$160),"–")</f>
        <v>5.5068680405761544E-2</v>
      </c>
      <c r="Y133" s="229"/>
      <c r="Z133" s="194"/>
    </row>
    <row r="134" spans="1:26" ht="15.95" customHeight="1" x14ac:dyDescent="0.2">
      <c r="A134" s="196"/>
      <c r="B134" s="305" t="str">
        <f>MIS_Calc!A151</f>
        <v>Academy Building</v>
      </c>
      <c r="C134" s="229"/>
      <c r="D134" s="229"/>
      <c r="E134" s="229"/>
      <c r="F134" s="199">
        <f>IF(MIS_Calc!C151="","",MIS_Calc!C151)</f>
        <v>14400</v>
      </c>
      <c r="G134" s="199">
        <f>IF(MIS_Calc!D151="","",MIS_Calc!D151)</f>
        <v>17500</v>
      </c>
      <c r="H134" s="199">
        <f>IF(MIS_Calc!E151="","",MIS_Calc!E151)</f>
        <v>20100</v>
      </c>
      <c r="I134" s="199">
        <f>IF(MIS_Calc!F151="","",MIS_Calc!F151)</f>
        <v>21900</v>
      </c>
      <c r="J134" s="199">
        <f>IF(MIS_Calc!G151="","",MIS_Calc!G151)</f>
        <v>26200</v>
      </c>
      <c r="K134" s="199">
        <f>IF(MIS_Calc!H151="","",MIS_Calc!H151)</f>
        <v>17200</v>
      </c>
      <c r="L134" s="199">
        <f>IF(MIS_Calc!I151="","",MIS_Calc!I151)</f>
        <v>18700</v>
      </c>
      <c r="M134" s="199">
        <f>IF(MIS_Calc!J151="","",MIS_Calc!J151)</f>
        <v>18300</v>
      </c>
      <c r="N134" s="199" t="str">
        <f>IF(MIS_Calc!K151="","",MIS_Calc!K151)</f>
        <v/>
      </c>
      <c r="O134" s="199" t="str">
        <f>IF(MIS_Calc!L151="","",MIS_Calc!L151)</f>
        <v/>
      </c>
      <c r="P134" s="199" t="str">
        <f>IF(MIS_Calc!M151="","",MIS_Calc!M151)</f>
        <v/>
      </c>
      <c r="Q134" s="199" t="str">
        <f>IF(MIS_Calc!N151="","",MIS_Calc!N151)</f>
        <v/>
      </c>
      <c r="R134" s="299">
        <f>MIS_Calc!W151</f>
        <v>19287.5</v>
      </c>
      <c r="S134" s="229"/>
      <c r="T134" s="299">
        <f>IF(MIS_Calc!O151="","–",MIS_Calc!O151)</f>
        <v>18408.333333333201</v>
      </c>
      <c r="U134" s="229"/>
      <c r="V134" s="308">
        <f>IFERROR(IF(OR(MIS_Calc!W151="",MIS_Calc!O151="",MIS_Calc!O151=0),"–",MIS_Calc!W151/MIS_Calc!O151-1),"–")</f>
        <v>4.7759167043918804E-2</v>
      </c>
      <c r="W134" s="229"/>
      <c r="X134" s="312">
        <f>IFERROR(MIS_Calc!W151/SUM(MIS_Calc!$W$136:$W$160),"–")</f>
        <v>0.12237308293405448</v>
      </c>
      <c r="Y134" s="229"/>
      <c r="Z134" s="194"/>
    </row>
    <row r="135" spans="1:26" ht="15.95" customHeight="1" x14ac:dyDescent="0.2">
      <c r="A135" s="196"/>
      <c r="B135" s="305" t="str">
        <f>MIS_Calc!A152</f>
        <v>Pump House</v>
      </c>
      <c r="C135" s="229"/>
      <c r="D135" s="229"/>
      <c r="E135" s="229"/>
      <c r="F135" s="199">
        <f>IF(MIS_Calc!C152="","",MIS_Calc!C152)</f>
        <v>10100</v>
      </c>
      <c r="G135" s="199">
        <f>IF(MIS_Calc!D152="","",MIS_Calc!D152)</f>
        <v>9900</v>
      </c>
      <c r="H135" s="199">
        <f>IF(MIS_Calc!E152="","",MIS_Calc!E152)</f>
        <v>11000</v>
      </c>
      <c r="I135" s="199">
        <f>IF(MIS_Calc!F152="","",MIS_Calc!F152)</f>
        <v>10000</v>
      </c>
      <c r="J135" s="199">
        <f>IF(MIS_Calc!G152="","",MIS_Calc!G152)</f>
        <v>9900</v>
      </c>
      <c r="K135" s="199">
        <f>IF(MIS_Calc!H152="","",MIS_Calc!H152)</f>
        <v>9800</v>
      </c>
      <c r="L135" s="199">
        <f>IF(MIS_Calc!I152="","",MIS_Calc!I152)</f>
        <v>9500</v>
      </c>
      <c r="M135" s="199">
        <f>IF(MIS_Calc!J152="","",MIS_Calc!J152)</f>
        <v>11500</v>
      </c>
      <c r="N135" s="199" t="str">
        <f>IF(MIS_Calc!K152="","",MIS_Calc!K152)</f>
        <v/>
      </c>
      <c r="O135" s="199" t="str">
        <f>IF(MIS_Calc!L152="","",MIS_Calc!L152)</f>
        <v/>
      </c>
      <c r="P135" s="199" t="str">
        <f>IF(MIS_Calc!M152="","",MIS_Calc!M152)</f>
        <v/>
      </c>
      <c r="Q135" s="199" t="str">
        <f>IF(MIS_Calc!N152="","",MIS_Calc!N152)</f>
        <v/>
      </c>
      <c r="R135" s="299">
        <f>MIS_Calc!W152</f>
        <v>10212.5</v>
      </c>
      <c r="S135" s="229"/>
      <c r="T135" s="299">
        <f>IF(MIS_Calc!O152="","–",MIS_Calc!O152)</f>
        <v>12186.083333333199</v>
      </c>
      <c r="U135" s="229"/>
      <c r="V135" s="308">
        <f>IFERROR(IF(OR(MIS_Calc!W152="",MIS_Calc!O152="",MIS_Calc!O152=0),"–",MIS_Calc!W152/MIS_Calc!O152-1),"–")</f>
        <v>-0.16195386814192869</v>
      </c>
      <c r="W135" s="229"/>
      <c r="X135" s="312">
        <f>IFERROR(MIS_Calc!W152/SUM(MIS_Calc!$W$136:$W$160),"–")</f>
        <v>6.4795080205523339E-2</v>
      </c>
      <c r="Y135" s="229"/>
      <c r="Z135" s="194"/>
    </row>
    <row r="136" spans="1:26" ht="15.95" customHeight="1" x14ac:dyDescent="0.2">
      <c r="A136" s="196"/>
      <c r="B136" s="305" t="str">
        <f>MIS_Calc!A153</f>
        <v>On call</v>
      </c>
      <c r="C136" s="229"/>
      <c r="D136" s="229"/>
      <c r="E136" s="229"/>
      <c r="F136" s="199">
        <f>IF(MIS_Calc!C153="","",MIS_Calc!C153)</f>
        <v>837</v>
      </c>
      <c r="G136" s="199">
        <f>IF(MIS_Calc!D153="","",MIS_Calc!D153)</f>
        <v>947</v>
      </c>
      <c r="H136" s="199">
        <f>IF(MIS_Calc!E153="","",MIS_Calc!E153)</f>
        <v>1077</v>
      </c>
      <c r="I136" s="199">
        <f>IF(MIS_Calc!F153="","",MIS_Calc!F153)</f>
        <v>877</v>
      </c>
      <c r="J136" s="199">
        <f>IF(MIS_Calc!G153="","",MIS_Calc!G153)</f>
        <v>759.8</v>
      </c>
      <c r="K136" s="199">
        <f>IF(MIS_Calc!H153="","",MIS_Calc!H153)</f>
        <v>609</v>
      </c>
      <c r="L136" s="199">
        <f>IF(MIS_Calc!I153="","",MIS_Calc!I153)</f>
        <v>909.7</v>
      </c>
      <c r="M136" s="199">
        <f>IF(MIS_Calc!J153="","",MIS_Calc!J153)</f>
        <v>10147</v>
      </c>
      <c r="N136" s="199" t="str">
        <f>IF(MIS_Calc!K153="","",MIS_Calc!K153)</f>
        <v/>
      </c>
      <c r="O136" s="199" t="str">
        <f>IF(MIS_Calc!L153="","",MIS_Calc!L153)</f>
        <v/>
      </c>
      <c r="P136" s="199" t="str">
        <f>IF(MIS_Calc!M153="","",MIS_Calc!M153)</f>
        <v/>
      </c>
      <c r="Q136" s="199" t="str">
        <f>IF(MIS_Calc!N153="","",MIS_Calc!N153)</f>
        <v/>
      </c>
      <c r="R136" s="299">
        <f>MIS_Calc!W153</f>
        <v>2020.4375</v>
      </c>
      <c r="S136" s="229"/>
      <c r="T136" s="299">
        <f>IF(MIS_Calc!O153="","–",MIS_Calc!O153)</f>
        <v>782.80833333333305</v>
      </c>
      <c r="U136" s="229"/>
      <c r="V136" s="308">
        <f>IFERROR(IF(OR(MIS_Calc!W153="",MIS_Calc!O153="",MIS_Calc!O153=0),"–",MIS_Calc!W153/MIS_Calc!O153-1),"–")</f>
        <v>1.5810117419121337</v>
      </c>
      <c r="W136" s="229"/>
      <c r="X136" s="312">
        <f>IFERROR(MIS_Calc!W153/SUM(MIS_Calc!$W$136:$W$160),"–")</f>
        <v>1.2819036461468499E-2</v>
      </c>
      <c r="Y136" s="229"/>
      <c r="Z136" s="194"/>
    </row>
    <row r="137" spans="1:26" ht="15.95" customHeight="1" x14ac:dyDescent="0.2">
      <c r="A137" s="196"/>
      <c r="B137" s="305" t="str">
        <f>MIS_Calc!A154</f>
        <v>Athletic Centre</v>
      </c>
      <c r="C137" s="229"/>
      <c r="D137" s="229"/>
      <c r="E137" s="229"/>
      <c r="F137" s="199">
        <f>IF(MIS_Calc!C154="","",MIS_Calc!C154)</f>
        <v>5755</v>
      </c>
      <c r="G137" s="199">
        <f>IF(MIS_Calc!D154="","",MIS_Calc!D154)</f>
        <v>6473</v>
      </c>
      <c r="H137" s="199">
        <f>IF(MIS_Calc!E154="","",MIS_Calc!E154)</f>
        <v>8754</v>
      </c>
      <c r="I137" s="199">
        <f>IF(MIS_Calc!F154="","",MIS_Calc!F154)</f>
        <v>8861</v>
      </c>
      <c r="J137" s="199">
        <f>IF(MIS_Calc!G154="","",MIS_Calc!G154)</f>
        <v>8785</v>
      </c>
      <c r="K137" s="199">
        <f>IF(MIS_Calc!H154="","",MIS_Calc!H154)</f>
        <v>7367</v>
      </c>
      <c r="L137" s="199">
        <f>IF(MIS_Calc!I154="","",MIS_Calc!I154)</f>
        <v>7545</v>
      </c>
      <c r="M137" s="199">
        <f>IF(MIS_Calc!J154="","",MIS_Calc!J154)</f>
        <v>9768</v>
      </c>
      <c r="N137" s="199" t="str">
        <f>IF(MIS_Calc!K154="","",MIS_Calc!K154)</f>
        <v/>
      </c>
      <c r="O137" s="199" t="str">
        <f>IF(MIS_Calc!L154="","",MIS_Calc!L154)</f>
        <v/>
      </c>
      <c r="P137" s="199" t="str">
        <f>IF(MIS_Calc!M154="","",MIS_Calc!M154)</f>
        <v/>
      </c>
      <c r="Q137" s="199" t="str">
        <f>IF(MIS_Calc!N154="","",MIS_Calc!N154)</f>
        <v/>
      </c>
      <c r="R137" s="299">
        <f>MIS_Calc!W154</f>
        <v>7913.5</v>
      </c>
      <c r="S137" s="229"/>
      <c r="T137" s="299">
        <f>IF(MIS_Calc!O154="","–",MIS_Calc!O154)</f>
        <v>5689.2583333333196</v>
      </c>
      <c r="U137" s="229"/>
      <c r="V137" s="308">
        <f>IFERROR(IF(OR(MIS_Calc!W154="",MIS_Calc!O154="",MIS_Calc!O154=0),"–",MIS_Calc!W154/MIS_Calc!O154-1),"–")</f>
        <v>0.39095459132781274</v>
      </c>
      <c r="W137" s="229"/>
      <c r="X137" s="312">
        <f>IFERROR(MIS_Calc!W154/SUM(MIS_Calc!$W$136:$W$160),"–")</f>
        <v>5.0208652847628779E-2</v>
      </c>
      <c r="Y137" s="229"/>
      <c r="Z137" s="194"/>
    </row>
    <row r="138" spans="1:26" ht="15.95" customHeight="1" x14ac:dyDescent="0.2">
      <c r="A138" s="196"/>
      <c r="B138" s="305" t="str">
        <f>MIS_Calc!A155</f>
        <v>PCM</v>
      </c>
      <c r="C138" s="229"/>
      <c r="D138" s="229"/>
      <c r="E138" s="229"/>
      <c r="F138" s="199">
        <f>IF(MIS_Calc!C155="","",MIS_Calc!C155)</f>
        <v>2527</v>
      </c>
      <c r="G138" s="199">
        <f>IF(MIS_Calc!D155="","",MIS_Calc!D155)</f>
        <v>2796</v>
      </c>
      <c r="H138" s="199">
        <f>IF(MIS_Calc!E155="","",MIS_Calc!E155)</f>
        <v>3576</v>
      </c>
      <c r="I138" s="199">
        <f>IF(MIS_Calc!F155="","",MIS_Calc!F155)</f>
        <v>3870</v>
      </c>
      <c r="J138" s="199">
        <f>IF(MIS_Calc!G155="","",MIS_Calc!G155)</f>
        <v>3937</v>
      </c>
      <c r="K138" s="199">
        <f>IF(MIS_Calc!H155="","",MIS_Calc!H155)</f>
        <v>3733</v>
      </c>
      <c r="L138" s="199">
        <f>IF(MIS_Calc!I155="","",MIS_Calc!I155)</f>
        <v>4140</v>
      </c>
      <c r="M138" s="199">
        <f>IF(MIS_Calc!J155="","",MIS_Calc!J155)</f>
        <v>3784</v>
      </c>
      <c r="N138" s="199" t="str">
        <f>IF(MIS_Calc!K155="","",MIS_Calc!K155)</f>
        <v/>
      </c>
      <c r="O138" s="199" t="str">
        <f>IF(MIS_Calc!L155="","",MIS_Calc!L155)</f>
        <v/>
      </c>
      <c r="P138" s="199" t="str">
        <f>IF(MIS_Calc!M155="","",MIS_Calc!M155)</f>
        <v/>
      </c>
      <c r="Q138" s="199" t="str">
        <f>IF(MIS_Calc!N155="","",MIS_Calc!N155)</f>
        <v/>
      </c>
      <c r="R138" s="299">
        <f>MIS_Calc!W155</f>
        <v>3545.375</v>
      </c>
      <c r="S138" s="229"/>
      <c r="T138" s="299">
        <f>IF(MIS_Calc!O155="","–",MIS_Calc!O155)</f>
        <v>3302.5833333333198</v>
      </c>
      <c r="U138" s="229"/>
      <c r="V138" s="308">
        <f>IFERROR(IF(OR(MIS_Calc!W155="",MIS_Calc!O155="",MIS_Calc!O155=0),"–",MIS_Calc!W155/MIS_Calc!O155-1),"–")</f>
        <v>7.3515682168004082E-2</v>
      </c>
      <c r="W138" s="229"/>
      <c r="X138" s="312">
        <f>IFERROR(MIS_Calc!W155/SUM(MIS_Calc!$W$136:$W$160),"–")</f>
        <v>2.2494282250541717E-2</v>
      </c>
      <c r="Y138" s="229"/>
      <c r="Z138" s="194"/>
    </row>
    <row r="139" spans="1:26" ht="15.95" customHeight="1" x14ac:dyDescent="0.2">
      <c r="A139" s="196"/>
      <c r="B139" s="305" t="str">
        <f>MIS_Calc!A156</f>
        <v>Irrigation</v>
      </c>
      <c r="C139" s="229"/>
      <c r="D139" s="229"/>
      <c r="E139" s="229"/>
      <c r="F139" s="199">
        <f>IF(MIS_Calc!C156="","",MIS_Calc!C156)</f>
        <v>1272</v>
      </c>
      <c r="G139" s="199">
        <f>IF(MIS_Calc!D156="","",MIS_Calc!D156)</f>
        <v>1135</v>
      </c>
      <c r="H139" s="199">
        <f>IF(MIS_Calc!E156="","",MIS_Calc!E156)</f>
        <v>0</v>
      </c>
      <c r="I139" s="199">
        <f>IF(MIS_Calc!F156="","",MIS_Calc!F156)</f>
        <v>1224</v>
      </c>
      <c r="J139" s="199">
        <f>IF(MIS_Calc!G156="","",MIS_Calc!G156)</f>
        <v>1365</v>
      </c>
      <c r="K139" s="199">
        <f>IF(MIS_Calc!H156="","",MIS_Calc!H156)</f>
        <v>1214</v>
      </c>
      <c r="L139" s="199">
        <f>IF(MIS_Calc!I156="","",MIS_Calc!I156)</f>
        <v>1265</v>
      </c>
      <c r="M139" s="199">
        <f>IF(MIS_Calc!J156="","",MIS_Calc!J156)</f>
        <v>212</v>
      </c>
      <c r="N139" s="199" t="str">
        <f>IF(MIS_Calc!K156="","",MIS_Calc!K156)</f>
        <v/>
      </c>
      <c r="O139" s="199" t="str">
        <f>IF(MIS_Calc!L156="","",MIS_Calc!L156)</f>
        <v/>
      </c>
      <c r="P139" s="199" t="str">
        <f>IF(MIS_Calc!M156="","",MIS_Calc!M156)</f>
        <v/>
      </c>
      <c r="Q139" s="199" t="str">
        <f>IF(MIS_Calc!N156="","",MIS_Calc!N156)</f>
        <v/>
      </c>
      <c r="R139" s="299">
        <f>MIS_Calc!W156</f>
        <v>960.875</v>
      </c>
      <c r="S139" s="229"/>
      <c r="T139" s="299">
        <f>IF(MIS_Calc!O156="","–",MIS_Calc!O156)</f>
        <v>1538.3333333333301</v>
      </c>
      <c r="U139" s="229"/>
      <c r="V139" s="308">
        <f>IFERROR(IF(OR(MIS_Calc!W156="",MIS_Calc!O156="",MIS_Calc!O156=0),"–",MIS_Calc!W156/MIS_Calc!O156-1),"–")</f>
        <v>-0.37537919826652089</v>
      </c>
      <c r="W139" s="229"/>
      <c r="X139" s="312">
        <f>IFERROR(MIS_Calc!W156/SUM(MIS_Calc!$W$136:$W$160),"–")</f>
        <v>6.0964477544658245E-3</v>
      </c>
      <c r="Y139" s="229"/>
      <c r="Z139" s="194"/>
    </row>
    <row r="140" spans="1:26" ht="15.95" hidden="1" customHeight="1" x14ac:dyDescent="0.2">
      <c r="A140" s="196"/>
      <c r="B140" s="305"/>
      <c r="C140" s="229"/>
      <c r="D140" s="229"/>
      <c r="E140" s="22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299"/>
      <c r="S140" s="229"/>
      <c r="T140" s="299"/>
      <c r="U140" s="229"/>
      <c r="V140" s="308"/>
      <c r="W140" s="229"/>
      <c r="X140" s="312"/>
      <c r="Y140" s="229"/>
      <c r="Z140" s="194"/>
    </row>
    <row r="141" spans="1:26" ht="15.95" customHeight="1" x14ac:dyDescent="0.2">
      <c r="A141" s="196"/>
      <c r="B141" s="305" t="str">
        <f>MIS_Calc!A158</f>
        <v>WTP/STP</v>
      </c>
      <c r="C141" s="229"/>
      <c r="D141" s="229"/>
      <c r="E141" s="229"/>
      <c r="F141" s="199">
        <f>IF(MIS_Calc!C158="","",MIS_Calc!C158)</f>
        <v>7000</v>
      </c>
      <c r="G141" s="199">
        <f>IF(MIS_Calc!D158="","",MIS_Calc!D158)</f>
        <v>7600</v>
      </c>
      <c r="H141" s="199">
        <f>IF(MIS_Calc!E158="","",MIS_Calc!E158)</f>
        <v>7700</v>
      </c>
      <c r="I141" s="199">
        <f>IF(MIS_Calc!F158="","",MIS_Calc!F158)</f>
        <v>7800</v>
      </c>
      <c r="J141" s="199">
        <f>IF(MIS_Calc!G158="","",MIS_Calc!G158)</f>
        <v>7700</v>
      </c>
      <c r="K141" s="199">
        <f>IF(MIS_Calc!H158="","",MIS_Calc!H158)</f>
        <v>3600</v>
      </c>
      <c r="L141" s="199">
        <f>IF(MIS_Calc!I158="","",MIS_Calc!I158)</f>
        <v>4300</v>
      </c>
      <c r="M141" s="199">
        <f>IF(MIS_Calc!J158="","",MIS_Calc!J158)</f>
        <v>4300</v>
      </c>
      <c r="N141" s="199" t="str">
        <f>IF(MIS_Calc!K158="","",MIS_Calc!K158)</f>
        <v/>
      </c>
      <c r="O141" s="199" t="str">
        <f>IF(MIS_Calc!L158="","",MIS_Calc!L158)</f>
        <v/>
      </c>
      <c r="P141" s="199" t="str">
        <f>IF(MIS_Calc!M158="","",MIS_Calc!M158)</f>
        <v/>
      </c>
      <c r="Q141" s="199" t="str">
        <f>IF(MIS_Calc!N158="","",MIS_Calc!N158)</f>
        <v/>
      </c>
      <c r="R141" s="299">
        <f>MIS_Calc!W158</f>
        <v>6250</v>
      </c>
      <c r="S141" s="229"/>
      <c r="T141" s="299">
        <f>IF(MIS_Calc!O158="","–",MIS_Calc!O158)</f>
        <v>7486.5</v>
      </c>
      <c r="U141" s="229"/>
      <c r="V141" s="308">
        <f>IFERROR(IF(OR(MIS_Calc!W158="",MIS_Calc!O158="",MIS_Calc!O158=0),"–",MIS_Calc!W158/MIS_Calc!O158-1),"–")</f>
        <v>-0.16516396179790294</v>
      </c>
      <c r="W141" s="229"/>
      <c r="X141" s="312">
        <f>IFERROR(MIS_Calc!W158/SUM(MIS_Calc!$W$136:$W$160),"–")</f>
        <v>3.9654271851605472E-2</v>
      </c>
      <c r="Y141" s="229"/>
      <c r="Z141" s="194"/>
    </row>
    <row r="142" spans="1:26" ht="15.95" customHeight="1" x14ac:dyDescent="0.2">
      <c r="A142" s="196"/>
      <c r="B142" s="305" t="str">
        <f>MIS_Calc!A159</f>
        <v>Commons</v>
      </c>
      <c r="C142" s="229"/>
      <c r="D142" s="229"/>
      <c r="E142" s="229"/>
      <c r="F142" s="199">
        <f>IF(MIS_Calc!C159="","",MIS_Calc!C159)</f>
        <v>12770</v>
      </c>
      <c r="G142" s="199">
        <f>IF(MIS_Calc!D159="","",MIS_Calc!D159)</f>
        <v>15830</v>
      </c>
      <c r="H142" s="199">
        <f>IF(MIS_Calc!E159="","",MIS_Calc!E159)</f>
        <v>19230</v>
      </c>
      <c r="I142" s="199">
        <f>IF(MIS_Calc!F159="","",MIS_Calc!F159)</f>
        <v>25480</v>
      </c>
      <c r="J142" s="199">
        <f>IF(MIS_Calc!G159="","",MIS_Calc!G159)</f>
        <v>27890</v>
      </c>
      <c r="K142" s="199">
        <f>IF(MIS_Calc!H159="","",MIS_Calc!H159)</f>
        <v>19950</v>
      </c>
      <c r="L142" s="199">
        <f>IF(MIS_Calc!I159="","",MIS_Calc!I159)</f>
        <v>21650</v>
      </c>
      <c r="M142" s="199">
        <f>IF(MIS_Calc!J159="","",MIS_Calc!J159)</f>
        <v>25640</v>
      </c>
      <c r="N142" s="199" t="str">
        <f>IF(MIS_Calc!K159="","",MIS_Calc!K159)</f>
        <v/>
      </c>
      <c r="O142" s="199" t="str">
        <f>IF(MIS_Calc!L159="","",MIS_Calc!L159)</f>
        <v/>
      </c>
      <c r="P142" s="199" t="str">
        <f>IF(MIS_Calc!M159="","",MIS_Calc!M159)</f>
        <v/>
      </c>
      <c r="Q142" s="199" t="str">
        <f>IF(MIS_Calc!N159="","",MIS_Calc!N159)</f>
        <v/>
      </c>
      <c r="R142" s="299">
        <f>MIS_Calc!W159</f>
        <v>21055</v>
      </c>
      <c r="S142" s="229"/>
      <c r="T142" s="299">
        <f>IF(MIS_Calc!O159="","–",MIS_Calc!O159)</f>
        <v>25376.833333333201</v>
      </c>
      <c r="U142" s="229"/>
      <c r="V142" s="308">
        <f>IFERROR(IF(OR(MIS_Calc!W159="",MIS_Calc!O159="",MIS_Calc!O159=0),"–",MIS_Calc!W159/MIS_Calc!O159-1),"–")</f>
        <v>-0.17030625045152303</v>
      </c>
      <c r="W142" s="229"/>
      <c r="X142" s="312">
        <f>IFERROR(MIS_Calc!W159/SUM(MIS_Calc!$W$136:$W$160),"–")</f>
        <v>0.13358731101368851</v>
      </c>
      <c r="Y142" s="229"/>
      <c r="Z142" s="194"/>
    </row>
    <row r="143" spans="1:26" ht="15.95" customHeight="1" x14ac:dyDescent="0.2">
      <c r="A143" s="196"/>
      <c r="B143" s="305" t="str">
        <f>MIS_Calc!A160</f>
        <v>Nursary</v>
      </c>
      <c r="C143" s="229"/>
      <c r="D143" s="229"/>
      <c r="E143" s="229"/>
      <c r="F143" s="199">
        <f>IF(MIS_Calc!C160="","",MIS_Calc!C160)</f>
        <v>780</v>
      </c>
      <c r="G143" s="199">
        <f>IF(MIS_Calc!D160="","",MIS_Calc!D160)</f>
        <v>1440</v>
      </c>
      <c r="H143" s="199">
        <f>IF(MIS_Calc!E160="","",MIS_Calc!E160)</f>
        <v>3957</v>
      </c>
      <c r="I143" s="199">
        <f>IF(MIS_Calc!F160="","",MIS_Calc!F160)</f>
        <v>8560.2999999999993</v>
      </c>
      <c r="J143" s="199">
        <f>IF(MIS_Calc!G160="","",MIS_Calc!G160)</f>
        <v>7497.7</v>
      </c>
      <c r="K143" s="199">
        <f>IF(MIS_Calc!H160="","",MIS_Calc!H160)</f>
        <v>2035.8</v>
      </c>
      <c r="L143" s="199">
        <f>IF(MIS_Calc!I160="","",MIS_Calc!I160)</f>
        <v>2497.9</v>
      </c>
      <c r="M143" s="199">
        <f>IF(MIS_Calc!J160="","",MIS_Calc!J160)</f>
        <v>4852</v>
      </c>
      <c r="N143" s="199" t="str">
        <f>IF(MIS_Calc!K160="","",MIS_Calc!K160)</f>
        <v/>
      </c>
      <c r="O143" s="199" t="str">
        <f>IF(MIS_Calc!L160="","",MIS_Calc!L160)</f>
        <v/>
      </c>
      <c r="P143" s="199" t="str">
        <f>IF(MIS_Calc!M160="","",MIS_Calc!M160)</f>
        <v/>
      </c>
      <c r="Q143" s="199" t="str">
        <f>IF(MIS_Calc!N160="","",MIS_Calc!N160)</f>
        <v/>
      </c>
      <c r="R143" s="299">
        <f>MIS_Calc!W160</f>
        <v>3952.5875000000001</v>
      </c>
      <c r="S143" s="229"/>
      <c r="T143" s="299">
        <f>IF(MIS_Calc!O160="","–",MIS_Calc!O160)</f>
        <v>2515.2083333333198</v>
      </c>
      <c r="U143" s="229"/>
      <c r="V143" s="308">
        <f>IFERROR(IF(OR(MIS_Calc!W160="",MIS_Calc!O160="",MIS_Calc!O160=0),"–",MIS_Calc!W160/MIS_Calc!O160-1),"–")</f>
        <v>0.57147519257848933</v>
      </c>
      <c r="W143" s="229"/>
      <c r="X143" s="312">
        <f>IFERROR(MIS_Calc!W160/SUM(MIS_Calc!$W$136:$W$160),"–")</f>
        <v>2.507791667876122E-2</v>
      </c>
      <c r="Y143" s="229"/>
      <c r="Z143" s="194"/>
    </row>
    <row r="144" spans="1:26" ht="15" customHeight="1" x14ac:dyDescent="0.2">
      <c r="A144" s="196"/>
      <c r="B144" s="194"/>
      <c r="C144" s="194"/>
      <c r="D144" s="194"/>
      <c r="E144" s="194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</row>
    <row r="145" spans="1:26" ht="15" customHeight="1" x14ac:dyDescent="0.2">
      <c r="A145" s="196"/>
      <c r="B145" s="194"/>
      <c r="C145" s="194"/>
      <c r="D145" s="194"/>
      <c r="E145" s="194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</row>
    <row r="146" spans="1:26" ht="24" customHeight="1" x14ac:dyDescent="0.2">
      <c r="A146" s="196"/>
      <c r="B146" s="409" t="s">
        <v>140</v>
      </c>
      <c r="C146" s="410"/>
      <c r="D146" s="410"/>
      <c r="E146" s="410"/>
      <c r="F146" s="410"/>
      <c r="G146" s="410"/>
      <c r="H146" s="410"/>
      <c r="I146" s="410"/>
      <c r="J146" s="410"/>
      <c r="K146" s="410"/>
      <c r="L146" s="410"/>
      <c r="M146" s="410"/>
      <c r="N146" s="410"/>
      <c r="O146" s="410"/>
      <c r="P146" s="410"/>
      <c r="Q146" s="410"/>
      <c r="R146" s="410"/>
      <c r="S146" s="410"/>
      <c r="T146" s="410"/>
      <c r="U146" s="410"/>
      <c r="V146" s="410"/>
      <c r="W146" s="410"/>
      <c r="X146" s="410"/>
      <c r="Y146" s="410"/>
      <c r="Z146" s="194"/>
    </row>
    <row r="147" spans="1:26" ht="26.1" customHeight="1" x14ac:dyDescent="0.2">
      <c r="A147" s="196"/>
      <c r="B147" s="306" t="s">
        <v>141</v>
      </c>
      <c r="C147" s="307"/>
      <c r="D147" s="307"/>
      <c r="E147" s="307"/>
      <c r="F147" s="306" t="s">
        <v>142</v>
      </c>
      <c r="G147" s="307"/>
      <c r="H147" s="307"/>
      <c r="I147" s="307"/>
      <c r="J147" s="307"/>
      <c r="K147" s="306" t="s">
        <v>143</v>
      </c>
      <c r="L147" s="307"/>
      <c r="M147" s="307"/>
      <c r="N147" s="307"/>
      <c r="O147" s="306" t="s">
        <v>144</v>
      </c>
      <c r="P147" s="307"/>
      <c r="Q147" s="306" t="s">
        <v>139</v>
      </c>
      <c r="R147" s="307"/>
      <c r="S147" s="306" t="s">
        <v>145</v>
      </c>
      <c r="T147" s="307"/>
      <c r="U147" s="306" t="s">
        <v>146</v>
      </c>
      <c r="V147" s="307"/>
      <c r="W147" s="306" t="s">
        <v>147</v>
      </c>
      <c r="X147" s="307"/>
      <c r="Y147" s="307"/>
      <c r="Z147" s="194"/>
    </row>
    <row r="148" spans="1:26" ht="17.100000000000001" customHeight="1" x14ac:dyDescent="0.2">
      <c r="A148" s="196"/>
      <c r="B148" s="367" t="s">
        <v>148</v>
      </c>
      <c r="C148" s="368"/>
      <c r="D148" s="368"/>
      <c r="E148" s="368"/>
      <c r="F148" s="303" t="s">
        <v>149</v>
      </c>
      <c r="G148" s="231"/>
      <c r="H148" s="231"/>
      <c r="I148" s="231"/>
      <c r="J148" s="231"/>
      <c r="K148" s="304" t="s">
        <v>150</v>
      </c>
      <c r="L148" s="231"/>
      <c r="M148" s="231"/>
      <c r="N148" s="231"/>
      <c r="O148" s="357">
        <f>IF(MIS_Calc!E279="","–",MIS_Calc!E279)</f>
        <v>108.11078286558346</v>
      </c>
      <c r="P148" s="231"/>
      <c r="Q148" s="345">
        <f>IF(MIS_Calc!F279="","–",MIS_Calc!F279)</f>
        <v>98.064623338257022</v>
      </c>
      <c r="R148" s="231"/>
      <c r="S148" s="345">
        <f>IF(MIS_Calc!G279="","–",MIS_Calc!G279)</f>
        <v>136.58604135893648</v>
      </c>
      <c r="T148" s="231"/>
      <c r="U148" s="346">
        <f>IF(MIS_Calc!H279="","–",MIS_Calc!H279)</f>
        <v>0.10244427791940769</v>
      </c>
      <c r="V148" s="231"/>
      <c r="W148" s="340" t="str">
        <f>MIS_Calc!J279</f>
        <v>▲ Watch</v>
      </c>
      <c r="X148" s="231"/>
      <c r="Y148" s="231"/>
      <c r="Z148" s="194"/>
    </row>
    <row r="149" spans="1:26" ht="17.100000000000001" customHeight="1" x14ac:dyDescent="0.2">
      <c r="A149" s="196"/>
      <c r="B149" s="367"/>
      <c r="C149" s="368"/>
      <c r="D149" s="368"/>
      <c r="E149" s="368"/>
      <c r="F149" s="300" t="s">
        <v>151</v>
      </c>
      <c r="G149" s="301"/>
      <c r="H149" s="301"/>
      <c r="I149" s="301"/>
      <c r="J149" s="301"/>
      <c r="K149" s="316" t="s">
        <v>152</v>
      </c>
      <c r="L149" s="301"/>
      <c r="M149" s="301"/>
      <c r="N149" s="301"/>
      <c r="O149" s="391">
        <f>IF(MIS_Calc!E280="","–",MIS_Calc!E280)</f>
        <v>1351.2341211225996</v>
      </c>
      <c r="P149" s="301"/>
      <c r="Q149" s="388">
        <f>IF(MIS_Calc!F280="","–",MIS_Calc!F280)</f>
        <v>1286.0409029462924</v>
      </c>
      <c r="R149" s="301"/>
      <c r="S149" s="388">
        <f>IF(MIS_Calc!G280="","–",MIS_Calc!G280)</f>
        <v>1705.8823347488849</v>
      </c>
      <c r="T149" s="301"/>
      <c r="U149" s="363">
        <f>IF(MIS_Calc!H280="","–",MIS_Calc!H280)</f>
        <v>5.0692958541949107E-2</v>
      </c>
      <c r="V149" s="301"/>
      <c r="W149" s="356" t="str">
        <f>MIS_Calc!J280</f>
        <v>▲ Watch</v>
      </c>
      <c r="X149" s="301"/>
      <c r="Y149" s="301"/>
      <c r="Z149" s="194"/>
    </row>
    <row r="150" spans="1:26" ht="17.100000000000001" customHeight="1" x14ac:dyDescent="0.2">
      <c r="A150" s="196"/>
      <c r="B150" s="367"/>
      <c r="C150" s="368"/>
      <c r="D150" s="368"/>
      <c r="E150" s="368"/>
      <c r="F150" s="303" t="s">
        <v>153</v>
      </c>
      <c r="G150" s="231"/>
      <c r="H150" s="231"/>
      <c r="I150" s="231"/>
      <c r="J150" s="231"/>
      <c r="K150" s="304" t="s">
        <v>154</v>
      </c>
      <c r="L150" s="231"/>
      <c r="M150" s="231"/>
      <c r="N150" s="231"/>
      <c r="O150" s="378">
        <f>IF(MIS_Calc!E281="","–",MIS_Calc!E281)</f>
        <v>2.7801652097282279</v>
      </c>
      <c r="P150" s="231"/>
      <c r="Q150" s="366">
        <f>IF(MIS_Calc!F281="","–",MIS_Calc!F281)</f>
        <v>2.5218192569107489</v>
      </c>
      <c r="R150" s="231"/>
      <c r="S150" s="366">
        <f>IF(MIS_Calc!G281="","–",MIS_Calc!G281)</f>
        <v>3.5124318801089895</v>
      </c>
      <c r="T150" s="231"/>
      <c r="U150" s="346">
        <f>IF(MIS_Calc!H281="","–",MIS_Calc!H281)</f>
        <v>0.10244427791940769</v>
      </c>
      <c r="V150" s="231"/>
      <c r="W150" s="340" t="str">
        <f>MIS_Calc!J281</f>
        <v>▲ Watch</v>
      </c>
      <c r="X150" s="231"/>
      <c r="Y150" s="231"/>
      <c r="Z150" s="194"/>
    </row>
    <row r="151" spans="1:26" ht="17.100000000000001" customHeight="1" x14ac:dyDescent="0.2">
      <c r="A151" s="196"/>
      <c r="B151" s="367"/>
      <c r="C151" s="368"/>
      <c r="D151" s="368"/>
      <c r="E151" s="368"/>
      <c r="F151" s="300" t="s">
        <v>155</v>
      </c>
      <c r="G151" s="301"/>
      <c r="H151" s="301"/>
      <c r="I151" s="301"/>
      <c r="J151" s="301"/>
      <c r="K151" s="316" t="s">
        <v>150</v>
      </c>
      <c r="L151" s="301"/>
      <c r="M151" s="301"/>
      <c r="N151" s="301"/>
      <c r="O151" s="401">
        <f>IF(MIS_Calc!E282="","–",MIS_Calc!E282)</f>
        <v>16.21704579025111</v>
      </c>
      <c r="P151" s="301"/>
      <c r="Q151" s="377">
        <f>IF(MIS_Calc!F282="","–",MIS_Calc!F282)</f>
        <v>15.464608231502586</v>
      </c>
      <c r="R151" s="301"/>
      <c r="S151" s="377">
        <f>IF(MIS_Calc!G282="","–",MIS_Calc!G282)</f>
        <v>52.585403420065809</v>
      </c>
      <c r="T151" s="301"/>
      <c r="U151" s="363">
        <f>IF(MIS_Calc!H282="","–",MIS_Calc!H282)</f>
        <v>4.8655455572146344E-2</v>
      </c>
      <c r="V151" s="301"/>
      <c r="W151" s="356" t="str">
        <f>MIS_Calc!J282</f>
        <v>● In line</v>
      </c>
      <c r="X151" s="301"/>
      <c r="Y151" s="301"/>
      <c r="Z151" s="194"/>
    </row>
    <row r="152" spans="1:26" ht="17.100000000000001" hidden="1" customHeight="1" x14ac:dyDescent="0.2">
      <c r="A152" s="196"/>
      <c r="B152" s="367"/>
      <c r="C152" s="368"/>
      <c r="D152" s="368"/>
      <c r="E152" s="368"/>
      <c r="F152" s="303"/>
      <c r="G152" s="231"/>
      <c r="H152" s="231"/>
      <c r="I152" s="231"/>
      <c r="J152" s="231"/>
      <c r="K152" s="304"/>
      <c r="L152" s="231"/>
      <c r="M152" s="231"/>
      <c r="N152" s="231"/>
      <c r="O152" s="378"/>
      <c r="P152" s="231"/>
      <c r="Q152" s="366"/>
      <c r="R152" s="231"/>
      <c r="S152" s="366"/>
      <c r="T152" s="231"/>
      <c r="U152" s="346"/>
      <c r="V152" s="231"/>
      <c r="W152" s="340"/>
      <c r="X152" s="231"/>
      <c r="Y152" s="231"/>
      <c r="Z152" s="194"/>
    </row>
    <row r="153" spans="1:26" ht="17.100000000000001" customHeight="1" x14ac:dyDescent="0.2">
      <c r="A153" s="196"/>
      <c r="B153" s="367"/>
      <c r="C153" s="368"/>
      <c r="D153" s="368"/>
      <c r="E153" s="368"/>
      <c r="F153" s="300" t="s">
        <v>156</v>
      </c>
      <c r="G153" s="301"/>
      <c r="H153" s="301"/>
      <c r="I153" s="301"/>
      <c r="J153" s="301"/>
      <c r="K153" s="316" t="s">
        <v>157</v>
      </c>
      <c r="L153" s="301"/>
      <c r="M153" s="301"/>
      <c r="N153" s="301"/>
      <c r="O153" s="408">
        <f>IF(MIS_Calc!E284="","–",MIS_Calc!E284)</f>
        <v>0.93618572524942445</v>
      </c>
      <c r="P153" s="301"/>
      <c r="Q153" s="375">
        <f>IF(MIS_Calc!F284="","–",MIS_Calc!F284)</f>
        <v>0.96442060459913714</v>
      </c>
      <c r="R153" s="301"/>
      <c r="S153" s="375">
        <f>IF(MIS_Calc!G284="","–",MIS_Calc!G284)</f>
        <v>0.98417165496940306</v>
      </c>
      <c r="T153" s="301"/>
      <c r="U153" s="363">
        <f>IF(MIS_Calc!H284="","–",MIS_Calc!H284)</f>
        <v>-2.9276520239266968E-2</v>
      </c>
      <c r="V153" s="301"/>
      <c r="W153" s="356" t="str">
        <f>MIS_Calc!J284</f>
        <v>● In line</v>
      </c>
      <c r="X153" s="301"/>
      <c r="Y153" s="301"/>
      <c r="Z153" s="194"/>
    </row>
    <row r="154" spans="1:26" ht="17.100000000000001" customHeight="1" x14ac:dyDescent="0.2">
      <c r="A154" s="196"/>
      <c r="B154" s="367"/>
      <c r="C154" s="368"/>
      <c r="D154" s="368"/>
      <c r="E154" s="368"/>
      <c r="F154" s="303" t="s">
        <v>158</v>
      </c>
      <c r="G154" s="231"/>
      <c r="H154" s="231"/>
      <c r="I154" s="231"/>
      <c r="J154" s="231"/>
      <c r="K154" s="304" t="s">
        <v>159</v>
      </c>
      <c r="L154" s="231"/>
      <c r="M154" s="231"/>
      <c r="N154" s="231"/>
      <c r="O154" s="358">
        <f>IF(MIS_Calc!E285="","–",MIS_Calc!E285)</f>
        <v>0.37225705329153608</v>
      </c>
      <c r="P154" s="231"/>
      <c r="Q154" s="325">
        <f>IF(MIS_Calc!F285="","–",MIS_Calc!F285)</f>
        <v>0.40049634273772178</v>
      </c>
      <c r="R154" s="231"/>
      <c r="S154" s="325">
        <f>IF(MIS_Calc!G285="","–",MIS_Calc!G285)</f>
        <v>0.87539184952978055</v>
      </c>
      <c r="T154" s="231"/>
      <c r="U154" s="346">
        <f>IF(MIS_Calc!H285="","–",MIS_Calc!H285)</f>
        <v>-7.0510729893678792E-2</v>
      </c>
      <c r="V154" s="231"/>
      <c r="W154" s="340" t="str">
        <f>MIS_Calc!J285</f>
        <v>✔ Better</v>
      </c>
      <c r="X154" s="231"/>
      <c r="Y154" s="231"/>
      <c r="Z154" s="194"/>
    </row>
    <row r="155" spans="1:26" ht="17.100000000000001" customHeight="1" x14ac:dyDescent="0.2">
      <c r="A155" s="196"/>
      <c r="B155" s="422" t="s">
        <v>160</v>
      </c>
      <c r="C155" s="423"/>
      <c r="D155" s="423"/>
      <c r="E155" s="423"/>
      <c r="F155" s="300" t="s">
        <v>50</v>
      </c>
      <c r="G155" s="301"/>
      <c r="H155" s="301"/>
      <c r="I155" s="301"/>
      <c r="J155" s="301"/>
      <c r="K155" s="316" t="s">
        <v>161</v>
      </c>
      <c r="L155" s="301"/>
      <c r="M155" s="301"/>
      <c r="N155" s="301"/>
      <c r="O155" s="343">
        <f>IF(MIS_Calc!E286="","–",MIS_Calc!E286)</f>
        <v>334.15924143517418</v>
      </c>
      <c r="P155" s="301"/>
      <c r="Q155" s="344">
        <f>IF(MIS_Calc!F286="","–",MIS_Calc!F286)</f>
        <v>2432.2130268509418</v>
      </c>
      <c r="R155" s="301"/>
      <c r="S155" s="344">
        <f>IF(MIS_Calc!G286="","–",MIS_Calc!G286)</f>
        <v>1153.4701038020273</v>
      </c>
      <c r="T155" s="301"/>
      <c r="U155" s="363">
        <f>IF(MIS_Calc!H286="","–",MIS_Calc!H286)</f>
        <v>-0.86261103047054233</v>
      </c>
      <c r="V155" s="301"/>
      <c r="W155" s="356" t="str">
        <f>MIS_Calc!J286</f>
        <v>✔ Better</v>
      </c>
      <c r="X155" s="301"/>
      <c r="Y155" s="301"/>
      <c r="Z155" s="194"/>
    </row>
    <row r="156" spans="1:26" ht="17.100000000000001" customHeight="1" x14ac:dyDescent="0.2">
      <c r="A156" s="196"/>
      <c r="B156" s="367"/>
      <c r="C156" s="368"/>
      <c r="D156" s="368"/>
      <c r="E156" s="368"/>
      <c r="F156" s="303" t="s">
        <v>162</v>
      </c>
      <c r="G156" s="231"/>
      <c r="H156" s="231"/>
      <c r="I156" s="231"/>
      <c r="J156" s="231"/>
      <c r="K156" s="304" t="s">
        <v>161</v>
      </c>
      <c r="L156" s="231"/>
      <c r="M156" s="231"/>
      <c r="N156" s="231"/>
      <c r="O156" s="357">
        <f>IF(MIS_Calc!E287="","–",MIS_Calc!E287)</f>
        <v>285.77214466098059</v>
      </c>
      <c r="P156" s="231"/>
      <c r="Q156" s="345">
        <f>IF(MIS_Calc!F287="","–",MIS_Calc!F287)</f>
        <v>718.26294490196381</v>
      </c>
      <c r="R156" s="231"/>
      <c r="S156" s="345">
        <f>IF(MIS_Calc!G287="","–",MIS_Calc!G287)</f>
        <v>420.01659213694495</v>
      </c>
      <c r="T156" s="231"/>
      <c r="U156" s="346">
        <f>IF(MIS_Calc!H287="","–",MIS_Calc!H287)</f>
        <v>-0.60213436222860439</v>
      </c>
      <c r="V156" s="231"/>
      <c r="W156" s="340" t="str">
        <f>MIS_Calc!J287</f>
        <v>✔ Better</v>
      </c>
      <c r="X156" s="231"/>
      <c r="Y156" s="231"/>
      <c r="Z156" s="194"/>
    </row>
    <row r="157" spans="1:26" ht="17.100000000000001" customHeight="1" x14ac:dyDescent="0.2">
      <c r="A157" s="196"/>
      <c r="B157" s="379" t="s">
        <v>163</v>
      </c>
      <c r="C157" s="379"/>
      <c r="D157" s="379"/>
      <c r="E157" s="379"/>
      <c r="F157" s="300" t="s">
        <v>164</v>
      </c>
      <c r="G157" s="301"/>
      <c r="H157" s="301"/>
      <c r="I157" s="301"/>
      <c r="J157" s="301"/>
      <c r="K157" s="316" t="s">
        <v>161</v>
      </c>
      <c r="L157" s="301"/>
      <c r="M157" s="301"/>
      <c r="N157" s="301"/>
      <c r="O157" s="343">
        <f>IF(MIS_Calc!E288="","–",MIS_Calc!E288)</f>
        <v>63.920522228045932</v>
      </c>
      <c r="P157" s="301"/>
      <c r="Q157" s="344">
        <f>IF(MIS_Calc!F288="","–",MIS_Calc!F288)</f>
        <v>110.1110863802836</v>
      </c>
      <c r="R157" s="301"/>
      <c r="S157" s="344">
        <f>IF(MIS_Calc!G288="","–",MIS_Calc!G288)</f>
        <v>87.023734849557869</v>
      </c>
      <c r="T157" s="301"/>
      <c r="U157" s="363">
        <f>IF(MIS_Calc!H288="","–",MIS_Calc!H288)</f>
        <v>-0.4194905860134035</v>
      </c>
      <c r="V157" s="301"/>
      <c r="W157" s="356" t="str">
        <f>MIS_Calc!J288</f>
        <v>▲ Watch</v>
      </c>
      <c r="X157" s="301"/>
      <c r="Y157" s="301"/>
      <c r="Z157" s="194"/>
    </row>
    <row r="158" spans="1:26" ht="17.100000000000001" customHeight="1" x14ac:dyDescent="0.2">
      <c r="A158" s="196"/>
      <c r="B158" s="359"/>
      <c r="C158" s="359"/>
      <c r="D158" s="359"/>
      <c r="E158" s="359"/>
      <c r="F158" s="303" t="s">
        <v>165</v>
      </c>
      <c r="G158" s="231"/>
      <c r="H158" s="231"/>
      <c r="I158" s="231"/>
      <c r="J158" s="231"/>
      <c r="K158" s="304" t="s">
        <v>166</v>
      </c>
      <c r="L158" s="231"/>
      <c r="M158" s="231"/>
      <c r="N158" s="231"/>
      <c r="O158" s="358">
        <f>IF(MIS_Calc!E289="","–",MIS_Calc!E289)</f>
        <v>0.182790570922469</v>
      </c>
      <c r="P158" s="231"/>
      <c r="Q158" s="325">
        <f>IF(MIS_Calc!F289="","–",MIS_Calc!F289)</f>
        <v>0.1329243581064965</v>
      </c>
      <c r="R158" s="231"/>
      <c r="S158" s="325">
        <f>IF(MIS_Calc!G289="","–",MIS_Calc!G289)</f>
        <v>0.17163079585161753</v>
      </c>
      <c r="T158" s="231"/>
      <c r="U158" s="346">
        <f>IF(MIS_Calc!H289="","–",MIS_Calc!H289)</f>
        <v>0.37514729073222708</v>
      </c>
      <c r="V158" s="231"/>
      <c r="W158" s="340" t="str">
        <f>MIS_Calc!J289</f>
        <v>✔ Better</v>
      </c>
      <c r="X158" s="231"/>
      <c r="Y158" s="231"/>
      <c r="Z158" s="194"/>
    </row>
    <row r="159" spans="1:26" ht="17.100000000000001" customHeight="1" x14ac:dyDescent="0.2">
      <c r="A159" s="196"/>
      <c r="B159" s="359"/>
      <c r="C159" s="359"/>
      <c r="D159" s="359"/>
      <c r="E159" s="359"/>
      <c r="F159" s="300" t="s">
        <v>167</v>
      </c>
      <c r="G159" s="301"/>
      <c r="H159" s="301"/>
      <c r="I159" s="301"/>
      <c r="J159" s="301"/>
      <c r="K159" s="316" t="s">
        <v>161</v>
      </c>
      <c r="L159" s="301"/>
      <c r="M159" s="301"/>
      <c r="N159" s="301"/>
      <c r="O159" s="343">
        <f>IF(MIS_Calc!E290="","–",MIS_Calc!E290)</f>
        <v>261.73345404297896</v>
      </c>
      <c r="P159" s="301"/>
      <c r="Q159" s="344">
        <f>IF(MIS_Calc!F290="","–",MIS_Calc!F290)</f>
        <v>260.26992574006999</v>
      </c>
      <c r="R159" s="301"/>
      <c r="S159" s="344">
        <f>IF(MIS_Calc!G290="","–",MIS_Calc!G290)</f>
        <v>297.74185063029881</v>
      </c>
      <c r="T159" s="301"/>
      <c r="U159" s="363">
        <f>IF(MIS_Calc!H290="","–",MIS_Calc!H290)</f>
        <v>5.623117226269958E-3</v>
      </c>
      <c r="V159" s="301"/>
      <c r="W159" s="356" t="str">
        <f>MIS_Calc!J290</f>
        <v>● In line</v>
      </c>
      <c r="X159" s="301"/>
      <c r="Y159" s="301"/>
      <c r="Z159" s="194"/>
    </row>
    <row r="160" spans="1:26" ht="17.100000000000001" customHeight="1" x14ac:dyDescent="0.2">
      <c r="A160" s="196"/>
      <c r="B160" s="359"/>
      <c r="C160" s="359"/>
      <c r="D160" s="359"/>
      <c r="E160" s="359"/>
      <c r="F160" s="303" t="s">
        <v>168</v>
      </c>
      <c r="G160" s="231"/>
      <c r="H160" s="231"/>
      <c r="I160" s="231"/>
      <c r="J160" s="231"/>
      <c r="K160" s="304" t="s">
        <v>161</v>
      </c>
      <c r="L160" s="231"/>
      <c r="M160" s="231"/>
      <c r="N160" s="231"/>
      <c r="O160" s="357">
        <f>IF(MIS_Calc!E291="","–",MIS_Calc!E291)</f>
        <v>59.584504693381618</v>
      </c>
      <c r="P160" s="231"/>
      <c r="Q160" s="345">
        <f>IF(MIS_Calc!F291="","–",MIS_Calc!F291)</f>
        <v>146.54094413306066</v>
      </c>
      <c r="R160" s="231"/>
      <c r="S160" s="345">
        <f>IF(MIS_Calc!G291="","–",MIS_Calc!G291)</f>
        <v>97.353351814006274</v>
      </c>
      <c r="T160" s="231"/>
      <c r="U160" s="346">
        <f>IF(MIS_Calc!H291="","–",MIS_Calc!H291)</f>
        <v>-0.59339347070619197</v>
      </c>
      <c r="V160" s="231"/>
      <c r="W160" s="340" t="str">
        <f>MIS_Calc!J291</f>
        <v>✔ Better</v>
      </c>
      <c r="X160" s="231"/>
      <c r="Y160" s="231"/>
      <c r="Z160" s="194"/>
    </row>
    <row r="161" spans="1:26" ht="17.100000000000001" customHeight="1" x14ac:dyDescent="0.2">
      <c r="A161" s="196"/>
      <c r="B161" s="379" t="s">
        <v>169</v>
      </c>
      <c r="C161" s="414"/>
      <c r="D161" s="414"/>
      <c r="E161" s="414"/>
      <c r="F161" s="300" t="s">
        <v>170</v>
      </c>
      <c r="G161" s="301"/>
      <c r="H161" s="301"/>
      <c r="I161" s="301"/>
      <c r="J161" s="301"/>
      <c r="K161" s="316" t="s">
        <v>150</v>
      </c>
      <c r="L161" s="301"/>
      <c r="M161" s="301"/>
      <c r="N161" s="301"/>
      <c r="O161" s="343">
        <f>IF(MIS_Calc!E292="","–",MIS_Calc!E292)</f>
        <v>85.606351550960113</v>
      </c>
      <c r="P161" s="301"/>
      <c r="Q161" s="344">
        <f>IF(MIS_Calc!F292="","–",MIS_Calc!F292)</f>
        <v>63.396504185130503</v>
      </c>
      <c r="R161" s="301"/>
      <c r="S161" s="344" t="str">
        <f>IF(MIS_Calc!G292="","–",MIS_Calc!G292)</f>
        <v>–</v>
      </c>
      <c r="T161" s="301"/>
      <c r="U161" s="363">
        <f>IF(MIS_Calc!H292="","–",MIS_Calc!H292)</f>
        <v>0.35033236692314151</v>
      </c>
      <c r="V161" s="301"/>
      <c r="W161" s="356" t="str">
        <f>MIS_Calc!J292</f>
        <v>✔ Better</v>
      </c>
      <c r="X161" s="301"/>
      <c r="Y161" s="301"/>
      <c r="Z161" s="194"/>
    </row>
    <row r="162" spans="1:26" ht="17.100000000000001" customHeight="1" x14ac:dyDescent="0.2">
      <c r="A162" s="196"/>
      <c r="B162" s="359"/>
      <c r="C162" s="360"/>
      <c r="D162" s="360"/>
      <c r="E162" s="360"/>
      <c r="F162" s="303" t="s">
        <v>171</v>
      </c>
      <c r="G162" s="231"/>
      <c r="H162" s="231"/>
      <c r="I162" s="231"/>
      <c r="J162" s="231"/>
      <c r="K162" s="304" t="s">
        <v>166</v>
      </c>
      <c r="L162" s="231"/>
      <c r="M162" s="231"/>
      <c r="N162" s="231"/>
      <c r="O162" s="358">
        <f>IF(MIS_Calc!E293="","–",MIS_Calc!E293)</f>
        <v>0.7918391605525269</v>
      </c>
      <c r="P162" s="231"/>
      <c r="Q162" s="325">
        <f>IF(MIS_Calc!F293="","–",MIS_Calc!F293)</f>
        <v>0.64647680302054678</v>
      </c>
      <c r="R162" s="231"/>
      <c r="S162" s="325" t="str">
        <f>IF(MIS_Calc!G293="","–",MIS_Calc!G293)</f>
        <v>–</v>
      </c>
      <c r="T162" s="231"/>
      <c r="U162" s="346">
        <f>IF(MIS_Calc!H293="","–",MIS_Calc!H293)</f>
        <v>0.22485316851710779</v>
      </c>
      <c r="V162" s="231"/>
      <c r="W162" s="340" t="str">
        <f>MIS_Calc!J293</f>
        <v>✔ Better</v>
      </c>
      <c r="X162" s="231"/>
      <c r="Y162" s="231"/>
      <c r="Z162" s="194"/>
    </row>
    <row r="163" spans="1:26" ht="17.100000000000001" customHeight="1" x14ac:dyDescent="0.2">
      <c r="A163" s="196"/>
      <c r="B163" s="359"/>
      <c r="C163" s="360"/>
      <c r="D163" s="360"/>
      <c r="E163" s="360"/>
      <c r="F163" s="300" t="s">
        <v>172</v>
      </c>
      <c r="G163" s="301"/>
      <c r="H163" s="301"/>
      <c r="I163" s="301"/>
      <c r="J163" s="301"/>
      <c r="K163" s="316" t="s">
        <v>152</v>
      </c>
      <c r="L163" s="301"/>
      <c r="M163" s="301"/>
      <c r="N163" s="301"/>
      <c r="O163" s="391">
        <f>IF(MIS_Calc!E294="","–",MIS_Calc!E294)</f>
        <v>1010.1549483013295</v>
      </c>
      <c r="P163" s="301"/>
      <c r="Q163" s="388" t="str">
        <f>IF(MIS_Calc!F294="","–",MIS_Calc!F294)</f>
        <v>–</v>
      </c>
      <c r="R163" s="301"/>
      <c r="S163" s="388" t="str">
        <f>IF(MIS_Calc!G294="","–",MIS_Calc!G294)</f>
        <v>–</v>
      </c>
      <c r="T163" s="301"/>
      <c r="U163" s="363" t="str">
        <f>IF(MIS_Calc!H294="","–",MIS_Calc!H294)</f>
        <v>–</v>
      </c>
      <c r="V163" s="301"/>
      <c r="W163" s="356" t="str">
        <f>MIS_Calc!J294</f>
        <v>– no data/baseline</v>
      </c>
      <c r="X163" s="301"/>
      <c r="Y163" s="301"/>
      <c r="Z163" s="194"/>
    </row>
    <row r="164" spans="1:26" ht="17.100000000000001" hidden="1" customHeight="1" x14ac:dyDescent="0.2">
      <c r="A164" s="196"/>
      <c r="B164" s="359"/>
      <c r="C164" s="360"/>
      <c r="D164" s="360"/>
      <c r="E164" s="360"/>
      <c r="F164" s="303"/>
      <c r="G164" s="231"/>
      <c r="H164" s="231"/>
      <c r="I164" s="231"/>
      <c r="J164" s="231"/>
      <c r="K164" s="304"/>
      <c r="L164" s="231"/>
      <c r="M164" s="231"/>
      <c r="N164" s="231"/>
      <c r="O164" s="378"/>
      <c r="P164" s="231"/>
      <c r="Q164" s="366"/>
      <c r="R164" s="231"/>
      <c r="S164" s="366"/>
      <c r="T164" s="231"/>
      <c r="U164" s="346"/>
      <c r="V164" s="231"/>
      <c r="W164" s="340"/>
      <c r="X164" s="231"/>
      <c r="Y164" s="231"/>
      <c r="Z164" s="194"/>
    </row>
    <row r="165" spans="1:26" ht="17.100000000000001" hidden="1" customHeight="1" x14ac:dyDescent="0.2">
      <c r="A165" s="196"/>
      <c r="B165" s="359"/>
      <c r="C165" s="360"/>
      <c r="D165" s="360"/>
      <c r="E165" s="360"/>
      <c r="F165" s="300"/>
      <c r="G165" s="301"/>
      <c r="H165" s="301"/>
      <c r="I165" s="301"/>
      <c r="J165" s="301"/>
      <c r="K165" s="316"/>
      <c r="L165" s="301"/>
      <c r="M165" s="301"/>
      <c r="N165" s="301"/>
      <c r="O165" s="401"/>
      <c r="P165" s="301"/>
      <c r="Q165" s="377"/>
      <c r="R165" s="301"/>
      <c r="S165" s="377"/>
      <c r="T165" s="301"/>
      <c r="U165" s="363"/>
      <c r="V165" s="301"/>
      <c r="W165" s="356"/>
      <c r="X165" s="301"/>
      <c r="Y165" s="301"/>
      <c r="Z165" s="194"/>
    </row>
    <row r="166" spans="1:26" ht="17.100000000000001" hidden="1" customHeight="1" x14ac:dyDescent="0.2">
      <c r="A166" s="196"/>
      <c r="B166" s="359"/>
      <c r="C166" s="360"/>
      <c r="D166" s="360"/>
      <c r="E166" s="360"/>
      <c r="F166" s="303"/>
      <c r="G166" s="231"/>
      <c r="H166" s="231"/>
      <c r="I166" s="231"/>
      <c r="J166" s="231"/>
      <c r="K166" s="304"/>
      <c r="L166" s="231"/>
      <c r="M166" s="231"/>
      <c r="N166" s="231"/>
      <c r="O166" s="378"/>
      <c r="P166" s="231"/>
      <c r="Q166" s="366"/>
      <c r="R166" s="231"/>
      <c r="S166" s="366"/>
      <c r="T166" s="231"/>
      <c r="U166" s="346"/>
      <c r="V166" s="231"/>
      <c r="W166" s="340"/>
      <c r="X166" s="231"/>
      <c r="Y166" s="231"/>
      <c r="Z166" s="194"/>
    </row>
    <row r="167" spans="1:26" ht="17.100000000000001" hidden="1" customHeight="1" x14ac:dyDescent="0.2">
      <c r="A167" s="196"/>
      <c r="B167" s="359"/>
      <c r="C167" s="360"/>
      <c r="D167" s="360"/>
      <c r="E167" s="360"/>
      <c r="F167" s="300"/>
      <c r="G167" s="301"/>
      <c r="H167" s="301"/>
      <c r="I167" s="301"/>
      <c r="J167" s="301"/>
      <c r="K167" s="316"/>
      <c r="L167" s="301"/>
      <c r="M167" s="301"/>
      <c r="N167" s="301"/>
      <c r="O167" s="401"/>
      <c r="P167" s="301"/>
      <c r="Q167" s="377"/>
      <c r="R167" s="301"/>
      <c r="S167" s="377"/>
      <c r="T167" s="301"/>
      <c r="U167" s="363"/>
      <c r="V167" s="301"/>
      <c r="W167" s="356"/>
      <c r="X167" s="301"/>
      <c r="Y167" s="301"/>
      <c r="Z167" s="194"/>
    </row>
    <row r="168" spans="1:26" ht="17.100000000000001" customHeight="1" x14ac:dyDescent="0.2">
      <c r="A168" s="196"/>
      <c r="B168" s="361" t="s">
        <v>173</v>
      </c>
      <c r="C168" s="362"/>
      <c r="D168" s="362"/>
      <c r="E168" s="362"/>
      <c r="F168" s="303" t="s">
        <v>174</v>
      </c>
      <c r="G168" s="231"/>
      <c r="H168" s="231"/>
      <c r="I168" s="231"/>
      <c r="J168" s="231"/>
      <c r="K168" s="304" t="s">
        <v>175</v>
      </c>
      <c r="L168" s="231"/>
      <c r="M168" s="231"/>
      <c r="N168" s="231"/>
      <c r="O168" s="378">
        <f>IF(MIS_Calc!E299="","–",MIS_Calc!E299)</f>
        <v>15.952732644017726</v>
      </c>
      <c r="P168" s="231"/>
      <c r="Q168" s="366">
        <f>IF(MIS_Calc!F299="","–",MIS_Calc!F299)</f>
        <v>6.277695716395864</v>
      </c>
      <c r="R168" s="231"/>
      <c r="S168" s="366">
        <f>IF(MIS_Calc!G299="","–",MIS_Calc!G299)</f>
        <v>10.67823732151647</v>
      </c>
      <c r="T168" s="231"/>
      <c r="U168" s="346">
        <f>IF(MIS_Calc!H299="","–",MIS_Calc!H299)</f>
        <v>1.5411764705882356</v>
      </c>
      <c r="V168" s="231"/>
      <c r="W168" s="340" t="str">
        <f>MIS_Calc!J299</f>
        <v>▲ Watch</v>
      </c>
      <c r="X168" s="231"/>
      <c r="Y168" s="231"/>
      <c r="Z168" s="194"/>
    </row>
    <row r="169" spans="1:26" ht="17.100000000000001" customHeight="1" x14ac:dyDescent="0.2">
      <c r="A169" s="196"/>
      <c r="B169" s="353"/>
      <c r="C169" s="354"/>
      <c r="D169" s="354"/>
      <c r="E169" s="354"/>
      <c r="F169" s="300" t="s">
        <v>176</v>
      </c>
      <c r="G169" s="301"/>
      <c r="H169" s="301"/>
      <c r="I169" s="301"/>
      <c r="J169" s="301"/>
      <c r="K169" s="316" t="s">
        <v>166</v>
      </c>
      <c r="L169" s="301"/>
      <c r="M169" s="301"/>
      <c r="N169" s="301"/>
      <c r="O169" s="390">
        <f>IF(MIS_Calc!E300="","–",MIS_Calc!E300)</f>
        <v>0.67592592592592593</v>
      </c>
      <c r="P169" s="301"/>
      <c r="Q169" s="341">
        <f>IF(MIS_Calc!F300="","–",MIS_Calc!F300)</f>
        <v>1</v>
      </c>
      <c r="R169" s="301"/>
      <c r="S169" s="341">
        <f>IF(MIS_Calc!G300="","–",MIS_Calc!G300)</f>
        <v>0.98559077809798501</v>
      </c>
      <c r="T169" s="301"/>
      <c r="U169" s="363">
        <f>IF(MIS_Calc!H300="","–",MIS_Calc!H300)</f>
        <v>-0.32407407407407407</v>
      </c>
      <c r="V169" s="301"/>
      <c r="W169" s="356" t="str">
        <f>MIS_Calc!J300</f>
        <v>▲ Watch</v>
      </c>
      <c r="X169" s="301"/>
      <c r="Y169" s="301"/>
      <c r="Z169" s="194"/>
    </row>
    <row r="170" spans="1:26" ht="17.100000000000001" customHeight="1" x14ac:dyDescent="0.2">
      <c r="A170" s="196"/>
      <c r="B170" s="353"/>
      <c r="C170" s="354"/>
      <c r="D170" s="354"/>
      <c r="E170" s="354"/>
      <c r="F170" s="303" t="s">
        <v>177</v>
      </c>
      <c r="G170" s="231"/>
      <c r="H170" s="231"/>
      <c r="I170" s="231"/>
      <c r="J170" s="231"/>
      <c r="K170" s="304" t="s">
        <v>178</v>
      </c>
      <c r="L170" s="231"/>
      <c r="M170" s="231"/>
      <c r="N170" s="231"/>
      <c r="O170" s="378" t="str">
        <f>IF(MIS_Calc!E301="","–",MIS_Calc!E301)</f>
        <v>–</v>
      </c>
      <c r="P170" s="231"/>
      <c r="Q170" s="366">
        <f>IF(MIS_Calc!F301="","–",MIS_Calc!F301)</f>
        <v>0</v>
      </c>
      <c r="R170" s="231"/>
      <c r="S170" s="366">
        <f>IF(MIS_Calc!G301="","–",MIS_Calc!G301)</f>
        <v>0</v>
      </c>
      <c r="T170" s="231"/>
      <c r="U170" s="346" t="str">
        <f>IF(MIS_Calc!H301="","–",MIS_Calc!H301)</f>
        <v>–</v>
      </c>
      <c r="V170" s="231"/>
      <c r="W170" s="340" t="str">
        <f>MIS_Calc!J301</f>
        <v>– no data/baseline</v>
      </c>
      <c r="X170" s="231"/>
      <c r="Y170" s="231"/>
      <c r="Z170" s="194"/>
    </row>
    <row r="171" spans="1:26" ht="17.100000000000001" customHeight="1" x14ac:dyDescent="0.2">
      <c r="A171" s="196"/>
      <c r="B171" s="353"/>
      <c r="C171" s="354"/>
      <c r="D171" s="354"/>
      <c r="E171" s="354"/>
      <c r="F171" s="300" t="s">
        <v>179</v>
      </c>
      <c r="G171" s="301"/>
      <c r="H171" s="301"/>
      <c r="I171" s="301"/>
      <c r="J171" s="301"/>
      <c r="K171" s="316" t="s">
        <v>166</v>
      </c>
      <c r="L171" s="301"/>
      <c r="M171" s="301"/>
      <c r="N171" s="301"/>
      <c r="O171" s="390">
        <f>IF(MIS_Calc!E302="","–",MIS_Calc!E302)</f>
        <v>3.2407407407407406E-2</v>
      </c>
      <c r="P171" s="301"/>
      <c r="Q171" s="341">
        <f>IF(MIS_Calc!F302="","–",MIS_Calc!F302)</f>
        <v>2.3529411764705882E-2</v>
      </c>
      <c r="R171" s="301"/>
      <c r="S171" s="341">
        <f>IF(MIS_Calc!G302="","–",MIS_Calc!G302)</f>
        <v>1.1527377521613882E-2</v>
      </c>
      <c r="T171" s="301"/>
      <c r="U171" s="363">
        <f>IF(MIS_Calc!H302="","–",MIS_Calc!H302)</f>
        <v>0.37731481481481466</v>
      </c>
      <c r="V171" s="301"/>
      <c r="W171" s="356" t="str">
        <f>MIS_Calc!J302</f>
        <v>▲ Watch</v>
      </c>
      <c r="X171" s="301"/>
      <c r="Y171" s="301"/>
      <c r="Z171" s="194"/>
    </row>
    <row r="172" spans="1:26" ht="17.100000000000001" customHeight="1" x14ac:dyDescent="0.2">
      <c r="A172" s="196"/>
      <c r="B172" s="361" t="s">
        <v>180</v>
      </c>
      <c r="C172" s="362"/>
      <c r="D172" s="362"/>
      <c r="E172" s="362"/>
      <c r="F172" s="303" t="s">
        <v>181</v>
      </c>
      <c r="G172" s="231"/>
      <c r="H172" s="231"/>
      <c r="I172" s="231"/>
      <c r="J172" s="231"/>
      <c r="K172" s="304" t="s">
        <v>166</v>
      </c>
      <c r="L172" s="231"/>
      <c r="M172" s="231"/>
      <c r="N172" s="231"/>
      <c r="O172" s="358">
        <f>IF(MIS_Calc!E303="","–",MIS_Calc!E303)</f>
        <v>0.84843749999999996</v>
      </c>
      <c r="P172" s="231"/>
      <c r="Q172" s="325">
        <f>IF(MIS_Calc!F303="","–",MIS_Calc!F303)</f>
        <v>0.83111796819368666</v>
      </c>
      <c r="R172" s="231"/>
      <c r="S172" s="325">
        <f>IF(MIS_Calc!G303="","–",MIS_Calc!G303)</f>
        <v>0.86282578875171467</v>
      </c>
      <c r="T172" s="231"/>
      <c r="U172" s="346">
        <f>IF(MIS_Calc!H303="","–",MIS_Calc!H303)</f>
        <v>2.0838836927030702E-2</v>
      </c>
      <c r="V172" s="231"/>
      <c r="W172" s="340" t="str">
        <f>MIS_Calc!J303</f>
        <v>● In line</v>
      </c>
      <c r="X172" s="231"/>
      <c r="Y172" s="231"/>
      <c r="Z172" s="194"/>
    </row>
    <row r="173" spans="1:26" ht="17.100000000000001" customHeight="1" x14ac:dyDescent="0.2">
      <c r="A173" s="196"/>
      <c r="B173" s="353"/>
      <c r="C173" s="354"/>
      <c r="D173" s="354"/>
      <c r="E173" s="354"/>
      <c r="F173" s="300" t="s">
        <v>182</v>
      </c>
      <c r="G173" s="301"/>
      <c r="H173" s="301"/>
      <c r="I173" s="301"/>
      <c r="J173" s="301"/>
      <c r="K173" s="316" t="s">
        <v>183</v>
      </c>
      <c r="L173" s="301"/>
      <c r="M173" s="301"/>
      <c r="N173" s="301"/>
      <c r="O173" s="343" t="str">
        <f>IF(MIS_Calc!E304="","–",MIS_Calc!E304)</f>
        <v>–</v>
      </c>
      <c r="P173" s="301"/>
      <c r="Q173" s="344">
        <f>IF(MIS_Calc!F304="","–",MIS_Calc!F304)</f>
        <v>22.182700920384704</v>
      </c>
      <c r="R173" s="301"/>
      <c r="S173" s="344">
        <f>IF(MIS_Calc!G304="","–",MIS_Calc!G304)</f>
        <v>34.976152623211448</v>
      </c>
      <c r="T173" s="301"/>
      <c r="U173" s="363" t="str">
        <f>IF(MIS_Calc!H304="","–",MIS_Calc!H304)</f>
        <v>–</v>
      </c>
      <c r="V173" s="301"/>
      <c r="W173" s="356" t="str">
        <f>MIS_Calc!J304</f>
        <v>– no data/baseline</v>
      </c>
      <c r="X173" s="301"/>
      <c r="Y173" s="301"/>
      <c r="Z173" s="194"/>
    </row>
    <row r="174" spans="1:26" ht="17.100000000000001" customHeight="1" x14ac:dyDescent="0.2">
      <c r="A174" s="196"/>
      <c r="B174" s="353"/>
      <c r="C174" s="354"/>
      <c r="D174" s="354"/>
      <c r="E174" s="354"/>
      <c r="F174" s="303" t="s">
        <v>184</v>
      </c>
      <c r="G174" s="231"/>
      <c r="H174" s="231"/>
      <c r="I174" s="231"/>
      <c r="J174" s="231"/>
      <c r="K174" s="304" t="s">
        <v>152</v>
      </c>
      <c r="L174" s="231"/>
      <c r="M174" s="231"/>
      <c r="N174" s="231"/>
      <c r="O174" s="420" t="str">
        <f>IF(MIS_Calc!E305="","–",MIS_Calc!E305)</f>
        <v>–</v>
      </c>
      <c r="P174" s="231"/>
      <c r="Q174" s="302">
        <f>IF(MIS_Calc!F305="","–",MIS_Calc!F305)</f>
        <v>553.98024372230429</v>
      </c>
      <c r="R174" s="231"/>
      <c r="S174" s="302">
        <f>IF(MIS_Calc!G305="","–",MIS_Calc!G305)</f>
        <v>579.20236336779908</v>
      </c>
      <c r="T174" s="231"/>
      <c r="U174" s="346" t="str">
        <f>IF(MIS_Calc!H305="","–",MIS_Calc!H305)</f>
        <v>–</v>
      </c>
      <c r="V174" s="231"/>
      <c r="W174" s="340" t="str">
        <f>MIS_Calc!J305</f>
        <v>– no data/baseline</v>
      </c>
      <c r="X174" s="231"/>
      <c r="Y174" s="231"/>
      <c r="Z174" s="194"/>
    </row>
    <row r="175" spans="1:26" ht="17.100000000000001" customHeight="1" x14ac:dyDescent="0.2">
      <c r="A175" s="196"/>
      <c r="B175" s="353"/>
      <c r="C175" s="354"/>
      <c r="D175" s="354"/>
      <c r="E175" s="354"/>
      <c r="F175" s="300" t="str">
        <f>"Tracked OPEX per person"&amp;IF(AND(MIS_Calc!$B$5="2026 YTD",MIS_Calc!$G$106&lt;MIS_Calc!$G$82),"  ("&amp;MIS_Calc!$G$106&amp;" of "&amp;MIS_Calc!$G$82&amp;" months invoiced)","")</f>
        <v>Tracked OPEX per person</v>
      </c>
      <c r="G175" s="301"/>
      <c r="H175" s="301"/>
      <c r="I175" s="301"/>
      <c r="J175" s="301"/>
      <c r="K175" s="316" t="s">
        <v>152</v>
      </c>
      <c r="L175" s="301"/>
      <c r="M175" s="301"/>
      <c r="N175" s="301"/>
      <c r="O175" s="391" t="str">
        <f>IF(MIS_Calc!E306="","–",MIS_Calc!E306)</f>
        <v>–</v>
      </c>
      <c r="P175" s="301"/>
      <c r="Q175" s="388">
        <f>IF(MIS_Calc!F306="","–",MIS_Calc!F306)</f>
        <v>1840.0211466685964</v>
      </c>
      <c r="R175" s="301"/>
      <c r="S175" s="388">
        <f>IF(MIS_Calc!G306="","–",MIS_Calc!G306)</f>
        <v>2285.0846981166842</v>
      </c>
      <c r="T175" s="301"/>
      <c r="U175" s="363" t="str">
        <f>IF(MIS_Calc!H306="","–",MIS_Calc!H306)</f>
        <v>–</v>
      </c>
      <c r="V175" s="301"/>
      <c r="W175" s="356" t="str">
        <f>MIS_Calc!J306</f>
        <v>– no data/baseline</v>
      </c>
      <c r="X175" s="301"/>
      <c r="Y175" s="301"/>
      <c r="Z175" s="194"/>
    </row>
    <row r="176" spans="1:26" ht="17.100000000000001" customHeight="1" x14ac:dyDescent="0.2">
      <c r="A176" s="196"/>
      <c r="B176" s="353"/>
      <c r="C176" s="354"/>
      <c r="D176" s="354"/>
      <c r="E176" s="354"/>
      <c r="F176" s="303" t="s">
        <v>185</v>
      </c>
      <c r="G176" s="231"/>
      <c r="H176" s="231"/>
      <c r="I176" s="231"/>
      <c r="J176" s="231"/>
      <c r="K176" s="304" t="s">
        <v>166</v>
      </c>
      <c r="L176" s="231"/>
      <c r="M176" s="231"/>
      <c r="N176" s="231"/>
      <c r="O176" s="358" t="str">
        <f>IF(MIS_Calc!E307="","–",MIS_Calc!E307)</f>
        <v>–</v>
      </c>
      <c r="P176" s="231"/>
      <c r="Q176" s="325">
        <f>IF(MIS_Calc!F307="","–",MIS_Calc!F307)</f>
        <v>0.69482839008890984</v>
      </c>
      <c r="R176" s="231"/>
      <c r="S176" s="325">
        <f>IF(MIS_Calc!G307="","–",MIS_Calc!G307)</f>
        <v>0.76701289047982313</v>
      </c>
      <c r="T176" s="231"/>
      <c r="U176" s="346" t="str">
        <f>IF(MIS_Calc!H307="","–",MIS_Calc!H307)</f>
        <v>–</v>
      </c>
      <c r="V176" s="231"/>
      <c r="W176" s="340" t="str">
        <f>MIS_Calc!J307</f>
        <v>– no data/baseline</v>
      </c>
      <c r="X176" s="231"/>
      <c r="Y176" s="231"/>
      <c r="Z176" s="194"/>
    </row>
    <row r="177" spans="1:26" ht="17.100000000000001" customHeight="1" x14ac:dyDescent="0.2">
      <c r="A177" s="196"/>
      <c r="B177" s="353"/>
      <c r="C177" s="354"/>
      <c r="D177" s="354"/>
      <c r="E177" s="354"/>
      <c r="F177" s="300" t="s">
        <v>186</v>
      </c>
      <c r="G177" s="301"/>
      <c r="H177" s="301"/>
      <c r="I177" s="301"/>
      <c r="J177" s="301"/>
      <c r="K177" s="316" t="s">
        <v>187</v>
      </c>
      <c r="L177" s="301"/>
      <c r="M177" s="301"/>
      <c r="N177" s="301"/>
      <c r="O177" s="343">
        <f>IF(MIS_Calc!E308="","–",MIS_Calc!E308)</f>
        <v>50.148148148148145</v>
      </c>
      <c r="P177" s="301"/>
      <c r="Q177" s="344" t="str">
        <f>IF(MIS_Calc!F308="","–",MIS_Calc!F308)</f>
        <v>–</v>
      </c>
      <c r="R177" s="301"/>
      <c r="S177" s="344" t="str">
        <f>IF(MIS_Calc!G308="","–",MIS_Calc!G308)</f>
        <v>–</v>
      </c>
      <c r="T177" s="301"/>
      <c r="U177" s="363" t="str">
        <f>IF(MIS_Calc!H308="","–",MIS_Calc!H308)</f>
        <v>–</v>
      </c>
      <c r="V177" s="301"/>
      <c r="W177" s="356" t="str">
        <f>MIS_Calc!J308</f>
        <v>– no data/baseline</v>
      </c>
      <c r="X177" s="301"/>
      <c r="Y177" s="301"/>
      <c r="Z177" s="194"/>
    </row>
    <row r="178" spans="1:26" ht="17.100000000000001" customHeight="1" x14ac:dyDescent="0.2">
      <c r="A178" s="196"/>
      <c r="B178" s="353"/>
      <c r="C178" s="354"/>
      <c r="D178" s="354"/>
      <c r="E178" s="354"/>
      <c r="F178" s="303" t="s">
        <v>188</v>
      </c>
      <c r="G178" s="231"/>
      <c r="H178" s="231"/>
      <c r="I178" s="231"/>
      <c r="J178" s="231"/>
      <c r="K178" s="304" t="s">
        <v>150</v>
      </c>
      <c r="L178" s="231"/>
      <c r="M178" s="231"/>
      <c r="N178" s="231"/>
      <c r="O178" s="378">
        <f>IF(MIS_Calc!E309="","–",MIS_Calc!E309)</f>
        <v>8.1240768094534704E-3</v>
      </c>
      <c r="P178" s="231"/>
      <c r="Q178" s="366">
        <f>IF(MIS_Calc!F309="","–",MIS_Calc!F309)</f>
        <v>0.36504632738015291</v>
      </c>
      <c r="R178" s="231"/>
      <c r="S178" s="366">
        <f>IF(MIS_Calc!G309="","–",MIS_Calc!G309)</f>
        <v>0.73015952732643863</v>
      </c>
      <c r="T178" s="231"/>
      <c r="U178" s="346">
        <f>IF(MIS_Calc!H309="","–",MIS_Calc!H309)</f>
        <v>-0.97774508000735694</v>
      </c>
      <c r="V178" s="231"/>
      <c r="W178" s="340" t="str">
        <f>MIS_Calc!J309</f>
        <v>✔ Better</v>
      </c>
      <c r="X178" s="231"/>
      <c r="Y178" s="231"/>
      <c r="Z178" s="194"/>
    </row>
    <row r="179" spans="1:26" ht="15" customHeight="1" x14ac:dyDescent="0.2">
      <c r="A179" s="196"/>
      <c r="B179" s="194"/>
      <c r="C179" s="194"/>
      <c r="D179" s="194"/>
      <c r="E179" s="194"/>
      <c r="F179" s="194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  <c r="Z179" s="194"/>
    </row>
    <row r="180" spans="1:26" ht="33.950000000000003" customHeight="1" x14ac:dyDescent="0.2">
      <c r="A180" s="196"/>
      <c r="B180" s="413" t="s">
        <v>189</v>
      </c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194"/>
    </row>
    <row r="181" spans="1:26" ht="15" customHeight="1" x14ac:dyDescent="0.2">
      <c r="A181" s="196"/>
      <c r="B181" s="194"/>
      <c r="C181" s="194"/>
      <c r="D181" s="194"/>
      <c r="E181" s="194"/>
      <c r="F181" s="194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  <c r="Z181" s="194"/>
    </row>
    <row r="182" spans="1:26" ht="15" customHeight="1" x14ac:dyDescent="0.2">
      <c r="A182" s="196"/>
      <c r="B182" s="194"/>
      <c r="C182" s="194"/>
      <c r="D182" s="194"/>
      <c r="E182" s="194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  <c r="Z182" s="194"/>
    </row>
    <row r="183" spans="1:26" ht="15" customHeight="1" x14ac:dyDescent="0.2">
      <c r="A183" s="196"/>
      <c r="B183" s="194"/>
      <c r="C183" s="194"/>
      <c r="D183" s="194"/>
      <c r="E183" s="194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  <c r="Z183" s="194"/>
    </row>
    <row r="184" spans="1:26" ht="15" customHeight="1" x14ac:dyDescent="0.2">
      <c r="A184" s="196"/>
      <c r="B184" s="194"/>
      <c r="C184" s="194"/>
      <c r="D184" s="194"/>
      <c r="E184" s="194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  <c r="Z184" s="194"/>
    </row>
    <row r="185" spans="1:26" ht="15" customHeight="1" x14ac:dyDescent="0.2">
      <c r="A185" s="196"/>
      <c r="B185" s="194"/>
      <c r="C185" s="194"/>
      <c r="D185" s="194"/>
      <c r="E185" s="194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  <c r="Z185" s="194"/>
    </row>
    <row r="186" spans="1:26" ht="15" customHeight="1" x14ac:dyDescent="0.2">
      <c r="A186" s="196"/>
      <c r="B186" s="194"/>
      <c r="C186" s="194"/>
      <c r="D186" s="194"/>
      <c r="E186" s="194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</row>
    <row r="187" spans="1:26" ht="15" customHeight="1" x14ac:dyDescent="0.2">
      <c r="A187" s="196"/>
      <c r="B187" s="194"/>
      <c r="C187" s="194"/>
      <c r="D187" s="194"/>
      <c r="E187" s="194"/>
      <c r="F187" s="194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</row>
    <row r="188" spans="1:26" ht="15" customHeight="1" x14ac:dyDescent="0.2">
      <c r="A188" s="196"/>
      <c r="B188" s="194"/>
      <c r="C188" s="194"/>
      <c r="D188" s="194"/>
      <c r="E188" s="194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  <c r="Z188" s="194"/>
    </row>
    <row r="189" spans="1:26" ht="15" customHeight="1" x14ac:dyDescent="0.2">
      <c r="A189" s="196"/>
      <c r="B189" s="194"/>
      <c r="C189" s="194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  <c r="Z189" s="194"/>
    </row>
    <row r="190" spans="1:26" ht="15" customHeight="1" x14ac:dyDescent="0.2">
      <c r="A190" s="196"/>
      <c r="B190" s="194"/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</row>
    <row r="191" spans="1:26" ht="15" customHeight="1" x14ac:dyDescent="0.2">
      <c r="A191" s="196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  <c r="Z191" s="194"/>
    </row>
    <row r="192" spans="1:26" ht="15" customHeight="1" x14ac:dyDescent="0.2">
      <c r="A192" s="196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  <c r="Z192" s="194"/>
    </row>
    <row r="193" spans="1:26" ht="15" customHeight="1" x14ac:dyDescent="0.2">
      <c r="A193" s="196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  <c r="Z193" s="194"/>
    </row>
    <row r="194" spans="1:26" ht="15" customHeight="1" x14ac:dyDescent="0.2">
      <c r="A194" s="196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  <c r="Z194" s="194"/>
    </row>
    <row r="195" spans="1:26" ht="15" customHeight="1" x14ac:dyDescent="0.2">
      <c r="A195" s="196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  <c r="Z195" s="194"/>
    </row>
    <row r="196" spans="1:26" ht="15" customHeight="1" x14ac:dyDescent="0.2">
      <c r="A196" s="196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  <c r="Z196" s="194"/>
    </row>
    <row r="197" spans="1:26" ht="15" customHeight="1" x14ac:dyDescent="0.2">
      <c r="A197" s="196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  <c r="Z197" s="194"/>
    </row>
    <row r="198" spans="1:26" ht="15" customHeight="1" x14ac:dyDescent="0.2">
      <c r="A198" s="196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  <c r="Z198" s="194"/>
    </row>
    <row r="199" spans="1:26" ht="15" customHeight="1" x14ac:dyDescent="0.2">
      <c r="A199" s="196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  <c r="Z199" s="194"/>
    </row>
    <row r="200" spans="1:26" ht="15" customHeight="1" x14ac:dyDescent="0.2">
      <c r="A200" s="196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  <c r="Z200" s="194"/>
    </row>
    <row r="201" spans="1:26" ht="15" customHeight="1" x14ac:dyDescent="0.2">
      <c r="A201" s="196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  <c r="Z201" s="194"/>
    </row>
    <row r="202" spans="1:26" ht="15" customHeight="1" x14ac:dyDescent="0.2">
      <c r="A202" s="196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</row>
    <row r="203" spans="1:26" ht="15" customHeight="1" x14ac:dyDescent="0.2">
      <c r="A203" s="196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  <c r="Z203" s="194"/>
    </row>
    <row r="204" spans="1:26" ht="15" customHeight="1" x14ac:dyDescent="0.2">
      <c r="A204" s="196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  <c r="Z204" s="194"/>
    </row>
    <row r="205" spans="1:26" ht="15" customHeight="1" x14ac:dyDescent="0.2">
      <c r="A205" s="196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  <c r="Z205" s="194"/>
    </row>
    <row r="206" spans="1:26" ht="15" customHeight="1" x14ac:dyDescent="0.2">
      <c r="A206" s="196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  <c r="Z206" s="194"/>
    </row>
    <row r="207" spans="1:26" ht="15" customHeight="1" x14ac:dyDescent="0.2">
      <c r="A207" s="196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</row>
    <row r="208" spans="1:26" ht="15" customHeight="1" x14ac:dyDescent="0.2">
      <c r="A208" s="196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</row>
    <row r="209" spans="1:26" ht="15" customHeight="1" x14ac:dyDescent="0.2">
      <c r="A209" s="196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  <c r="Z209" s="194"/>
    </row>
    <row r="210" spans="1:26" ht="15" customHeight="1" x14ac:dyDescent="0.2">
      <c r="A210" s="196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194"/>
      <c r="Z210" s="194"/>
    </row>
    <row r="211" spans="1:26" ht="15" customHeight="1" x14ac:dyDescent="0.2">
      <c r="A211" s="196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  <c r="Z211" s="194"/>
    </row>
    <row r="212" spans="1:26" ht="15" customHeight="1" x14ac:dyDescent="0.2">
      <c r="A212" s="196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194"/>
      <c r="Z212" s="194"/>
    </row>
    <row r="213" spans="1:26" ht="15" customHeight="1" x14ac:dyDescent="0.2">
      <c r="A213" s="196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4"/>
      <c r="Z213" s="194"/>
    </row>
    <row r="214" spans="1:26" ht="15" customHeight="1" x14ac:dyDescent="0.2">
      <c r="A214" s="196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  <c r="Z214" s="194"/>
    </row>
    <row r="215" spans="1:26" ht="15" customHeight="1" x14ac:dyDescent="0.2">
      <c r="A215" s="196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  <c r="Z215" s="194"/>
    </row>
    <row r="216" spans="1:26" ht="15" customHeight="1" x14ac:dyDescent="0.2">
      <c r="A216" s="196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  <c r="Z216" s="194"/>
    </row>
    <row r="217" spans="1:26" ht="15" customHeight="1" x14ac:dyDescent="0.2">
      <c r="A217" s="196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4"/>
      <c r="Z217" s="194"/>
    </row>
    <row r="218" spans="1:26" ht="15" customHeight="1" x14ac:dyDescent="0.2">
      <c r="A218" s="196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4"/>
      <c r="Z218" s="194"/>
    </row>
    <row r="219" spans="1:26" ht="15" customHeight="1" x14ac:dyDescent="0.2">
      <c r="A219" s="196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194"/>
      <c r="Z219" s="194"/>
    </row>
    <row r="220" spans="1:26" ht="15" customHeight="1" x14ac:dyDescent="0.2">
      <c r="A220" s="196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4"/>
      <c r="Z220" s="194"/>
    </row>
    <row r="221" spans="1:26" ht="15" customHeight="1" x14ac:dyDescent="0.2">
      <c r="A221" s="196"/>
      <c r="B221" s="194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  <c r="Z221" s="194"/>
    </row>
    <row r="222" spans="1:26" ht="15" customHeight="1" x14ac:dyDescent="0.2">
      <c r="A222" s="196"/>
      <c r="B222" s="194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  <c r="Z222" s="194"/>
    </row>
    <row r="223" spans="1:26" ht="15" customHeight="1" x14ac:dyDescent="0.2">
      <c r="A223" s="196"/>
      <c r="B223" s="194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194"/>
      <c r="Z223" s="194"/>
    </row>
    <row r="224" spans="1:26" ht="15" customHeight="1" x14ac:dyDescent="0.2">
      <c r="A224" s="196"/>
      <c r="B224" s="194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194"/>
      <c r="Z224" s="194"/>
    </row>
    <row r="225" spans="1:26" ht="15" customHeight="1" x14ac:dyDescent="0.2">
      <c r="A225" s="196"/>
      <c r="B225" s="194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194"/>
      <c r="Z225" s="194"/>
    </row>
    <row r="226" spans="1:26" ht="15" customHeight="1" x14ac:dyDescent="0.2">
      <c r="A226" s="196"/>
      <c r="B226" s="194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  <c r="X226" s="194"/>
      <c r="Y226" s="194"/>
      <c r="Z226" s="194"/>
    </row>
    <row r="227" spans="1:26" ht="15" customHeight="1" x14ac:dyDescent="0.2">
      <c r="A227" s="196"/>
      <c r="B227" s="194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  <c r="X227" s="194"/>
      <c r="Y227" s="194"/>
      <c r="Z227" s="194"/>
    </row>
    <row r="228" spans="1:26" ht="15" customHeight="1" x14ac:dyDescent="0.2">
      <c r="A228" s="196"/>
      <c r="B228" s="194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194"/>
      <c r="Z228" s="194"/>
    </row>
    <row r="229" spans="1:26" ht="15" customHeight="1" x14ac:dyDescent="0.2">
      <c r="A229" s="196"/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194"/>
      <c r="Z229" s="194"/>
    </row>
    <row r="230" spans="1:26" ht="15" customHeight="1" x14ac:dyDescent="0.2">
      <c r="A230" s="196"/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</row>
    <row r="231" spans="1:26" ht="15" customHeight="1" x14ac:dyDescent="0.2">
      <c r="A231" s="196"/>
      <c r="B231" s="194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  <c r="Z231" s="194"/>
    </row>
    <row r="232" spans="1:26" ht="15" customHeight="1" x14ac:dyDescent="0.2">
      <c r="A232" s="196"/>
      <c r="B232" s="194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  <c r="Z232" s="194"/>
    </row>
    <row r="233" spans="1:26" ht="15" customHeight="1" x14ac:dyDescent="0.2">
      <c r="A233" s="196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194"/>
      <c r="Z233" s="194"/>
    </row>
    <row r="234" spans="1:26" ht="15" customHeight="1" x14ac:dyDescent="0.2">
      <c r="A234" s="196"/>
      <c r="B234" s="194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  <c r="Z234" s="194"/>
    </row>
    <row r="235" spans="1:26" ht="15" customHeight="1" x14ac:dyDescent="0.2">
      <c r="A235" s="196"/>
      <c r="B235" s="194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194"/>
      <c r="Z235" s="194"/>
    </row>
    <row r="236" spans="1:26" ht="15" customHeight="1" x14ac:dyDescent="0.2">
      <c r="A236" s="196"/>
      <c r="B236" s="194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  <c r="Z236" s="194"/>
    </row>
    <row r="237" spans="1:26" ht="15" customHeight="1" x14ac:dyDescent="0.2">
      <c r="A237" s="196"/>
      <c r="B237" s="194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  <c r="Z237" s="194"/>
    </row>
    <row r="238" spans="1:26" ht="15" customHeight="1" x14ac:dyDescent="0.2">
      <c r="A238" s="196"/>
      <c r="B238" s="194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  <c r="Z238" s="194"/>
    </row>
    <row r="239" spans="1:26" ht="15" customHeight="1" x14ac:dyDescent="0.2">
      <c r="A239" s="196"/>
      <c r="B239" s="194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</row>
    <row r="240" spans="1:26" ht="15" customHeight="1" x14ac:dyDescent="0.2">
      <c r="A240" s="196"/>
      <c r="B240" s="194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  <c r="Z240" s="194"/>
    </row>
  </sheetData>
  <mergeCells count="612">
    <mergeCell ref="B177:E177"/>
    <mergeCell ref="B164:E164"/>
    <mergeCell ref="B173:E173"/>
    <mergeCell ref="F166:J166"/>
    <mergeCell ref="O163:P163"/>
    <mergeCell ref="O165:P165"/>
    <mergeCell ref="O164:P164"/>
    <mergeCell ref="F165:J165"/>
    <mergeCell ref="F171:J171"/>
    <mergeCell ref="K163:N163"/>
    <mergeCell ref="K165:N165"/>
    <mergeCell ref="O169:P169"/>
    <mergeCell ref="B176:E176"/>
    <mergeCell ref="K158:N158"/>
    <mergeCell ref="O175:P175"/>
    <mergeCell ref="D29:E29"/>
    <mergeCell ref="F29:G29"/>
    <mergeCell ref="H29:I29"/>
    <mergeCell ref="J29:K29"/>
    <mergeCell ref="L29:M29"/>
    <mergeCell ref="N29:O29"/>
    <mergeCell ref="P29:Q29"/>
    <mergeCell ref="B97:E97"/>
    <mergeCell ref="B153:E153"/>
    <mergeCell ref="B148:E148"/>
    <mergeCell ref="Q164:R164"/>
    <mergeCell ref="B108:E108"/>
    <mergeCell ref="O162:P162"/>
    <mergeCell ref="Q156:R156"/>
    <mergeCell ref="Q155:R155"/>
    <mergeCell ref="B155:E155"/>
    <mergeCell ref="B149:E149"/>
    <mergeCell ref="F150:J150"/>
    <mergeCell ref="B151:E151"/>
    <mergeCell ref="B162:E162"/>
    <mergeCell ref="O159:P159"/>
    <mergeCell ref="B160:E160"/>
    <mergeCell ref="F169:J169"/>
    <mergeCell ref="U177:V177"/>
    <mergeCell ref="U173:V173"/>
    <mergeCell ref="O177:P177"/>
    <mergeCell ref="F176:J176"/>
    <mergeCell ref="S176:T176"/>
    <mergeCell ref="O174:P174"/>
    <mergeCell ref="K169:N169"/>
    <mergeCell ref="S177:T177"/>
    <mergeCell ref="F170:J170"/>
    <mergeCell ref="Q169:R169"/>
    <mergeCell ref="K176:N176"/>
    <mergeCell ref="K174:N174"/>
    <mergeCell ref="S175:T175"/>
    <mergeCell ref="U175:V175"/>
    <mergeCell ref="B1:Y1"/>
    <mergeCell ref="K168:N168"/>
    <mergeCell ref="Q22:S22"/>
    <mergeCell ref="O147:P147"/>
    <mergeCell ref="B138:E138"/>
    <mergeCell ref="Q147:R147"/>
    <mergeCell ref="K167:N167"/>
    <mergeCell ref="V99:W99"/>
    <mergeCell ref="R110:S110"/>
    <mergeCell ref="T110:U110"/>
    <mergeCell ref="V110:W110"/>
    <mergeCell ref="B140:E140"/>
    <mergeCell ref="V103:W103"/>
    <mergeCell ref="H5:Y5"/>
    <mergeCell ref="X132:Y132"/>
    <mergeCell ref="R141:S141"/>
    <mergeCell ref="N20:P20"/>
    <mergeCell ref="N19:P19"/>
    <mergeCell ref="H22:J22"/>
    <mergeCell ref="H19:J19"/>
    <mergeCell ref="B5:C5"/>
    <mergeCell ref="K21:M21"/>
    <mergeCell ref="H16:K16"/>
    <mergeCell ref="X102:Y102"/>
    <mergeCell ref="F178:J178"/>
    <mergeCell ref="K166:N166"/>
    <mergeCell ref="H15:K15"/>
    <mergeCell ref="B175:E175"/>
    <mergeCell ref="R133:S133"/>
    <mergeCell ref="T133:U133"/>
    <mergeCell ref="B146:Y146"/>
    <mergeCell ref="T127:U127"/>
    <mergeCell ref="V127:W127"/>
    <mergeCell ref="R135:S135"/>
    <mergeCell ref="T135:U135"/>
    <mergeCell ref="X142:Y142"/>
    <mergeCell ref="T128:U128"/>
    <mergeCell ref="V128:W128"/>
    <mergeCell ref="B112:E112"/>
    <mergeCell ref="N26:O26"/>
    <mergeCell ref="P26:Q26"/>
    <mergeCell ref="X100:Y100"/>
    <mergeCell ref="V137:W137"/>
    <mergeCell ref="B111:E111"/>
    <mergeCell ref="B25:C25"/>
    <mergeCell ref="H20:J20"/>
    <mergeCell ref="V118:W118"/>
    <mergeCell ref="V124:W124"/>
    <mergeCell ref="B180:Y180"/>
    <mergeCell ref="B143:E143"/>
    <mergeCell ref="U170:V170"/>
    <mergeCell ref="X119:Y119"/>
    <mergeCell ref="O148:P148"/>
    <mergeCell ref="U163:V163"/>
    <mergeCell ref="O166:P166"/>
    <mergeCell ref="Q166:R166"/>
    <mergeCell ref="R104:S104"/>
    <mergeCell ref="O168:P168"/>
    <mergeCell ref="B159:E159"/>
    <mergeCell ref="W148:Y148"/>
    <mergeCell ref="B167:E167"/>
    <mergeCell ref="B161:E161"/>
    <mergeCell ref="S171:T171"/>
    <mergeCell ref="R107:S107"/>
    <mergeCell ref="S156:T156"/>
    <mergeCell ref="B158:E158"/>
    <mergeCell ref="V129:W129"/>
    <mergeCell ref="T134:U134"/>
    <mergeCell ref="S155:T155"/>
    <mergeCell ref="K156:N156"/>
    <mergeCell ref="U155:V155"/>
    <mergeCell ref="V121:W121"/>
    <mergeCell ref="B106:E106"/>
    <mergeCell ref="P27:Q27"/>
    <mergeCell ref="R27:S27"/>
    <mergeCell ref="B28:C28"/>
    <mergeCell ref="B109:E109"/>
    <mergeCell ref="X118:Y118"/>
    <mergeCell ref="B120:E120"/>
    <mergeCell ref="N21:P21"/>
    <mergeCell ref="X95:Y95"/>
    <mergeCell ref="B117:Y117"/>
    <mergeCell ref="X97:Y97"/>
    <mergeCell ref="B19:D22"/>
    <mergeCell ref="N22:P22"/>
    <mergeCell ref="R94:S94"/>
    <mergeCell ref="V102:W102"/>
    <mergeCell ref="R100:S100"/>
    <mergeCell ref="T100:U100"/>
    <mergeCell ref="T94:U94"/>
    <mergeCell ref="T107:U107"/>
    <mergeCell ref="T29:U29"/>
    <mergeCell ref="V29:W29"/>
    <mergeCell ref="X29:Y29"/>
    <mergeCell ref="X96:Y96"/>
    <mergeCell ref="B29:C29"/>
    <mergeCell ref="B96:E96"/>
    <mergeCell ref="B26:C26"/>
    <mergeCell ref="D26:E26"/>
    <mergeCell ref="B93:Y93"/>
    <mergeCell ref="E19:G19"/>
    <mergeCell ref="V94:W94"/>
    <mergeCell ref="B95:E95"/>
    <mergeCell ref="X98:Y98"/>
    <mergeCell ref="B104:E104"/>
    <mergeCell ref="B27:C27"/>
    <mergeCell ref="V100:W100"/>
    <mergeCell ref="B14:F17"/>
    <mergeCell ref="X27:Y27"/>
    <mergeCell ref="U158:V158"/>
    <mergeCell ref="O161:P161"/>
    <mergeCell ref="U168:V168"/>
    <mergeCell ref="W159:Y159"/>
    <mergeCell ref="L14:O14"/>
    <mergeCell ref="F152:J152"/>
    <mergeCell ref="R105:S105"/>
    <mergeCell ref="T105:U105"/>
    <mergeCell ref="V134:W134"/>
    <mergeCell ref="T99:U99"/>
    <mergeCell ref="X134:Y134"/>
    <mergeCell ref="V109:W109"/>
    <mergeCell ref="R120:S120"/>
    <mergeCell ref="B31:Y31"/>
    <mergeCell ref="J25:K25"/>
    <mergeCell ref="V120:W120"/>
    <mergeCell ref="D28:E28"/>
    <mergeCell ref="L25:M25"/>
    <mergeCell ref="V113:W113"/>
    <mergeCell ref="X113:Y113"/>
    <mergeCell ref="V26:W26"/>
    <mergeCell ref="U159:V159"/>
    <mergeCell ref="D4:G4"/>
    <mergeCell ref="X139:Y139"/>
    <mergeCell ref="T101:U101"/>
    <mergeCell ref="V101:W101"/>
    <mergeCell ref="F147:J147"/>
    <mergeCell ref="X111:Y111"/>
    <mergeCell ref="R25:S25"/>
    <mergeCell ref="T25:U25"/>
    <mergeCell ref="K12:P12"/>
    <mergeCell ref="L17:O17"/>
    <mergeCell ref="U14:Y17"/>
    <mergeCell ref="R112:S112"/>
    <mergeCell ref="R106:S106"/>
    <mergeCell ref="X122:Y122"/>
    <mergeCell ref="B101:E101"/>
    <mergeCell ref="T136:U136"/>
    <mergeCell ref="X124:Y124"/>
    <mergeCell ref="V139:W139"/>
    <mergeCell ref="X121:Y121"/>
    <mergeCell ref="T95:U95"/>
    <mergeCell ref="V95:W95"/>
    <mergeCell ref="B107:E107"/>
    <mergeCell ref="T106:U106"/>
    <mergeCell ref="R114:S114"/>
    <mergeCell ref="W177:Y177"/>
    <mergeCell ref="B119:E119"/>
    <mergeCell ref="W164:Y164"/>
    <mergeCell ref="Q172:R172"/>
    <mergeCell ref="R127:S127"/>
    <mergeCell ref="B127:E127"/>
    <mergeCell ref="T120:U120"/>
    <mergeCell ref="U174:V174"/>
    <mergeCell ref="K148:N148"/>
    <mergeCell ref="W173:Y173"/>
    <mergeCell ref="B169:E169"/>
    <mergeCell ref="W165:Y165"/>
    <mergeCell ref="Q159:R159"/>
    <mergeCell ref="X128:Y128"/>
    <mergeCell ref="B134:E134"/>
    <mergeCell ref="B121:E121"/>
    <mergeCell ref="W166:Y166"/>
    <mergeCell ref="O167:P167"/>
    <mergeCell ref="B130:E130"/>
    <mergeCell ref="U171:V171"/>
    <mergeCell ref="R125:S125"/>
    <mergeCell ref="W175:Y175"/>
    <mergeCell ref="W162:Y162"/>
    <mergeCell ref="Q170:R170"/>
    <mergeCell ref="T21:V21"/>
    <mergeCell ref="R128:S128"/>
    <mergeCell ref="W167:Y167"/>
    <mergeCell ref="F163:J163"/>
    <mergeCell ref="Q162:R162"/>
    <mergeCell ref="Q157:R157"/>
    <mergeCell ref="S157:T157"/>
    <mergeCell ref="S151:T151"/>
    <mergeCell ref="U150:V150"/>
    <mergeCell ref="U152:V152"/>
    <mergeCell ref="W158:Y158"/>
    <mergeCell ref="U165:V165"/>
    <mergeCell ref="U161:V161"/>
    <mergeCell ref="W161:Y161"/>
    <mergeCell ref="K159:N159"/>
    <mergeCell ref="O151:P151"/>
    <mergeCell ref="O156:P156"/>
    <mergeCell ref="X131:Y131"/>
    <mergeCell ref="R143:S143"/>
    <mergeCell ref="O153:P153"/>
    <mergeCell ref="Q153:R153"/>
    <mergeCell ref="U151:V151"/>
    <mergeCell ref="V131:W131"/>
    <mergeCell ref="W149:Y149"/>
    <mergeCell ref="Q21:S21"/>
    <mergeCell ref="S172:T172"/>
    <mergeCell ref="W169:Y169"/>
    <mergeCell ref="Q167:R167"/>
    <mergeCell ref="Q161:R161"/>
    <mergeCell ref="W174:Y174"/>
    <mergeCell ref="Q165:R165"/>
    <mergeCell ref="B7:Y7"/>
    <mergeCell ref="X143:Y143"/>
    <mergeCell ref="S147:T147"/>
    <mergeCell ref="U169:V169"/>
    <mergeCell ref="B171:E171"/>
    <mergeCell ref="T28:U28"/>
    <mergeCell ref="K161:N161"/>
    <mergeCell ref="F148:J148"/>
    <mergeCell ref="F161:J161"/>
    <mergeCell ref="K149:N149"/>
    <mergeCell ref="X138:Y138"/>
    <mergeCell ref="V111:W111"/>
    <mergeCell ref="V142:W142"/>
    <mergeCell ref="V108:W108"/>
    <mergeCell ref="X133:Y133"/>
    <mergeCell ref="X108:Y108"/>
    <mergeCell ref="B136:E136"/>
    <mergeCell ref="D27:E27"/>
    <mergeCell ref="F159:J159"/>
    <mergeCell ref="J26:K26"/>
    <mergeCell ref="T123:U123"/>
    <mergeCell ref="L26:M26"/>
    <mergeCell ref="P15:S15"/>
    <mergeCell ref="B2:Y2"/>
    <mergeCell ref="R103:S103"/>
    <mergeCell ref="T103:U103"/>
    <mergeCell ref="T97:U97"/>
    <mergeCell ref="B133:E133"/>
    <mergeCell ref="V97:W97"/>
    <mergeCell ref="V96:W96"/>
    <mergeCell ref="X125:Y125"/>
    <mergeCell ref="B135:E135"/>
    <mergeCell ref="V98:W98"/>
    <mergeCell ref="X127:Y127"/>
    <mergeCell ref="K19:M19"/>
    <mergeCell ref="O158:P158"/>
    <mergeCell ref="R129:S129"/>
    <mergeCell ref="T129:U129"/>
    <mergeCell ref="R121:S121"/>
    <mergeCell ref="R131:S131"/>
    <mergeCell ref="T131:U131"/>
    <mergeCell ref="B123:E123"/>
    <mergeCell ref="B110:E110"/>
    <mergeCell ref="K175:N175"/>
    <mergeCell ref="K162:N162"/>
    <mergeCell ref="R142:S142"/>
    <mergeCell ref="T142:U142"/>
    <mergeCell ref="B141:E141"/>
    <mergeCell ref="K164:N164"/>
    <mergeCell ref="R126:S126"/>
    <mergeCell ref="T119:U119"/>
    <mergeCell ref="Q175:R175"/>
    <mergeCell ref="T121:U121"/>
    <mergeCell ref="F174:J174"/>
    <mergeCell ref="F168:J168"/>
    <mergeCell ref="F167:J167"/>
    <mergeCell ref="U149:V149"/>
    <mergeCell ref="V126:W126"/>
    <mergeCell ref="B114:E114"/>
    <mergeCell ref="B139:E139"/>
    <mergeCell ref="S154:T154"/>
    <mergeCell ref="O150:P150"/>
    <mergeCell ref="S149:T149"/>
    <mergeCell ref="O152:P152"/>
    <mergeCell ref="R136:S136"/>
    <mergeCell ref="Q178:R178"/>
    <mergeCell ref="S178:T178"/>
    <mergeCell ref="Q163:R163"/>
    <mergeCell ref="L27:M27"/>
    <mergeCell ref="N27:O27"/>
    <mergeCell ref="B128:E128"/>
    <mergeCell ref="K177:N177"/>
    <mergeCell ref="O178:P178"/>
    <mergeCell ref="V130:W130"/>
    <mergeCell ref="Q174:R174"/>
    <mergeCell ref="Q168:R168"/>
    <mergeCell ref="S168:T168"/>
    <mergeCell ref="K155:N155"/>
    <mergeCell ref="V132:W132"/>
    <mergeCell ref="O171:P171"/>
    <mergeCell ref="W171:Y171"/>
    <mergeCell ref="U172:V172"/>
    <mergeCell ref="Q176:R176"/>
    <mergeCell ref="K178:N178"/>
    <mergeCell ref="X114:Y114"/>
    <mergeCell ref="K170:N170"/>
    <mergeCell ref="W154:Y154"/>
    <mergeCell ref="O149:P149"/>
    <mergeCell ref="Q149:R149"/>
    <mergeCell ref="Q177:R177"/>
    <mergeCell ref="W157:Y157"/>
    <mergeCell ref="X112:Y112"/>
    <mergeCell ref="B122:E122"/>
    <mergeCell ref="V123:W123"/>
    <mergeCell ref="F153:J153"/>
    <mergeCell ref="F177:J177"/>
    <mergeCell ref="F164:J164"/>
    <mergeCell ref="B129:E129"/>
    <mergeCell ref="K152:N152"/>
    <mergeCell ref="B156:E156"/>
    <mergeCell ref="T132:U132"/>
    <mergeCell ref="S160:T160"/>
    <mergeCell ref="B131:E131"/>
    <mergeCell ref="U160:V160"/>
    <mergeCell ref="U147:V147"/>
    <mergeCell ref="O154:P154"/>
    <mergeCell ref="S169:T169"/>
    <mergeCell ref="K172:N172"/>
    <mergeCell ref="V143:W143"/>
    <mergeCell ref="S163:T163"/>
    <mergeCell ref="S150:T150"/>
    <mergeCell ref="K151:N151"/>
    <mergeCell ref="F175:J175"/>
    <mergeCell ref="H14:K14"/>
    <mergeCell ref="V105:W105"/>
    <mergeCell ref="R99:S99"/>
    <mergeCell ref="E20:G20"/>
    <mergeCell ref="S167:T167"/>
    <mergeCell ref="Q19:S19"/>
    <mergeCell ref="K157:N157"/>
    <mergeCell ref="K22:M22"/>
    <mergeCell ref="R137:S137"/>
    <mergeCell ref="T137:U137"/>
    <mergeCell ref="S165:T165"/>
    <mergeCell ref="T124:U124"/>
    <mergeCell ref="R101:S101"/>
    <mergeCell ref="R113:S113"/>
    <mergeCell ref="B24:Y24"/>
    <mergeCell ref="V27:W27"/>
    <mergeCell ref="E21:G21"/>
    <mergeCell ref="V104:W104"/>
    <mergeCell ref="X99:Y99"/>
    <mergeCell ref="X101:Y101"/>
    <mergeCell ref="X110:Y110"/>
    <mergeCell ref="T143:U143"/>
    <mergeCell ref="B113:E113"/>
    <mergeCell ref="V28:W28"/>
    <mergeCell ref="K173:N173"/>
    <mergeCell ref="V138:W138"/>
    <mergeCell ref="R140:S140"/>
    <mergeCell ref="T140:U140"/>
    <mergeCell ref="B170:E170"/>
    <mergeCell ref="W152:Y152"/>
    <mergeCell ref="V133:W133"/>
    <mergeCell ref="S159:T159"/>
    <mergeCell ref="B172:E172"/>
    <mergeCell ref="O170:P170"/>
    <mergeCell ref="B163:E163"/>
    <mergeCell ref="B165:E165"/>
    <mergeCell ref="U162:V162"/>
    <mergeCell ref="B157:E157"/>
    <mergeCell ref="B154:E154"/>
    <mergeCell ref="X137:Y137"/>
    <mergeCell ref="F162:J162"/>
    <mergeCell ref="S173:T173"/>
    <mergeCell ref="V140:W140"/>
    <mergeCell ref="X140:Y140"/>
    <mergeCell ref="X141:Y141"/>
    <mergeCell ref="X135:Y135"/>
    <mergeCell ref="W153:Y153"/>
    <mergeCell ref="Q154:R154"/>
    <mergeCell ref="K11:P11"/>
    <mergeCell ref="S153:T153"/>
    <mergeCell ref="B99:E99"/>
    <mergeCell ref="U153:V153"/>
    <mergeCell ref="V135:W135"/>
    <mergeCell ref="S161:T161"/>
    <mergeCell ref="V122:W122"/>
    <mergeCell ref="O155:P155"/>
    <mergeCell ref="B147:E147"/>
    <mergeCell ref="R102:S102"/>
    <mergeCell ref="T102:U102"/>
    <mergeCell ref="H26:I26"/>
    <mergeCell ref="W150:Y150"/>
    <mergeCell ref="T141:U141"/>
    <mergeCell ref="V141:W141"/>
    <mergeCell ref="B9:I12"/>
    <mergeCell ref="H25:I25"/>
    <mergeCell ref="V136:W136"/>
    <mergeCell ref="X136:Y136"/>
    <mergeCell ref="R95:S95"/>
    <mergeCell ref="B102:E102"/>
    <mergeCell ref="U156:V156"/>
    <mergeCell ref="W147:Y147"/>
    <mergeCell ref="K154:N154"/>
    <mergeCell ref="D5:G5"/>
    <mergeCell ref="U154:V154"/>
    <mergeCell ref="B94:E94"/>
    <mergeCell ref="W156:Y156"/>
    <mergeCell ref="O157:P157"/>
    <mergeCell ref="F158:J158"/>
    <mergeCell ref="K171:N171"/>
    <mergeCell ref="W155:Y155"/>
    <mergeCell ref="O172:P172"/>
    <mergeCell ref="Q150:R150"/>
    <mergeCell ref="B150:E150"/>
    <mergeCell ref="B125:E125"/>
    <mergeCell ref="F160:J160"/>
    <mergeCell ref="W170:Y170"/>
    <mergeCell ref="R26:S26"/>
    <mergeCell ref="W151:Y151"/>
    <mergeCell ref="T26:U26"/>
    <mergeCell ref="Q152:R152"/>
    <mergeCell ref="K10:P10"/>
    <mergeCell ref="B152:E152"/>
    <mergeCell ref="S152:T152"/>
    <mergeCell ref="X104:Y104"/>
    <mergeCell ref="L15:O15"/>
    <mergeCell ref="X106:Y106"/>
    <mergeCell ref="U164:V164"/>
    <mergeCell ref="W172:Y172"/>
    <mergeCell ref="R96:S96"/>
    <mergeCell ref="U157:V157"/>
    <mergeCell ref="X109:Y109"/>
    <mergeCell ref="T139:U139"/>
    <mergeCell ref="V119:W119"/>
    <mergeCell ref="S162:T162"/>
    <mergeCell ref="T130:U130"/>
    <mergeCell ref="Q151:R151"/>
    <mergeCell ref="T122:U122"/>
    <mergeCell ref="S166:T166"/>
    <mergeCell ref="U166:V166"/>
    <mergeCell ref="T138:U138"/>
    <mergeCell ref="X130:Y130"/>
    <mergeCell ref="R138:S138"/>
    <mergeCell ref="U148:V148"/>
    <mergeCell ref="T126:U126"/>
    <mergeCell ref="S164:T164"/>
    <mergeCell ref="S170:T170"/>
    <mergeCell ref="U167:V167"/>
    <mergeCell ref="B178:E178"/>
    <mergeCell ref="R98:S98"/>
    <mergeCell ref="T27:U27"/>
    <mergeCell ref="W163:Y163"/>
    <mergeCell ref="T98:U98"/>
    <mergeCell ref="Q158:R158"/>
    <mergeCell ref="X105:Y105"/>
    <mergeCell ref="X120:Y120"/>
    <mergeCell ref="O160:P160"/>
    <mergeCell ref="R123:S123"/>
    <mergeCell ref="Q160:R160"/>
    <mergeCell ref="X107:Y107"/>
    <mergeCell ref="O176:P176"/>
    <mergeCell ref="R108:S108"/>
    <mergeCell ref="T108:U108"/>
    <mergeCell ref="R124:S124"/>
    <mergeCell ref="W178:Y178"/>
    <mergeCell ref="B166:E166"/>
    <mergeCell ref="B103:E103"/>
    <mergeCell ref="B174:E174"/>
    <mergeCell ref="B168:E168"/>
    <mergeCell ref="U178:V178"/>
    <mergeCell ref="R111:S111"/>
    <mergeCell ref="B118:E118"/>
    <mergeCell ref="W176:Y176"/>
    <mergeCell ref="Q171:R171"/>
    <mergeCell ref="R9:Y12"/>
    <mergeCell ref="X126:Y126"/>
    <mergeCell ref="T19:V19"/>
    <mergeCell ref="F156:J156"/>
    <mergeCell ref="R109:S109"/>
    <mergeCell ref="T109:U109"/>
    <mergeCell ref="O173:P173"/>
    <mergeCell ref="W160:Y160"/>
    <mergeCell ref="Q173:R173"/>
    <mergeCell ref="F155:J155"/>
    <mergeCell ref="F149:J149"/>
    <mergeCell ref="Q148:R148"/>
    <mergeCell ref="S148:T148"/>
    <mergeCell ref="W168:Y168"/>
    <mergeCell ref="U176:V176"/>
    <mergeCell ref="F151:J151"/>
    <mergeCell ref="X129:Y129"/>
    <mergeCell ref="T22:V22"/>
    <mergeCell ref="X94:Y94"/>
    <mergeCell ref="E22:G22"/>
    <mergeCell ref="K9:P9"/>
    <mergeCell ref="N28:O28"/>
    <mergeCell ref="S158:T158"/>
    <mergeCell ref="L16:O16"/>
    <mergeCell ref="J27:K27"/>
    <mergeCell ref="R118:S118"/>
    <mergeCell ref="F154:J154"/>
    <mergeCell ref="T118:U118"/>
    <mergeCell ref="F28:G28"/>
    <mergeCell ref="P28:Q28"/>
    <mergeCell ref="H28:I28"/>
    <mergeCell ref="H17:K17"/>
    <mergeCell ref="T20:V20"/>
    <mergeCell ref="K20:M20"/>
    <mergeCell ref="V114:W114"/>
    <mergeCell ref="H21:J21"/>
    <mergeCell ref="V107:W107"/>
    <mergeCell ref="T96:U96"/>
    <mergeCell ref="V25:W25"/>
    <mergeCell ref="Q20:S20"/>
    <mergeCell ref="P17:S17"/>
    <mergeCell ref="T113:U113"/>
    <mergeCell ref="R134:S134"/>
    <mergeCell ref="R97:S97"/>
    <mergeCell ref="W19:Y22"/>
    <mergeCell ref="P16:S16"/>
    <mergeCell ref="X28:Y28"/>
    <mergeCell ref="K153:N153"/>
    <mergeCell ref="R28:S28"/>
    <mergeCell ref="J28:K28"/>
    <mergeCell ref="L28:M28"/>
    <mergeCell ref="B100:E100"/>
    <mergeCell ref="K150:N150"/>
    <mergeCell ref="D25:E25"/>
    <mergeCell ref="R130:S130"/>
    <mergeCell ref="V125:W125"/>
    <mergeCell ref="N25:O25"/>
    <mergeCell ref="P25:Q25"/>
    <mergeCell ref="B105:E105"/>
    <mergeCell ref="T104:U104"/>
    <mergeCell ref="X123:Y123"/>
    <mergeCell ref="X26:Y26"/>
    <mergeCell ref="B98:E98"/>
    <mergeCell ref="R29:S29"/>
    <mergeCell ref="F27:G27"/>
    <mergeCell ref="R122:S122"/>
    <mergeCell ref="H27:I27"/>
    <mergeCell ref="B142:E142"/>
    <mergeCell ref="B132:E132"/>
    <mergeCell ref="F25:G25"/>
    <mergeCell ref="H4:Y4"/>
    <mergeCell ref="T111:U111"/>
    <mergeCell ref="B4:C4"/>
    <mergeCell ref="R132:S132"/>
    <mergeCell ref="F157:J157"/>
    <mergeCell ref="R119:S119"/>
    <mergeCell ref="S174:T174"/>
    <mergeCell ref="F172:J172"/>
    <mergeCell ref="T125:U125"/>
    <mergeCell ref="K160:N160"/>
    <mergeCell ref="B124:E124"/>
    <mergeCell ref="T112:U112"/>
    <mergeCell ref="K147:N147"/>
    <mergeCell ref="V112:W112"/>
    <mergeCell ref="V106:W106"/>
    <mergeCell ref="P14:S14"/>
    <mergeCell ref="B126:E126"/>
    <mergeCell ref="X103:Y103"/>
    <mergeCell ref="T114:U114"/>
    <mergeCell ref="F173:J173"/>
    <mergeCell ref="F26:G26"/>
    <mergeCell ref="R139:S139"/>
    <mergeCell ref="X25:Y25"/>
    <mergeCell ref="B137:E137"/>
  </mergeCells>
  <conditionalFormatting sqref="B28">
    <cfRule type="expression" dxfId="79" priority="21">
      <formula>RIGHT(B28,1)="▲"</formula>
    </cfRule>
    <cfRule type="expression" dxfId="78" priority="22">
      <formula>RIGHT(B28,1)="✔"</formula>
    </cfRule>
  </conditionalFormatting>
  <conditionalFormatting sqref="D28">
    <cfRule type="expression" dxfId="77" priority="23">
      <formula>RIGHT(D28,1)="▲"</formula>
    </cfRule>
    <cfRule type="expression" dxfId="76" priority="24">
      <formula>RIGHT(D28,1)="✔"</formula>
    </cfRule>
  </conditionalFormatting>
  <conditionalFormatting sqref="E20">
    <cfRule type="expression" dxfId="75" priority="9">
      <formula>AND(ISNUMBER(E20),E20&gt;=105)</formula>
    </cfRule>
    <cfRule type="expression" dxfId="74" priority="10">
      <formula>AND(ISNUMBER(E20),E20&lt;=95)</formula>
    </cfRule>
  </conditionalFormatting>
  <conditionalFormatting sqref="F28">
    <cfRule type="expression" dxfId="73" priority="25">
      <formula>RIGHT(F28,1)="▲"</formula>
    </cfRule>
    <cfRule type="expression" dxfId="72" priority="26">
      <formula>RIGHT(F28,1)="✔"</formula>
    </cfRule>
  </conditionalFormatting>
  <conditionalFormatting sqref="F95:Q114">
    <cfRule type="colorScale" priority="45">
      <colorScale>
        <cfvo type="min"/>
        <cfvo type="percentile" val="50"/>
        <cfvo type="max"/>
        <color rgb="FFE8F6F3"/>
        <color rgb="FFFCF3CF"/>
        <color rgb="FFE74C3C"/>
      </colorScale>
    </cfRule>
  </conditionalFormatting>
  <conditionalFormatting sqref="F119:Q143">
    <cfRule type="colorScale" priority="49">
      <colorScale>
        <cfvo type="min"/>
        <cfvo type="percentile" val="50"/>
        <cfvo type="max"/>
        <color rgb="FFE8F6F3"/>
        <color rgb="FFFCF3CF"/>
        <color rgb="FFE74C3C"/>
      </colorScale>
    </cfRule>
  </conditionalFormatting>
  <conditionalFormatting sqref="H15">
    <cfRule type="expression" dxfId="71" priority="3">
      <formula>AND(ISNUMBER(H15),H15&gt;=105)</formula>
    </cfRule>
    <cfRule type="expression" dxfId="70" priority="4">
      <formula>AND(ISNUMBER(H15),H15&lt;=95)</formula>
    </cfRule>
  </conditionalFormatting>
  <conditionalFormatting sqref="H20">
    <cfRule type="expression" dxfId="69" priority="11">
      <formula>AND(ISNUMBER(H20),H20&gt;=105)</formula>
    </cfRule>
    <cfRule type="expression" dxfId="68" priority="12">
      <formula>AND(ISNUMBER(H20),H20&lt;=95)</formula>
    </cfRule>
  </conditionalFormatting>
  <conditionalFormatting sqref="H28">
    <cfRule type="expression" dxfId="67" priority="28">
      <formula>RIGHT(H28,1)="✔"</formula>
    </cfRule>
    <cfRule type="expression" dxfId="66" priority="27">
      <formula>RIGHT(H28,1)="▲"</formula>
    </cfRule>
  </conditionalFormatting>
  <conditionalFormatting sqref="J28">
    <cfRule type="expression" dxfId="65" priority="30">
      <formula>RIGHT(J28,1)="✔"</formula>
    </cfRule>
    <cfRule type="expression" dxfId="64" priority="29">
      <formula>RIGHT(J28,1)="▲"</formula>
    </cfRule>
  </conditionalFormatting>
  <conditionalFormatting sqref="K10">
    <cfRule type="expression" dxfId="63" priority="1">
      <formula>AND(ISNUMBER(K10),K10&gt;=105)</formula>
    </cfRule>
    <cfRule type="expression" dxfId="62" priority="2">
      <formula>AND(ISNUMBER(K10),K10&lt;=95)</formula>
    </cfRule>
  </conditionalFormatting>
  <conditionalFormatting sqref="K20">
    <cfRule type="expression" dxfId="61" priority="14">
      <formula>AND(ISNUMBER(K20),K20&lt;=95)</formula>
    </cfRule>
    <cfRule type="expression" dxfId="60" priority="13">
      <formula>AND(ISNUMBER(K20),K20&gt;=105)</formula>
    </cfRule>
  </conditionalFormatting>
  <conditionalFormatting sqref="L15">
    <cfRule type="expression" dxfId="59" priority="5">
      <formula>AND(ISNUMBER(L15),L15&gt;=105)</formula>
    </cfRule>
    <cfRule type="expression" dxfId="58" priority="6">
      <formula>AND(ISNUMBER(L15),L15&lt;=95)</formula>
    </cfRule>
  </conditionalFormatting>
  <conditionalFormatting sqref="L28">
    <cfRule type="expression" dxfId="57" priority="31">
      <formula>RIGHT(L28,1)="▲"</formula>
    </cfRule>
    <cfRule type="expression" dxfId="56" priority="32">
      <formula>RIGHT(L28,1)="✔"</formula>
    </cfRule>
  </conditionalFormatting>
  <conditionalFormatting sqref="N20">
    <cfRule type="expression" dxfId="55" priority="15">
      <formula>AND(ISNUMBER(N20),N20&gt;=105)</formula>
    </cfRule>
    <cfRule type="expression" dxfId="54" priority="16">
      <formula>AND(ISNUMBER(N20),N20&lt;=95)</formula>
    </cfRule>
  </conditionalFormatting>
  <conditionalFormatting sqref="N28">
    <cfRule type="expression" dxfId="53" priority="33">
      <formula>RIGHT(N28,1)="▲"</formula>
    </cfRule>
    <cfRule type="expression" dxfId="52" priority="34">
      <formula>RIGHT(N28,1)="✔"</formula>
    </cfRule>
  </conditionalFormatting>
  <conditionalFormatting sqref="P15">
    <cfRule type="expression" dxfId="51" priority="8">
      <formula>AND(ISNUMBER(P15),P15&lt;=95)</formula>
    </cfRule>
    <cfRule type="expression" dxfId="50" priority="7">
      <formula>AND(ISNUMBER(P15),P15&gt;=105)</formula>
    </cfRule>
  </conditionalFormatting>
  <conditionalFormatting sqref="P28">
    <cfRule type="expression" dxfId="49" priority="35">
      <formula>RIGHT(P28,1)="▲"</formula>
    </cfRule>
    <cfRule type="expression" dxfId="48" priority="36">
      <formula>RIGHT(P28,1)="✔"</formula>
    </cfRule>
  </conditionalFormatting>
  <conditionalFormatting sqref="Q20">
    <cfRule type="expression" dxfId="47" priority="18">
      <formula>AND(ISNUMBER(Q20),Q20&lt;=95)</formula>
    </cfRule>
    <cfRule type="expression" dxfId="46" priority="17">
      <formula>AND(ISNUMBER(Q20),Q20&gt;=105)</formula>
    </cfRule>
  </conditionalFormatting>
  <conditionalFormatting sqref="R28">
    <cfRule type="expression" dxfId="45" priority="37">
      <formula>RIGHT(R28,1)="▲"</formula>
    </cfRule>
    <cfRule type="expression" dxfId="44" priority="38">
      <formula>RIGHT(R28,1)="✔"</formula>
    </cfRule>
  </conditionalFormatting>
  <conditionalFormatting sqref="T20">
    <cfRule type="expression" dxfId="43" priority="20">
      <formula>AND(ISNUMBER(T20),T20&lt;=95)</formula>
    </cfRule>
    <cfRule type="expression" dxfId="42" priority="19">
      <formula>AND(ISNUMBER(T20),T20&gt;=105)</formula>
    </cfRule>
  </conditionalFormatting>
  <conditionalFormatting sqref="T28">
    <cfRule type="expression" dxfId="41" priority="39">
      <formula>RIGHT(T28,1)="▲"</formula>
    </cfRule>
    <cfRule type="expression" dxfId="40" priority="40">
      <formula>RIGHT(T28,1)="✔"</formula>
    </cfRule>
  </conditionalFormatting>
  <conditionalFormatting sqref="V28">
    <cfRule type="expression" dxfId="39" priority="41">
      <formula>RIGHT(V28,1)="▲"</formula>
    </cfRule>
    <cfRule type="expression" dxfId="38" priority="42">
      <formula>RIGHT(V28,1)="✔"</formula>
    </cfRule>
  </conditionalFormatting>
  <conditionalFormatting sqref="V95:V114">
    <cfRule type="expression" dxfId="37" priority="46">
      <formula>AND(ISNUMBER(V95),V95&gt;0.1)</formula>
    </cfRule>
    <cfRule type="expression" dxfId="36" priority="47">
      <formula>AND(ISNUMBER(V95),V95&lt;-0.1)</formula>
    </cfRule>
  </conditionalFormatting>
  <conditionalFormatting sqref="V119:V143">
    <cfRule type="expression" dxfId="35" priority="50">
      <formula>AND(ISNUMBER(V119),V119&gt;0.1)</formula>
    </cfRule>
    <cfRule type="expression" dxfId="34" priority="51">
      <formula>AND(ISNUMBER(V119),V119&lt;-0.1)</formula>
    </cfRule>
  </conditionalFormatting>
  <conditionalFormatting sqref="W148:W178">
    <cfRule type="expression" dxfId="33" priority="55">
      <formula>LEFT(W148,1)="●"</formula>
    </cfRule>
    <cfRule type="expression" dxfId="32" priority="53">
      <formula>LEFT(W148,1)="▲"</formula>
    </cfRule>
    <cfRule type="expression" dxfId="31" priority="54">
      <formula>LEFT(W148,1)="✔"</formula>
    </cfRule>
  </conditionalFormatting>
  <conditionalFormatting sqref="X28">
    <cfRule type="expression" dxfId="30" priority="44">
      <formula>RIGHT(X28,1)="✔"</formula>
    </cfRule>
    <cfRule type="expression" dxfId="29" priority="43">
      <formula>RIGHT(X28,1)="▲"</formula>
    </cfRule>
  </conditionalFormatting>
  <conditionalFormatting sqref="X95:X114">
    <cfRule type="dataBar" priority="48">
      <dataBar>
        <cfvo type="num" val="0"/>
        <cfvo type="max"/>
        <color rgb="FFC9A227"/>
      </dataBar>
    </cfRule>
  </conditionalFormatting>
  <conditionalFormatting sqref="X119:X143">
    <cfRule type="dataBar" priority="52">
      <dataBar>
        <cfvo type="num" val="0"/>
        <cfvo type="max"/>
        <color rgb="FFC9A227"/>
      </dataBar>
    </cfRule>
  </conditionalFormatting>
  <hyperlinks>
    <hyperlink ref="A5" location="'FM_Dashboard'!A1" display="   FM Dashboard" xr:uid="{00000000-0004-0000-0100-000000000000}"/>
    <hyperlink ref="A7" location="'PerCapita_Pyramid'!A1" display="▶ Per-Capita Pyramid" xr:uid="{00000000-0004-0000-0100-000001000000}"/>
    <hyperlink ref="A9" location="'Monthly KPI Report'!A1" display="   Monthly KPI" xr:uid="{00000000-0004-0000-0100-000002000000}"/>
    <hyperlink ref="A11" location="'Complaints summary'!A1" display="   Complaints" xr:uid="{00000000-0004-0000-0100-000003000000}"/>
    <hyperlink ref="A13" location="'Building wise water'!A1" display="   Water - Bldg" xr:uid="{00000000-0004-0000-0100-000004000000}"/>
    <hyperlink ref="A15" location="'LPCD'!A1" display="   LPCD" xr:uid="{00000000-0004-0000-0100-000005000000}"/>
    <hyperlink ref="A17" location="'WQ'!A1" display="   Water Quality" xr:uid="{00000000-0004-0000-0100-000006000000}"/>
    <hyperlink ref="A19" location="'Power data'!A1" display="   Power" xr:uid="{00000000-0004-0000-0100-000007000000}"/>
    <hyperlink ref="A21" location="'EPI'!A1" display="   EPI" xr:uid="{00000000-0004-0000-0100-000008000000}"/>
    <hyperlink ref="A23" location="'Power Building wise'!A1" display="   Power - Bldg" xr:uid="{00000000-0004-0000-0100-000009000000}"/>
    <hyperlink ref="A25" location="'Solar Power'!A1" display="   Solar" xr:uid="{00000000-0004-0000-0100-00000A000000}"/>
    <hyperlink ref="A27" location="'HVAC consumption'!A1" display="   HVAC" xr:uid="{00000000-0004-0000-0100-00000B000000}"/>
    <hyperlink ref="A29" location="'DG Units Generated'!A1" display="   DG / Outages" xr:uid="{00000000-0004-0000-0100-00000C000000}"/>
    <hyperlink ref="A31" location="'Technical manpower cost'!A1" display="   Tech Manpower" xr:uid="{00000000-0004-0000-0100-00000D000000}"/>
    <hyperlink ref="A33" location="'Attendance'!A1" display="   Attendance" xr:uid="{00000000-0004-0000-0100-00000E000000}"/>
    <hyperlink ref="A35" location="'Building_Master'!A1" display="   Building Master" xr:uid="{00000000-0004-0000-0100-00000F000000}"/>
    <hyperlink ref="A37" location="'MIS_Calc'!A1" display="   Calc engine" xr:uid="{00000000-0004-0000-0100-000010000000}"/>
  </hyperlinks>
  <pageMargins left="0.75" right="0.75" top="1" bottom="1" header="0.5" footer="0.5"/>
  <pageSetup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MIS_Calc!$E$3:$E$15</xm:f>
          </x14:formula1>
          <xm:sqref>D5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B7185"/>
    <pageSetUpPr fitToPage="1"/>
  </sheetPr>
  <dimension ref="A1:S30"/>
  <sheetViews>
    <sheetView showGridLines="0" zoomScale="90" workbookViewId="0">
      <pane xSplit="2" ySplit="4" topLeftCell="C9" activePane="bottomRight" state="frozen"/>
      <selection pane="topRight"/>
      <selection pane="bottomLeft"/>
      <selection pane="bottomRight" activeCell="G15" sqref="G15"/>
    </sheetView>
  </sheetViews>
  <sheetFormatPr defaultRowHeight="14.25" x14ac:dyDescent="0.2"/>
  <cols>
    <col min="1" max="1" width="2" style="3" customWidth="1"/>
    <col min="2" max="2" width="15" customWidth="1"/>
    <col min="3" max="3" width="13" style="3" customWidth="1"/>
    <col min="4" max="6" width="13" customWidth="1"/>
    <col min="7" max="7" width="12" customWidth="1"/>
    <col min="8" max="8" width="12" style="3" customWidth="1"/>
    <col min="9" max="9" width="10" customWidth="1"/>
    <col min="10" max="10" width="14" style="3" customWidth="1"/>
    <col min="11" max="11" width="3" style="3" customWidth="1"/>
    <col min="12" max="14" width="11" customWidth="1"/>
    <col min="15" max="15" width="18" customWidth="1"/>
    <col min="16" max="17" width="14" customWidth="1"/>
    <col min="18" max="19" width="9" style="3" customWidth="1"/>
  </cols>
  <sheetData>
    <row r="1" spans="1:17" ht="33.950000000000003" customHeight="1" x14ac:dyDescent="0.2">
      <c r="A1" s="427" t="s">
        <v>190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  <c r="Q1" s="428"/>
    </row>
    <row r="2" spans="1:17" ht="20.100000000000001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30" customHeight="1" x14ac:dyDescent="0.2">
      <c r="A3" s="11"/>
      <c r="B3" s="424" t="s">
        <v>191</v>
      </c>
      <c r="C3" s="424" t="s">
        <v>192</v>
      </c>
      <c r="D3" s="424" t="s">
        <v>193</v>
      </c>
      <c r="E3" s="426"/>
      <c r="F3" s="424" t="s">
        <v>194</v>
      </c>
      <c r="G3" s="424" t="s">
        <v>195</v>
      </c>
      <c r="H3" s="424" t="s">
        <v>196</v>
      </c>
      <c r="I3" s="424" t="s">
        <v>197</v>
      </c>
      <c r="J3" s="424" t="s">
        <v>198</v>
      </c>
      <c r="K3" s="11"/>
      <c r="L3" s="11"/>
      <c r="M3" s="11"/>
      <c r="N3" s="11"/>
      <c r="O3" s="11"/>
      <c r="P3" s="11"/>
      <c r="Q3" s="11"/>
    </row>
    <row r="4" spans="1:17" ht="30" customHeight="1" x14ac:dyDescent="0.2">
      <c r="A4" s="11"/>
      <c r="B4" s="425"/>
      <c r="C4" s="425"/>
      <c r="D4" s="4" t="s">
        <v>199</v>
      </c>
      <c r="E4" s="4" t="s">
        <v>200</v>
      </c>
      <c r="F4" s="425"/>
      <c r="G4" s="425"/>
      <c r="H4" s="425"/>
      <c r="I4" s="425"/>
      <c r="J4" s="425"/>
      <c r="K4" s="11"/>
      <c r="L4" s="11"/>
      <c r="M4" s="11"/>
      <c r="N4" s="11"/>
      <c r="O4" s="11"/>
      <c r="P4" s="11"/>
      <c r="Q4" s="11"/>
    </row>
    <row r="5" spans="1:17" ht="20.100000000000001" customHeight="1" x14ac:dyDescent="0.2">
      <c r="A5" s="11"/>
      <c r="B5" s="12" t="s">
        <v>201</v>
      </c>
      <c r="C5" s="13">
        <v>156.75</v>
      </c>
      <c r="D5" s="13">
        <v>46.5</v>
      </c>
      <c r="E5" s="13">
        <v>110.25</v>
      </c>
      <c r="F5" s="13">
        <v>155</v>
      </c>
      <c r="G5" s="14">
        <f t="shared" ref="G5:G19" si="0">IF(OR(C5="",C5=0),"",D5/C5)</f>
        <v>0.29665071770334928</v>
      </c>
      <c r="H5" s="14">
        <f t="shared" ref="H5:H19" si="1">IF(OR(C5="",C5=0),"",E5/C5)</f>
        <v>0.70334928229665072</v>
      </c>
      <c r="I5" s="15">
        <v>0</v>
      </c>
      <c r="J5" s="16">
        <v>5.1271825396825399</v>
      </c>
      <c r="K5" s="11"/>
      <c r="L5" s="11"/>
      <c r="M5" s="11"/>
      <c r="N5" s="11"/>
      <c r="O5" s="11"/>
      <c r="P5" s="11"/>
      <c r="Q5" s="11"/>
    </row>
    <row r="6" spans="1:17" x14ac:dyDescent="0.2">
      <c r="A6" s="11"/>
      <c r="B6" s="12" t="s">
        <v>145</v>
      </c>
      <c r="C6" s="13">
        <v>144.583333333333</v>
      </c>
      <c r="D6" s="13">
        <v>1.6666666666666701</v>
      </c>
      <c r="E6" s="13">
        <v>142.916666666667</v>
      </c>
      <c r="F6" s="13">
        <v>142.5</v>
      </c>
      <c r="G6" s="14">
        <f t="shared" si="0"/>
        <v>1.1527377521613882E-2</v>
      </c>
      <c r="H6" s="14">
        <f t="shared" si="1"/>
        <v>0.98847262247839074</v>
      </c>
      <c r="I6" s="15">
        <v>0</v>
      </c>
      <c r="J6" s="16">
        <v>4.6639784946236604</v>
      </c>
      <c r="K6" s="11"/>
      <c r="L6" s="11"/>
      <c r="M6" s="11"/>
      <c r="N6" s="11"/>
      <c r="O6" s="11"/>
      <c r="P6" s="11"/>
      <c r="Q6" s="11"/>
    </row>
    <row r="7" spans="1:17" x14ac:dyDescent="0.2">
      <c r="A7" s="11"/>
      <c r="B7" s="12" t="s">
        <v>139</v>
      </c>
      <c r="C7" s="13">
        <v>85</v>
      </c>
      <c r="D7" s="13">
        <v>2</v>
      </c>
      <c r="E7" s="13">
        <v>83</v>
      </c>
      <c r="F7" s="13">
        <v>85</v>
      </c>
      <c r="G7" s="14">
        <f t="shared" si="0"/>
        <v>2.3529411764705882E-2</v>
      </c>
      <c r="H7" s="14">
        <f t="shared" si="1"/>
        <v>0.97647058823529409</v>
      </c>
      <c r="I7" s="15">
        <v>0</v>
      </c>
      <c r="J7" s="16">
        <v>2.77150537634409</v>
      </c>
      <c r="K7" s="11"/>
      <c r="L7" s="11"/>
      <c r="M7" s="11"/>
      <c r="N7" s="11"/>
      <c r="O7" s="11"/>
      <c r="P7" s="11"/>
      <c r="Q7" s="11"/>
    </row>
    <row r="8" spans="1:17" x14ac:dyDescent="0.2">
      <c r="A8" s="11"/>
      <c r="B8" s="17">
        <v>46023</v>
      </c>
      <c r="C8" s="18">
        <v>144</v>
      </c>
      <c r="D8" s="18">
        <v>8</v>
      </c>
      <c r="E8" s="18">
        <v>122</v>
      </c>
      <c r="F8" s="18">
        <v>139</v>
      </c>
      <c r="G8" s="19">
        <f t="shared" si="0"/>
        <v>5.5555555555555552E-2</v>
      </c>
      <c r="H8" s="19">
        <f t="shared" si="1"/>
        <v>0.84722222222222221</v>
      </c>
      <c r="I8" s="18">
        <v>1</v>
      </c>
      <c r="J8" s="20">
        <f t="shared" ref="J8:J19" si="2">IF(C8="","",C8/DAY(EOMONTH(B8,0)))</f>
        <v>4.645161290322581</v>
      </c>
      <c r="K8" s="11"/>
      <c r="L8" s="11"/>
      <c r="M8" s="11"/>
      <c r="N8" s="11"/>
      <c r="O8" s="11"/>
      <c r="P8" s="11"/>
      <c r="Q8" s="11"/>
    </row>
    <row r="9" spans="1:17" x14ac:dyDescent="0.2">
      <c r="A9" s="11"/>
      <c r="B9" s="21">
        <v>46054</v>
      </c>
      <c r="C9" s="22">
        <v>122</v>
      </c>
      <c r="D9" s="22">
        <v>0</v>
      </c>
      <c r="E9" s="22">
        <v>122</v>
      </c>
      <c r="F9" s="22">
        <v>119</v>
      </c>
      <c r="G9" s="23">
        <f t="shared" si="0"/>
        <v>0</v>
      </c>
      <c r="H9" s="23">
        <f t="shared" si="1"/>
        <v>1</v>
      </c>
      <c r="I9" s="22">
        <v>3</v>
      </c>
      <c r="J9" s="24">
        <f t="shared" si="2"/>
        <v>4.3571428571428568</v>
      </c>
      <c r="K9" s="11"/>
      <c r="L9" s="11"/>
      <c r="M9" s="11"/>
      <c r="N9" s="11"/>
      <c r="O9" s="11"/>
      <c r="P9" s="11"/>
      <c r="Q9" s="11"/>
    </row>
    <row r="10" spans="1:17" x14ac:dyDescent="0.2">
      <c r="A10" s="11"/>
      <c r="B10" s="17">
        <v>46082</v>
      </c>
      <c r="C10" s="25"/>
      <c r="D10" s="25"/>
      <c r="E10" s="25"/>
      <c r="F10" s="25"/>
      <c r="G10" s="19" t="str">
        <f t="shared" si="0"/>
        <v/>
      </c>
      <c r="H10" s="19" t="str">
        <f t="shared" si="1"/>
        <v/>
      </c>
      <c r="I10" s="25"/>
      <c r="J10" s="20" t="str">
        <f t="shared" si="2"/>
        <v/>
      </c>
      <c r="K10" s="11"/>
      <c r="L10" s="11"/>
      <c r="M10" s="11"/>
      <c r="N10" s="11"/>
      <c r="O10" s="11"/>
      <c r="P10" s="11"/>
      <c r="Q10" s="11"/>
    </row>
    <row r="11" spans="1:17" x14ac:dyDescent="0.2">
      <c r="A11" s="11"/>
      <c r="B11" s="21">
        <v>46113</v>
      </c>
      <c r="C11" s="26"/>
      <c r="D11" s="26"/>
      <c r="E11" s="26"/>
      <c r="F11" s="26"/>
      <c r="G11" s="23" t="str">
        <f t="shared" si="0"/>
        <v/>
      </c>
      <c r="H11" s="23" t="str">
        <f t="shared" si="1"/>
        <v/>
      </c>
      <c r="I11" s="26"/>
      <c r="J11" s="24" t="str">
        <f t="shared" si="2"/>
        <v/>
      </c>
      <c r="K11" s="11"/>
      <c r="L11" s="11"/>
      <c r="M11" s="11"/>
      <c r="N11" s="11"/>
      <c r="O11" s="11"/>
      <c r="P11" s="11"/>
      <c r="Q11" s="11"/>
    </row>
    <row r="12" spans="1:17" x14ac:dyDescent="0.2">
      <c r="A12" s="11"/>
      <c r="B12" s="17">
        <v>46143</v>
      </c>
      <c r="C12" s="25"/>
      <c r="D12" s="25"/>
      <c r="E12" s="25"/>
      <c r="F12" s="25"/>
      <c r="G12" s="19" t="str">
        <f t="shared" si="0"/>
        <v/>
      </c>
      <c r="H12" s="19" t="str">
        <f t="shared" si="1"/>
        <v/>
      </c>
      <c r="I12" s="25"/>
      <c r="J12" s="20" t="str">
        <f t="shared" si="2"/>
        <v/>
      </c>
      <c r="K12" s="11"/>
      <c r="L12" s="11"/>
      <c r="M12" s="11"/>
      <c r="N12" s="11"/>
      <c r="O12" s="11"/>
      <c r="P12" s="11"/>
      <c r="Q12" s="11"/>
    </row>
    <row r="13" spans="1:17" x14ac:dyDescent="0.2">
      <c r="A13" s="11"/>
      <c r="B13" s="21">
        <v>46174</v>
      </c>
      <c r="C13" s="26">
        <v>155</v>
      </c>
      <c r="D13" s="26">
        <v>5</v>
      </c>
      <c r="E13" s="26">
        <v>150</v>
      </c>
      <c r="F13" s="26">
        <v>155</v>
      </c>
      <c r="G13" s="23">
        <f t="shared" si="0"/>
        <v>3.2258064516129031E-2</v>
      </c>
      <c r="H13" s="23">
        <f t="shared" si="1"/>
        <v>0.967741935483871</v>
      </c>
      <c r="I13" s="26"/>
      <c r="J13" s="24">
        <f t="shared" si="2"/>
        <v>5.166666666666667</v>
      </c>
      <c r="K13" s="11"/>
      <c r="L13" s="11"/>
      <c r="M13" s="11"/>
      <c r="N13" s="11"/>
      <c r="O13" s="11"/>
      <c r="P13" s="11"/>
      <c r="Q13" s="11"/>
    </row>
    <row r="14" spans="1:17" x14ac:dyDescent="0.2">
      <c r="A14" s="11"/>
      <c r="B14" s="17">
        <v>46204</v>
      </c>
      <c r="C14" s="25">
        <v>168</v>
      </c>
      <c r="D14" s="25">
        <v>6</v>
      </c>
      <c r="E14" s="25">
        <v>162</v>
      </c>
      <c r="F14" s="25">
        <v>127</v>
      </c>
      <c r="G14" s="19">
        <f t="shared" si="0"/>
        <v>3.5714285714285712E-2</v>
      </c>
      <c r="H14" s="19">
        <f t="shared" si="1"/>
        <v>0.9642857142857143</v>
      </c>
      <c r="I14" s="25"/>
      <c r="J14" s="20">
        <f t="shared" si="2"/>
        <v>5.419354838709677</v>
      </c>
      <c r="K14" s="11"/>
      <c r="L14" s="11"/>
      <c r="M14" s="11"/>
      <c r="N14" s="11"/>
      <c r="O14" s="11"/>
      <c r="P14" s="11"/>
      <c r="Q14" s="11"/>
    </row>
    <row r="15" spans="1:17" x14ac:dyDescent="0.2">
      <c r="A15" s="11"/>
      <c r="B15" s="21">
        <v>46235</v>
      </c>
      <c r="C15" s="26">
        <v>216</v>
      </c>
      <c r="D15" s="26">
        <v>7</v>
      </c>
      <c r="E15" s="26">
        <v>156</v>
      </c>
      <c r="F15" s="26">
        <v>146</v>
      </c>
      <c r="G15" s="23">
        <f t="shared" si="0"/>
        <v>3.2407407407407406E-2</v>
      </c>
      <c r="H15" s="23">
        <f t="shared" si="1"/>
        <v>0.72222222222222221</v>
      </c>
      <c r="I15" s="26"/>
      <c r="J15" s="24">
        <f t="shared" si="2"/>
        <v>6.967741935483871</v>
      </c>
      <c r="K15" s="11"/>
      <c r="L15" s="11"/>
      <c r="M15" s="11"/>
      <c r="N15" s="11"/>
      <c r="O15" s="11"/>
      <c r="P15" s="11"/>
      <c r="Q15" s="11"/>
    </row>
    <row r="16" spans="1:17" x14ac:dyDescent="0.2">
      <c r="A16" s="11"/>
      <c r="B16" s="17">
        <v>46266</v>
      </c>
      <c r="C16" s="25"/>
      <c r="D16" s="25"/>
      <c r="E16" s="25"/>
      <c r="F16" s="25"/>
      <c r="G16" s="19" t="str">
        <f t="shared" si="0"/>
        <v/>
      </c>
      <c r="H16" s="19" t="str">
        <f t="shared" si="1"/>
        <v/>
      </c>
      <c r="I16" s="25"/>
      <c r="J16" s="20" t="str">
        <f t="shared" si="2"/>
        <v/>
      </c>
      <c r="K16" s="11"/>
      <c r="L16" s="11"/>
      <c r="M16" s="11"/>
      <c r="N16" s="11"/>
      <c r="O16" s="11"/>
      <c r="P16" s="11"/>
      <c r="Q16" s="11"/>
    </row>
    <row r="17" spans="1:17" x14ac:dyDescent="0.2">
      <c r="A17" s="11"/>
      <c r="B17" s="21">
        <v>46296</v>
      </c>
      <c r="C17" s="26"/>
      <c r="D17" s="26"/>
      <c r="E17" s="26"/>
      <c r="F17" s="26"/>
      <c r="G17" s="23" t="str">
        <f t="shared" si="0"/>
        <v/>
      </c>
      <c r="H17" s="23" t="str">
        <f t="shared" si="1"/>
        <v/>
      </c>
      <c r="I17" s="26"/>
      <c r="J17" s="24" t="str">
        <f t="shared" si="2"/>
        <v/>
      </c>
      <c r="K17" s="11"/>
      <c r="L17" s="11"/>
      <c r="M17" s="11"/>
      <c r="N17" s="11"/>
      <c r="O17" s="11"/>
      <c r="P17" s="11"/>
      <c r="Q17" s="11"/>
    </row>
    <row r="18" spans="1:17" x14ac:dyDescent="0.2">
      <c r="A18" s="11"/>
      <c r="B18" s="17">
        <v>46327</v>
      </c>
      <c r="C18" s="25"/>
      <c r="D18" s="25"/>
      <c r="E18" s="25"/>
      <c r="F18" s="25"/>
      <c r="G18" s="19" t="str">
        <f t="shared" si="0"/>
        <v/>
      </c>
      <c r="H18" s="19" t="str">
        <f t="shared" si="1"/>
        <v/>
      </c>
      <c r="I18" s="25"/>
      <c r="J18" s="20" t="str">
        <f t="shared" si="2"/>
        <v/>
      </c>
      <c r="K18" s="11"/>
      <c r="L18" s="11"/>
      <c r="M18" s="11"/>
      <c r="N18" s="11"/>
      <c r="O18" s="11"/>
      <c r="P18" s="11"/>
      <c r="Q18" s="11"/>
    </row>
    <row r="19" spans="1:17" x14ac:dyDescent="0.2">
      <c r="A19" s="11"/>
      <c r="B19" s="21">
        <v>46357</v>
      </c>
      <c r="C19" s="26"/>
      <c r="D19" s="26"/>
      <c r="E19" s="26"/>
      <c r="F19" s="26"/>
      <c r="G19" s="23" t="str">
        <f t="shared" si="0"/>
        <v/>
      </c>
      <c r="H19" s="23" t="str">
        <f t="shared" si="1"/>
        <v/>
      </c>
      <c r="I19" s="26"/>
      <c r="J19" s="24" t="str">
        <f t="shared" si="2"/>
        <v/>
      </c>
      <c r="K19" s="11"/>
      <c r="L19" s="11"/>
      <c r="M19" s="11"/>
      <c r="N19" s="11"/>
      <c r="O19" s="11"/>
      <c r="P19" s="11"/>
      <c r="Q19" s="11"/>
    </row>
    <row r="20" spans="1:17" x14ac:dyDescent="0.2">
      <c r="A20" s="11"/>
      <c r="B20" s="9" t="s">
        <v>134</v>
      </c>
      <c r="C20" s="27">
        <f>IFERROR(AVERAGE(C8:C19),"")</f>
        <v>161</v>
      </c>
      <c r="D20" s="27">
        <f>IFERROR(AVERAGE(D8:D19),"")</f>
        <v>5.2</v>
      </c>
      <c r="E20" s="27">
        <f>IFERROR(AVERAGE(E8:E19),"")</f>
        <v>142.4</v>
      </c>
      <c r="F20" s="27">
        <f>IFERROR(AVERAGE(F8:F19),"")</f>
        <v>137.19999999999999</v>
      </c>
      <c r="G20" s="28">
        <f>IFERROR(SUM(D8:D19)/SUM(C8:C19),"")</f>
        <v>3.2298136645962733E-2</v>
      </c>
      <c r="H20" s="28">
        <f>IFERROR(SUM(E8:E19)/SUM(C8:C19),"")</f>
        <v>0.88447204968944104</v>
      </c>
      <c r="I20" s="29">
        <f>IFERROR(AVERAGE(I8:I19),"")</f>
        <v>2</v>
      </c>
      <c r="J20" s="30">
        <f>IFERROR(AVERAGE(J8:J19),"")</f>
        <v>5.3112135176651307</v>
      </c>
      <c r="K20" s="11"/>
      <c r="L20" s="11"/>
      <c r="M20" s="11"/>
      <c r="N20" s="11"/>
      <c r="O20" s="11"/>
      <c r="P20" s="11"/>
      <c r="Q20" s="11"/>
    </row>
    <row r="21" spans="1:17" x14ac:dyDescent="0.2">
      <c r="A21" s="11"/>
      <c r="B21" s="9" t="s">
        <v>202</v>
      </c>
      <c r="C21" s="29">
        <f>SUM(C8:C19)</f>
        <v>805</v>
      </c>
      <c r="D21" s="29">
        <f>SUM(D8:D19)</f>
        <v>26</v>
      </c>
      <c r="E21" s="29">
        <f>SUM(E8:E19)</f>
        <v>712</v>
      </c>
      <c r="F21" s="29">
        <f>SUM(F8:F19)</f>
        <v>686</v>
      </c>
      <c r="G21" s="31"/>
      <c r="H21" s="31"/>
      <c r="I21" s="29">
        <f>SUM(I8:I19)</f>
        <v>4</v>
      </c>
      <c r="J21" s="32"/>
      <c r="K21" s="11"/>
      <c r="L21" s="11"/>
      <c r="M21" s="11"/>
      <c r="N21" s="11"/>
      <c r="O21" s="11"/>
      <c r="P21" s="11"/>
      <c r="Q21" s="11"/>
    </row>
    <row r="22" spans="1:17" x14ac:dyDescent="0.2">
      <c r="A22" s="11"/>
      <c r="B22" s="11"/>
      <c r="C22" s="33"/>
      <c r="D22" s="33"/>
      <c r="E22" s="33"/>
      <c r="F22" s="33"/>
      <c r="G22" s="34"/>
      <c r="H22" s="34"/>
      <c r="I22" s="33"/>
      <c r="J22" s="35"/>
      <c r="K22" s="11"/>
      <c r="L22" s="11"/>
      <c r="M22" s="11"/>
      <c r="N22" s="11"/>
      <c r="O22" s="11"/>
      <c r="P22" s="11"/>
      <c r="Q22" s="11"/>
    </row>
    <row r="23" spans="1:17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1:17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spans="1:17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spans="1:17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36" t="s">
        <v>203</v>
      </c>
      <c r="P26" s="11"/>
      <c r="Q26" s="11"/>
    </row>
    <row r="27" spans="1:17" ht="21.95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4" t="s">
        <v>204</v>
      </c>
      <c r="P27" s="4" t="s">
        <v>135</v>
      </c>
      <c r="Q27" s="4" t="s">
        <v>205</v>
      </c>
    </row>
    <row r="28" spans="1:17" ht="25.5" customHeight="1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5" t="s">
        <v>206</v>
      </c>
      <c r="P28" s="22">
        <v>111</v>
      </c>
      <c r="Q28" s="37">
        <f>IFERROR(INDEX(C8:C19,MATCH(9.99E+307,C8:C19)),"")</f>
        <v>216</v>
      </c>
    </row>
    <row r="29" spans="1:17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7" t="s">
        <v>207</v>
      </c>
      <c r="P29" s="18">
        <v>111</v>
      </c>
      <c r="Q29" s="38">
        <f>IFERROR(INDEX(F8:F19,MATCH(9.99E+307,C8:C19)),"")</f>
        <v>146</v>
      </c>
    </row>
    <row r="30" spans="1:17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5" t="s">
        <v>197</v>
      </c>
      <c r="P30" s="22">
        <v>0</v>
      </c>
      <c r="Q30" s="37">
        <f>IFERROR(INDEX(I8:I19,MATCH(9.99E+307,C8:C19)),"")</f>
        <v>0</v>
      </c>
    </row>
  </sheetData>
  <mergeCells count="9">
    <mergeCell ref="J3:J4"/>
    <mergeCell ref="D3:E3"/>
    <mergeCell ref="A1:Q1"/>
    <mergeCell ref="C3:C4"/>
    <mergeCell ref="B3:B4"/>
    <mergeCell ref="G3:G4"/>
    <mergeCell ref="I3:I4"/>
    <mergeCell ref="H3:H4"/>
    <mergeCell ref="F3:F4"/>
  </mergeCells>
  <printOptions horizontalCentered="1"/>
  <pageMargins left="0.4" right="0.4" top="0.5" bottom="0.5" header="0.3" footer="0.3"/>
  <pageSetup fitToHeight="0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B82F6"/>
    <pageSetUpPr fitToPage="1"/>
  </sheetPr>
  <dimension ref="B1:Z83"/>
  <sheetViews>
    <sheetView showGridLines="0" tabSelected="1" zoomScale="90" workbookViewId="0">
      <pane xSplit="3" ySplit="9" topLeftCell="D19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2" customWidth="1"/>
    <col min="2" max="2" width="5" customWidth="1"/>
    <col min="3" max="3" width="21" customWidth="1"/>
    <col min="4" max="4" width="11" customWidth="1"/>
    <col min="5" max="7" width="9.5" customWidth="1"/>
    <col min="8" max="8" width="10.5" customWidth="1"/>
    <col min="9" max="20" width="8.25" customWidth="1"/>
    <col min="21" max="21" width="10.5" customWidth="1"/>
    <col min="22" max="22" width="11" customWidth="1"/>
    <col min="23" max="24" width="9.5" customWidth="1"/>
    <col min="25" max="25" width="8.5" customWidth="1"/>
    <col min="26" max="26" width="24" customWidth="1"/>
    <col min="27" max="27" width="2" customWidth="1"/>
  </cols>
  <sheetData>
    <row r="1" spans="2:26" ht="33.950000000000003" customHeight="1" x14ac:dyDescent="0.2">
      <c r="B1" s="432" t="s">
        <v>208</v>
      </c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  <c r="Q1" s="428"/>
      <c r="R1" s="428"/>
      <c r="S1" s="428"/>
      <c r="T1" s="428"/>
      <c r="U1" s="428"/>
      <c r="V1" s="428"/>
      <c r="W1" s="428"/>
      <c r="X1" s="428"/>
      <c r="Y1" s="428"/>
      <c r="Z1" s="428"/>
    </row>
    <row r="2" spans="2:26" ht="30" customHeight="1" x14ac:dyDescent="0.2">
      <c r="B2" s="429" t="s">
        <v>209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2:26" ht="8.1" customHeight="1" x14ac:dyDescent="0.2"/>
    <row r="4" spans="2:26" ht="15.95" customHeight="1" x14ac:dyDescent="0.2">
      <c r="B4" s="451" t="str">
        <f>"BUILDINGS  ·  "&amp;UPPER(SUBSTITUTE(INDEX($I$9:$T$9,IFERROR(MATCH(MIS_Calc!$B$3,$I$9:$T$9,0),IFERROR(MATCH(9.99E+307,$I$31:$T$31),1))),"-"," 20"))&amp;"  (kL)"</f>
        <v>BUILDINGS  ·  AUG 2026  (kL)</v>
      </c>
      <c r="C4" s="452"/>
      <c r="D4" s="453"/>
      <c r="E4" s="448" t="s">
        <v>210</v>
      </c>
      <c r="F4" s="449"/>
      <c r="G4" s="449"/>
      <c r="H4" s="450"/>
      <c r="I4" s="456" t="str">
        <f>"WTP OUTPUT  ·  "&amp;UPPER(SUBSTITUTE(INDEX($I$9:$T$9,IFERROR(MATCH(MIS_Calc!$B$3,$I$9:$T$9,0),IFERROR(MATCH(9.99E+307,$I$31:$T$31),1))),"-"," 20"))&amp;"  (kL)"</f>
        <v>WTP OUTPUT  ·  AUG 2026  (kL)</v>
      </c>
      <c r="J4" s="457"/>
      <c r="K4" s="457"/>
      <c r="L4" s="457"/>
      <c r="M4" s="458"/>
      <c r="N4" s="459" t="s">
        <v>211</v>
      </c>
      <c r="O4" s="460"/>
      <c r="P4" s="460"/>
      <c r="Q4" s="460"/>
      <c r="R4" s="461"/>
      <c r="S4" s="469" t="s">
        <v>212</v>
      </c>
      <c r="T4" s="470"/>
      <c r="U4" s="470"/>
      <c r="V4" s="471"/>
      <c r="W4" s="439" t="s">
        <v>213</v>
      </c>
      <c r="X4" s="440"/>
      <c r="Y4" s="440"/>
      <c r="Z4" s="441"/>
    </row>
    <row r="5" spans="2:26" ht="18" customHeight="1" x14ac:dyDescent="0.2">
      <c r="B5" s="446">
        <f>IF(INDEX($I$31:$T$31,IFERROR(MATCH(MIS_Calc!$B$3,$I$9:$T$9,0),IFERROR(MATCH(9.99E+307,$I$31:$T$31),1)))="","—",INDEX($I$31:$T$31,IFERROR(MATCH(MIS_Calc!$B$3,$I$9:$T$9,0),IFERROR(MATCH(9.99E+307,$I$31:$T$31),1))))</f>
        <v>7028</v>
      </c>
      <c r="C5" s="227"/>
      <c r="D5" s="437"/>
      <c r="E5" s="446">
        <f>IF($U$31="","—",$U$31)</f>
        <v>4585.875</v>
      </c>
      <c r="F5" s="227"/>
      <c r="G5" s="227"/>
      <c r="H5" s="437"/>
      <c r="I5" s="446">
        <f>IF(INDEX($I$33:$T$33,IFERROR(MATCH(MIS_Calc!$B$3,$I$9:$T$9,0),IFERROR(MATCH(9.99E+307,$I$31:$T$31),1)))="","—",INDEX($I$33:$T$33,IFERROR(MATCH(MIS_Calc!$B$3,$I$9:$T$9,0),IFERROR(MATCH(9.99E+307,$I$31:$T$31),1))))</f>
        <v>10986</v>
      </c>
      <c r="J5" s="227"/>
      <c r="K5" s="227"/>
      <c r="L5" s="227"/>
      <c r="M5" s="437"/>
      <c r="N5" s="436" t="str">
        <f>INDEX($C$11:$C$30,MATCH(MAX($U$11:$U$30),$U$11:$U$30,0))</f>
        <v>SR-9-10B1A</v>
      </c>
      <c r="O5" s="227"/>
      <c r="P5" s="227"/>
      <c r="Q5" s="227"/>
      <c r="R5" s="437"/>
      <c r="S5" s="447">
        <f>INDEX($I$45:$T$45,IFERROR(MATCH(MIS_Calc!$B$3,$I$9:$T$9,0),IFERROR(MATCH(9.99E+307,$I$31:$T$31),1)))</f>
        <v>24</v>
      </c>
      <c r="T5" s="227"/>
      <c r="U5" s="227"/>
      <c r="V5" s="437"/>
      <c r="W5" s="464">
        <f>COUNTIF($Z$11:$Z$39,"?*")-COUNTIF($Z$11:$Z$39,"OK")</f>
        <v>14</v>
      </c>
      <c r="X5" s="227"/>
      <c r="Y5" s="227"/>
      <c r="Z5" s="437"/>
    </row>
    <row r="6" spans="2:26" ht="18" customHeight="1" x14ac:dyDescent="0.2">
      <c r="B6" s="438"/>
      <c r="C6" s="227"/>
      <c r="D6" s="437"/>
      <c r="E6" s="438"/>
      <c r="F6" s="227"/>
      <c r="G6" s="227"/>
      <c r="H6" s="437"/>
      <c r="I6" s="438"/>
      <c r="J6" s="227"/>
      <c r="K6" s="227"/>
      <c r="L6" s="227"/>
      <c r="M6" s="437"/>
      <c r="N6" s="438"/>
      <c r="O6" s="227"/>
      <c r="P6" s="227"/>
      <c r="Q6" s="227"/>
      <c r="R6" s="437"/>
      <c r="S6" s="438"/>
      <c r="T6" s="227"/>
      <c r="U6" s="227"/>
      <c r="V6" s="437"/>
      <c r="W6" s="438"/>
      <c r="X6" s="227"/>
      <c r="Y6" s="227"/>
      <c r="Z6" s="437"/>
    </row>
    <row r="7" spans="2:26" ht="15.95" customHeight="1" x14ac:dyDescent="0.2">
      <c r="B7" s="455" t="str">
        <f>IF(OR(INDEX($I$31:$T$31,IFERROR(MATCH(MIS_Calc!$B$3,$I$9:$T$9,0),IFERROR(MATCH(9.99E+307,$I$31:$T$31),1)))="",$H$31=""),"no reading for this month","vs baseline  "&amp;TEXT(INDEX($I$31:$T$31,IFERROR(MATCH(MIS_Calc!$B$3,$I$9:$T$9,0),IFERROR(MATCH(9.99E+307,$I$31:$T$31),1)))/$H$31-1,"+0%;-0%"))</f>
        <v>vs baseline  +19%</v>
      </c>
      <c r="C7" s="434"/>
      <c r="D7" s="435"/>
      <c r="E7" s="468" t="str">
        <f>IF($X$31="","","vs baseline  "&amp;TEXT($X$31,"+0%;-0%")&amp;"   ·   "&amp;COUNT($I$31:$T$31)&amp;" months logged")</f>
        <v>vs baseline  -22%   ·   8 months logged</v>
      </c>
      <c r="F7" s="434"/>
      <c r="G7" s="434"/>
      <c r="H7" s="435"/>
      <c r="I7" s="472" t="str">
        <f>IF(INDEX($I$44:$T$44,IFERROR(MATCH(MIS_Calc!$B$3,$I$9:$T$9,0),IFERROR(MATCH(9.99E+307,$I$31:$T$31),1)))="","coverage n/a","building meters cover  "&amp;TEXT(INDEX($I$44:$T$44,IFERROR(MATCH(MIS_Calc!$B$3,$I$9:$T$9,0),IFERROR(MATCH(9.99E+307,$I$31:$T$31),1))),"0%")&amp;"  of WTP output")</f>
        <v>building meters cover  64%  of WTP output</v>
      </c>
      <c r="J7" s="434"/>
      <c r="K7" s="434"/>
      <c r="L7" s="434"/>
      <c r="M7" s="435"/>
      <c r="N7" s="467" t="str">
        <f>TEXT(MAX($U$11:$U$30),"#,##0")&amp;" kL/month  ·  "&amp;TEXT(MAX($U$11:$U$30)/$U$31,"0%")&amp;" of building use"</f>
        <v>877 kL/month  ·  19% of building use</v>
      </c>
      <c r="O7" s="434"/>
      <c r="P7" s="434"/>
      <c r="Q7" s="434"/>
      <c r="R7" s="435"/>
      <c r="S7" s="454" t="str">
        <f>"latest month logged:  "&amp;IFERROR(INDEX($I$9:$T$9,MATCH(9.99E+307,$I$31:$T$31)),"—")</f>
        <v>latest month logged:  Aug-26</v>
      </c>
      <c r="T7" s="434"/>
      <c r="U7" s="434"/>
      <c r="V7" s="435"/>
      <c r="W7" s="433" t="str">
        <f>COUNTIF($Z$11:$Z$39,"VERIFY*")&amp;" verify Avg-2025  ·  "&amp;COUNTIF($Z$11:$Z$39,"MISSING*")&amp;" missing month(s)  ·  "&amp;(COUNTIF($Z$11:$Z$39,"?*")-COUNTIF($Z$11:$Z$39,"OK")-COUNTIF($Z$11:$Z$39,"VERIFY*")-COUNTIF($Z$11:$Z$39,"MISSING*"))&amp;" other"</f>
        <v>13 verify Avg-2025  ·  1 missing month(s)  ·  0 other</v>
      </c>
      <c r="X7" s="434"/>
      <c r="Y7" s="434"/>
      <c r="Z7" s="435"/>
    </row>
    <row r="8" spans="2:26" ht="9.9499999999999993" customHeight="1" x14ac:dyDescent="0.2"/>
    <row r="9" spans="2:26" ht="32.1" customHeight="1" x14ac:dyDescent="0.2">
      <c r="B9" s="129" t="s">
        <v>214</v>
      </c>
      <c r="C9" s="129" t="s">
        <v>215</v>
      </c>
      <c r="D9" s="129" t="s">
        <v>41</v>
      </c>
      <c r="E9" s="129" t="s">
        <v>201</v>
      </c>
      <c r="F9" s="129" t="s">
        <v>145</v>
      </c>
      <c r="G9" s="129" t="s">
        <v>139</v>
      </c>
      <c r="H9" s="129" t="s">
        <v>216</v>
      </c>
      <c r="I9" s="129" t="s">
        <v>123</v>
      </c>
      <c r="J9" s="129" t="s">
        <v>124</v>
      </c>
      <c r="K9" s="129" t="s">
        <v>125</v>
      </c>
      <c r="L9" s="129" t="s">
        <v>126</v>
      </c>
      <c r="M9" s="129" t="s">
        <v>127</v>
      </c>
      <c r="N9" s="129" t="s">
        <v>128</v>
      </c>
      <c r="O9" s="129" t="s">
        <v>129</v>
      </c>
      <c r="P9" s="129" t="s">
        <v>7</v>
      </c>
      <c r="Q9" s="129" t="s">
        <v>130</v>
      </c>
      <c r="R9" s="129" t="s">
        <v>131</v>
      </c>
      <c r="S9" s="129" t="s">
        <v>132</v>
      </c>
      <c r="T9" s="129" t="s">
        <v>133</v>
      </c>
      <c r="U9" s="129" t="s">
        <v>217</v>
      </c>
      <c r="V9" s="129" t="s">
        <v>218</v>
      </c>
      <c r="W9" s="129" t="s">
        <v>219</v>
      </c>
      <c r="X9" s="129" t="s">
        <v>220</v>
      </c>
      <c r="Y9" s="129" t="s">
        <v>221</v>
      </c>
      <c r="Z9" s="129" t="s">
        <v>222</v>
      </c>
    </row>
    <row r="10" spans="2:26" ht="18" customHeight="1" x14ac:dyDescent="0.2">
      <c r="B10" s="462" t="s">
        <v>223</v>
      </c>
      <c r="C10" s="463"/>
      <c r="D10" s="463"/>
      <c r="E10" s="463"/>
      <c r="F10" s="463"/>
      <c r="G10" s="463"/>
      <c r="H10" s="463"/>
      <c r="I10" s="463"/>
      <c r="J10" s="463"/>
      <c r="K10" s="463"/>
      <c r="L10" s="463"/>
      <c r="M10" s="463"/>
      <c r="N10" s="463"/>
      <c r="O10" s="463"/>
      <c r="P10" s="463"/>
      <c r="Q10" s="463"/>
      <c r="R10" s="463"/>
      <c r="S10" s="463"/>
      <c r="T10" s="463"/>
      <c r="U10" s="463"/>
      <c r="V10" s="463"/>
      <c r="W10" s="463"/>
      <c r="X10" s="463"/>
      <c r="Y10" s="463"/>
      <c r="Z10" s="463"/>
    </row>
    <row r="11" spans="2:26" ht="17.100000000000001" customHeight="1" x14ac:dyDescent="0.2">
      <c r="B11" s="130">
        <v>1</v>
      </c>
      <c r="C11" s="131" t="s">
        <v>224</v>
      </c>
      <c r="D11" s="132" t="s">
        <v>225</v>
      </c>
      <c r="E11" s="133">
        <v>145.166666666667</v>
      </c>
      <c r="F11" s="133">
        <v>388.5</v>
      </c>
      <c r="G11" s="133">
        <v>1180.5833333333301</v>
      </c>
      <c r="H11" s="134">
        <f t="shared" ref="H11:H30" si="0">IF(COUNT(E11:G11)=0,"",MEDIAN(E11:G11))</f>
        <v>388.5</v>
      </c>
      <c r="I11" s="135">
        <v>264</v>
      </c>
      <c r="J11" s="135">
        <v>239</v>
      </c>
      <c r="K11" s="135">
        <v>280</v>
      </c>
      <c r="L11" s="135">
        <v>201</v>
      </c>
      <c r="M11" s="135">
        <v>189</v>
      </c>
      <c r="N11" s="135">
        <v>91</v>
      </c>
      <c r="O11" s="135">
        <v>224</v>
      </c>
      <c r="P11" s="135">
        <v>329</v>
      </c>
      <c r="Q11" s="135"/>
      <c r="R11" s="135"/>
      <c r="S11" s="135"/>
      <c r="T11" s="135"/>
      <c r="U11" s="136">
        <f t="shared" ref="U11:U31" si="1">IF(COUNT(I11:T11)=0,"",AVERAGE(I11:T11))</f>
        <v>227.125</v>
      </c>
      <c r="V11" s="136">
        <f t="shared" ref="V11:V31" si="2">IF(COUNT(I11:T11)=0,"",SUM(I11:T11))</f>
        <v>1817</v>
      </c>
      <c r="W11" s="137">
        <f t="shared" ref="W11:W31" si="3">IF(OR(U11="",N(G11)=0),"",U11/G11-1)</f>
        <v>-0.80761629138137869</v>
      </c>
      <c r="X11" s="137">
        <f t="shared" ref="X11:X31" si="4">IF(OR(U11="",N(H11)=0),"",U11/H11-1)</f>
        <v>-0.41537966537966542</v>
      </c>
      <c r="Y11" s="138">
        <f t="shared" ref="Y11:Y30" si="5">COUNT(I11:T11)</f>
        <v>8</v>
      </c>
      <c r="Z11" s="139" t="str">
        <f t="shared" ref="Z11:Z30" si="6">IF(COUNT(I11:T11)=0,"NO 2026 DATA",IF(COUNT(I11:T11)&lt;MATCH(9.99E+307,I11:T11)-MATCH(TRUE,INDEX(ISNUMBER(I11:T11),0),0)+1,"MISSING MONTH(S)",IF(AND(COUNT(E11:F11)=2,N(G11)&gt;3*MAX(E11:F11)),"VERIFY AVG-2025 (&gt;3× prior yrs)",IF(AND(N(H11)&gt;=500,MIN(I11:T11)&lt;0.1*N(H11)),"CHECK OUTLIER MONTH",IF(AND(N(H11)&gt;=50,LOOKUP(9.99E+307,I11:T11)=0),"LATEST = 0 · CHECK METER","OK")))))</f>
        <v>VERIFY AVG-2025 (&gt;3× prior yrs)</v>
      </c>
    </row>
    <row r="12" spans="2:26" ht="17.100000000000001" customHeight="1" x14ac:dyDescent="0.2">
      <c r="B12" s="140">
        <v>2</v>
      </c>
      <c r="C12" s="141" t="s">
        <v>226</v>
      </c>
      <c r="D12" s="142" t="s">
        <v>225</v>
      </c>
      <c r="E12" s="133">
        <v>178.583333333333</v>
      </c>
      <c r="F12" s="133">
        <v>199.333333333333</v>
      </c>
      <c r="G12" s="133">
        <v>1194.8333333333301</v>
      </c>
      <c r="H12" s="134">
        <f t="shared" si="0"/>
        <v>199.333333333333</v>
      </c>
      <c r="I12" s="143">
        <v>267</v>
      </c>
      <c r="J12" s="143">
        <v>427</v>
      </c>
      <c r="K12" s="143">
        <v>111</v>
      </c>
      <c r="L12" s="143">
        <v>100</v>
      </c>
      <c r="M12" s="143">
        <v>102</v>
      </c>
      <c r="N12" s="143">
        <v>87</v>
      </c>
      <c r="O12" s="143">
        <v>125</v>
      </c>
      <c r="P12" s="143">
        <v>312</v>
      </c>
      <c r="Q12" s="143"/>
      <c r="R12" s="143"/>
      <c r="S12" s="143"/>
      <c r="T12" s="143"/>
      <c r="U12" s="136">
        <f t="shared" si="1"/>
        <v>191.375</v>
      </c>
      <c r="V12" s="136">
        <f t="shared" si="2"/>
        <v>1531</v>
      </c>
      <c r="W12" s="137">
        <f t="shared" si="3"/>
        <v>-0.83983121774306002</v>
      </c>
      <c r="X12" s="137">
        <f t="shared" si="4"/>
        <v>-3.9924749163878004E-2</v>
      </c>
      <c r="Y12" s="144">
        <f t="shared" si="5"/>
        <v>8</v>
      </c>
      <c r="Z12" s="145" t="str">
        <f t="shared" si="6"/>
        <v>VERIFY AVG-2025 (&gt;3× prior yrs)</v>
      </c>
    </row>
    <row r="13" spans="2:26" ht="17.100000000000001" customHeight="1" x14ac:dyDescent="0.2">
      <c r="B13" s="130">
        <v>3</v>
      </c>
      <c r="C13" s="131" t="s">
        <v>227</v>
      </c>
      <c r="D13" s="132" t="s">
        <v>225</v>
      </c>
      <c r="E13" s="133">
        <v>103.083333333333</v>
      </c>
      <c r="F13" s="133">
        <v>171.333333333333</v>
      </c>
      <c r="G13" s="133">
        <v>1274.9166666666599</v>
      </c>
      <c r="H13" s="134">
        <f t="shared" si="0"/>
        <v>171.333333333333</v>
      </c>
      <c r="I13" s="135">
        <v>205</v>
      </c>
      <c r="J13" s="135">
        <v>111</v>
      </c>
      <c r="K13" s="135">
        <v>8</v>
      </c>
      <c r="L13" s="135">
        <v>60</v>
      </c>
      <c r="M13" s="135">
        <v>58</v>
      </c>
      <c r="N13" s="135">
        <v>60</v>
      </c>
      <c r="O13" s="135">
        <v>62</v>
      </c>
      <c r="P13" s="135">
        <v>64</v>
      </c>
      <c r="Q13" s="135"/>
      <c r="R13" s="135"/>
      <c r="S13" s="135"/>
      <c r="T13" s="135"/>
      <c r="U13" s="136">
        <f t="shared" si="1"/>
        <v>78.5</v>
      </c>
      <c r="V13" s="136">
        <f t="shared" si="2"/>
        <v>628</v>
      </c>
      <c r="W13" s="137">
        <f t="shared" si="3"/>
        <v>-0.93842734819269202</v>
      </c>
      <c r="X13" s="137">
        <f t="shared" si="4"/>
        <v>-0.54182879377431825</v>
      </c>
      <c r="Y13" s="138">
        <f t="shared" si="5"/>
        <v>8</v>
      </c>
      <c r="Z13" s="139" t="str">
        <f t="shared" si="6"/>
        <v>VERIFY AVG-2025 (&gt;3× prior yrs)</v>
      </c>
    </row>
    <row r="14" spans="2:26" ht="17.100000000000001" customHeight="1" x14ac:dyDescent="0.2">
      <c r="B14" s="140">
        <v>4</v>
      </c>
      <c r="C14" s="141" t="s">
        <v>228</v>
      </c>
      <c r="D14" s="142" t="s">
        <v>225</v>
      </c>
      <c r="E14" s="133">
        <v>105.5</v>
      </c>
      <c r="F14" s="133">
        <v>162.083333333333</v>
      </c>
      <c r="G14" s="133">
        <v>1677.1666666666599</v>
      </c>
      <c r="H14" s="134">
        <f t="shared" si="0"/>
        <v>162.083333333333</v>
      </c>
      <c r="I14" s="143">
        <v>136</v>
      </c>
      <c r="J14" s="143">
        <v>136</v>
      </c>
      <c r="K14" s="143">
        <v>337</v>
      </c>
      <c r="L14" s="143">
        <v>337</v>
      </c>
      <c r="M14" s="143">
        <v>233</v>
      </c>
      <c r="N14" s="143">
        <v>221</v>
      </c>
      <c r="O14" s="143">
        <v>146</v>
      </c>
      <c r="P14" s="143">
        <v>194</v>
      </c>
      <c r="Q14" s="143"/>
      <c r="R14" s="143"/>
      <c r="S14" s="143"/>
      <c r="T14" s="143"/>
      <c r="U14" s="136">
        <f t="shared" si="1"/>
        <v>217.5</v>
      </c>
      <c r="V14" s="136">
        <f t="shared" si="2"/>
        <v>1740</v>
      </c>
      <c r="W14" s="137">
        <f t="shared" si="3"/>
        <v>-0.87031700288184388</v>
      </c>
      <c r="X14" s="137">
        <f t="shared" si="4"/>
        <v>0.34190231362468149</v>
      </c>
      <c r="Y14" s="144">
        <f t="shared" si="5"/>
        <v>8</v>
      </c>
      <c r="Z14" s="145" t="str">
        <f t="shared" si="6"/>
        <v>VERIFY AVG-2025 (&gt;3× prior yrs)</v>
      </c>
    </row>
    <row r="15" spans="2:26" ht="17.100000000000001" customHeight="1" x14ac:dyDescent="0.2">
      <c r="B15" s="130">
        <v>5</v>
      </c>
      <c r="C15" s="131" t="s">
        <v>229</v>
      </c>
      <c r="D15" s="132" t="s">
        <v>225</v>
      </c>
      <c r="E15" s="133">
        <v>455.5</v>
      </c>
      <c r="F15" s="133">
        <v>458.75</v>
      </c>
      <c r="G15" s="133">
        <v>2503.1666666666702</v>
      </c>
      <c r="H15" s="134">
        <f t="shared" si="0"/>
        <v>458.75</v>
      </c>
      <c r="I15" s="135">
        <v>568</v>
      </c>
      <c r="J15" s="135">
        <v>716</v>
      </c>
      <c r="K15" s="135">
        <v>835</v>
      </c>
      <c r="L15" s="135">
        <v>1045</v>
      </c>
      <c r="M15" s="135">
        <v>781</v>
      </c>
      <c r="N15" s="135">
        <v>279</v>
      </c>
      <c r="O15" s="135">
        <v>1320</v>
      </c>
      <c r="P15" s="135">
        <v>1468</v>
      </c>
      <c r="Q15" s="135"/>
      <c r="R15" s="135"/>
      <c r="S15" s="135"/>
      <c r="T15" s="135"/>
      <c r="U15" s="136">
        <f t="shared" si="1"/>
        <v>876.5</v>
      </c>
      <c r="V15" s="136">
        <f t="shared" si="2"/>
        <v>7012</v>
      </c>
      <c r="W15" s="137">
        <f t="shared" si="3"/>
        <v>-0.64984353152673324</v>
      </c>
      <c r="X15" s="137">
        <f t="shared" si="4"/>
        <v>0.91062670299727522</v>
      </c>
      <c r="Y15" s="138">
        <f t="shared" si="5"/>
        <v>8</v>
      </c>
      <c r="Z15" s="139" t="str">
        <f t="shared" si="6"/>
        <v>VERIFY AVG-2025 (&gt;3× prior yrs)</v>
      </c>
    </row>
    <row r="16" spans="2:26" ht="17.100000000000001" customHeight="1" x14ac:dyDescent="0.2">
      <c r="B16" s="140">
        <v>6</v>
      </c>
      <c r="C16" s="141" t="s">
        <v>230</v>
      </c>
      <c r="D16" s="142" t="s">
        <v>225</v>
      </c>
      <c r="E16" s="133">
        <v>415.41666666666703</v>
      </c>
      <c r="F16" s="133">
        <v>454.25</v>
      </c>
      <c r="G16" s="133">
        <v>2943.25</v>
      </c>
      <c r="H16" s="134">
        <f t="shared" si="0"/>
        <v>454.25</v>
      </c>
      <c r="I16" s="143">
        <v>209</v>
      </c>
      <c r="J16" s="143">
        <v>73</v>
      </c>
      <c r="K16" s="143">
        <v>268</v>
      </c>
      <c r="L16" s="143">
        <v>149</v>
      </c>
      <c r="M16" s="143">
        <v>167</v>
      </c>
      <c r="N16" s="143">
        <v>46</v>
      </c>
      <c r="O16" s="143">
        <v>42</v>
      </c>
      <c r="P16" s="143">
        <v>45</v>
      </c>
      <c r="Q16" s="143"/>
      <c r="R16" s="143"/>
      <c r="S16" s="143"/>
      <c r="T16" s="143"/>
      <c r="U16" s="136">
        <f t="shared" si="1"/>
        <v>124.875</v>
      </c>
      <c r="V16" s="136">
        <f t="shared" si="2"/>
        <v>999</v>
      </c>
      <c r="W16" s="137">
        <f t="shared" si="3"/>
        <v>-0.95757241144992777</v>
      </c>
      <c r="X16" s="137">
        <f t="shared" si="4"/>
        <v>-0.72509631260319207</v>
      </c>
      <c r="Y16" s="144">
        <f t="shared" si="5"/>
        <v>8</v>
      </c>
      <c r="Z16" s="145" t="str">
        <f t="shared" si="6"/>
        <v>VERIFY AVG-2025 (&gt;3× prior yrs)</v>
      </c>
    </row>
    <row r="17" spans="2:26" ht="17.100000000000001" customHeight="1" x14ac:dyDescent="0.2">
      <c r="B17" s="130">
        <v>7</v>
      </c>
      <c r="C17" s="131" t="s">
        <v>231</v>
      </c>
      <c r="D17" s="132" t="s">
        <v>225</v>
      </c>
      <c r="E17" s="133">
        <v>341.25</v>
      </c>
      <c r="F17" s="133">
        <v>328.75</v>
      </c>
      <c r="G17" s="133">
        <v>2175.4166666666702</v>
      </c>
      <c r="H17" s="134">
        <f t="shared" si="0"/>
        <v>341.25</v>
      </c>
      <c r="I17" s="135">
        <v>233</v>
      </c>
      <c r="J17" s="135">
        <v>285</v>
      </c>
      <c r="K17" s="135">
        <v>337</v>
      </c>
      <c r="L17" s="135">
        <v>377</v>
      </c>
      <c r="M17" s="135">
        <v>358</v>
      </c>
      <c r="N17" s="135">
        <v>200</v>
      </c>
      <c r="O17" s="135">
        <v>647</v>
      </c>
      <c r="P17" s="135">
        <v>710</v>
      </c>
      <c r="Q17" s="135"/>
      <c r="R17" s="135"/>
      <c r="S17" s="135"/>
      <c r="T17" s="135"/>
      <c r="U17" s="136">
        <f t="shared" si="1"/>
        <v>393.375</v>
      </c>
      <c r="V17" s="136">
        <f t="shared" si="2"/>
        <v>3147</v>
      </c>
      <c r="W17" s="137">
        <f t="shared" si="3"/>
        <v>-0.81917257230415652</v>
      </c>
      <c r="X17" s="137">
        <f t="shared" si="4"/>
        <v>0.15274725274725265</v>
      </c>
      <c r="Y17" s="138">
        <f t="shared" si="5"/>
        <v>8</v>
      </c>
      <c r="Z17" s="139" t="str">
        <f t="shared" si="6"/>
        <v>VERIFY AVG-2025 (&gt;3× prior yrs)</v>
      </c>
    </row>
    <row r="18" spans="2:26" ht="17.100000000000001" customHeight="1" x14ac:dyDescent="0.2">
      <c r="B18" s="140">
        <v>8</v>
      </c>
      <c r="C18" s="141" t="s">
        <v>232</v>
      </c>
      <c r="D18" s="142" t="s">
        <v>225</v>
      </c>
      <c r="E18" s="133">
        <v>388.33333333333201</v>
      </c>
      <c r="F18" s="133">
        <v>463.08333333333201</v>
      </c>
      <c r="G18" s="133">
        <v>2811.4166666666702</v>
      </c>
      <c r="H18" s="134">
        <f t="shared" si="0"/>
        <v>463.08333333333201</v>
      </c>
      <c r="I18" s="143">
        <v>0</v>
      </c>
      <c r="J18" s="143">
        <v>101</v>
      </c>
      <c r="K18" s="143">
        <v>450</v>
      </c>
      <c r="L18" s="143">
        <v>399</v>
      </c>
      <c r="M18" s="143">
        <v>205</v>
      </c>
      <c r="N18" s="143">
        <v>50</v>
      </c>
      <c r="O18" s="143">
        <v>0</v>
      </c>
      <c r="P18" s="143">
        <v>0</v>
      </c>
      <c r="Q18" s="143"/>
      <c r="R18" s="143"/>
      <c r="S18" s="143"/>
      <c r="T18" s="143"/>
      <c r="U18" s="136">
        <f t="shared" si="1"/>
        <v>150.625</v>
      </c>
      <c r="V18" s="136">
        <f t="shared" si="2"/>
        <v>1205</v>
      </c>
      <c r="W18" s="137">
        <f t="shared" si="3"/>
        <v>-0.94642380768888767</v>
      </c>
      <c r="X18" s="137">
        <f t="shared" si="4"/>
        <v>-0.67473456901205586</v>
      </c>
      <c r="Y18" s="144">
        <f t="shared" si="5"/>
        <v>8</v>
      </c>
      <c r="Z18" s="145" t="str">
        <f t="shared" si="6"/>
        <v>VERIFY AVG-2025 (&gt;3× prior yrs)</v>
      </c>
    </row>
    <row r="19" spans="2:26" ht="17.100000000000001" customHeight="1" x14ac:dyDescent="0.2">
      <c r="B19" s="130">
        <v>9</v>
      </c>
      <c r="C19" s="131" t="s">
        <v>233</v>
      </c>
      <c r="D19" s="132" t="s">
        <v>234</v>
      </c>
      <c r="E19" s="133">
        <v>177.75</v>
      </c>
      <c r="F19" s="133">
        <v>204.333333333333</v>
      </c>
      <c r="G19" s="133">
        <v>2368.75</v>
      </c>
      <c r="H19" s="134">
        <f t="shared" si="0"/>
        <v>204.333333333333</v>
      </c>
      <c r="I19" s="135">
        <v>0</v>
      </c>
      <c r="J19" s="135">
        <v>0</v>
      </c>
      <c r="K19" s="135">
        <v>1</v>
      </c>
      <c r="L19" s="135">
        <v>0</v>
      </c>
      <c r="M19" s="135">
        <v>0</v>
      </c>
      <c r="N19" s="135">
        <v>1</v>
      </c>
      <c r="O19" s="135">
        <v>0</v>
      </c>
      <c r="P19" s="135">
        <v>0</v>
      </c>
      <c r="Q19" s="135"/>
      <c r="R19" s="135"/>
      <c r="S19" s="135"/>
      <c r="T19" s="135"/>
      <c r="U19" s="136">
        <f t="shared" si="1"/>
        <v>0.25</v>
      </c>
      <c r="V19" s="136">
        <f t="shared" si="2"/>
        <v>2</v>
      </c>
      <c r="W19" s="137">
        <f t="shared" si="3"/>
        <v>-0.99989445910290242</v>
      </c>
      <c r="X19" s="137">
        <f t="shared" si="4"/>
        <v>-0.99877650897226755</v>
      </c>
      <c r="Y19" s="138">
        <f t="shared" si="5"/>
        <v>8</v>
      </c>
      <c r="Z19" s="139" t="str">
        <f t="shared" si="6"/>
        <v>VERIFY AVG-2025 (&gt;3× prior yrs)</v>
      </c>
    </row>
    <row r="20" spans="2:26" ht="17.100000000000001" customHeight="1" x14ac:dyDescent="0.2">
      <c r="B20" s="140">
        <v>10</v>
      </c>
      <c r="C20" s="141" t="s">
        <v>235</v>
      </c>
      <c r="D20" s="142" t="s">
        <v>234</v>
      </c>
      <c r="E20" s="133">
        <v>265.33333333333201</v>
      </c>
      <c r="F20" s="133">
        <v>308.66666666666703</v>
      </c>
      <c r="G20" s="133">
        <v>6906.1666666666597</v>
      </c>
      <c r="H20" s="134">
        <f t="shared" si="0"/>
        <v>308.66666666666703</v>
      </c>
      <c r="I20" s="143">
        <v>27</v>
      </c>
      <c r="J20" s="143">
        <v>22</v>
      </c>
      <c r="K20" s="143">
        <v>40</v>
      </c>
      <c r="L20" s="143">
        <v>25</v>
      </c>
      <c r="M20" s="143">
        <v>28</v>
      </c>
      <c r="N20" s="143">
        <v>7</v>
      </c>
      <c r="O20" s="143">
        <v>87</v>
      </c>
      <c r="P20" s="143">
        <v>120</v>
      </c>
      <c r="Q20" s="143"/>
      <c r="R20" s="143"/>
      <c r="S20" s="143"/>
      <c r="T20" s="143"/>
      <c r="U20" s="136">
        <f t="shared" si="1"/>
        <v>44.5</v>
      </c>
      <c r="V20" s="136">
        <f t="shared" si="2"/>
        <v>356</v>
      </c>
      <c r="W20" s="137">
        <f t="shared" si="3"/>
        <v>-0.99355648333614888</v>
      </c>
      <c r="X20" s="137">
        <f t="shared" si="4"/>
        <v>-0.85583153347732199</v>
      </c>
      <c r="Y20" s="144">
        <f t="shared" si="5"/>
        <v>8</v>
      </c>
      <c r="Z20" s="145" t="str">
        <f t="shared" si="6"/>
        <v>VERIFY AVG-2025 (&gt;3× prior yrs)</v>
      </c>
    </row>
    <row r="21" spans="2:26" ht="17.100000000000001" customHeight="1" x14ac:dyDescent="0.2">
      <c r="B21" s="130">
        <v>11</v>
      </c>
      <c r="C21" s="131" t="s">
        <v>236</v>
      </c>
      <c r="D21" s="132" t="s">
        <v>234</v>
      </c>
      <c r="E21" s="133">
        <v>367.5</v>
      </c>
      <c r="F21" s="133">
        <v>328.41666666666703</v>
      </c>
      <c r="G21" s="133">
        <v>2929.3333333333198</v>
      </c>
      <c r="H21" s="134">
        <f t="shared" si="0"/>
        <v>367.5</v>
      </c>
      <c r="I21" s="135">
        <v>101</v>
      </c>
      <c r="J21" s="135">
        <v>50</v>
      </c>
      <c r="K21" s="135">
        <v>61</v>
      </c>
      <c r="L21" s="135">
        <v>90</v>
      </c>
      <c r="M21" s="135">
        <v>7</v>
      </c>
      <c r="N21" s="135">
        <v>0</v>
      </c>
      <c r="O21" s="135">
        <v>78</v>
      </c>
      <c r="P21" s="135">
        <v>82</v>
      </c>
      <c r="Q21" s="135"/>
      <c r="R21" s="135"/>
      <c r="S21" s="135"/>
      <c r="T21" s="135"/>
      <c r="U21" s="136">
        <f t="shared" si="1"/>
        <v>58.625</v>
      </c>
      <c r="V21" s="136">
        <f t="shared" si="2"/>
        <v>469</v>
      </c>
      <c r="W21" s="137">
        <f t="shared" si="3"/>
        <v>-0.97998691397360027</v>
      </c>
      <c r="X21" s="137">
        <f t="shared" si="4"/>
        <v>-0.84047619047619049</v>
      </c>
      <c r="Y21" s="138">
        <f t="shared" si="5"/>
        <v>8</v>
      </c>
      <c r="Z21" s="139" t="str">
        <f t="shared" si="6"/>
        <v>VERIFY AVG-2025 (&gt;3× prior yrs)</v>
      </c>
    </row>
    <row r="22" spans="2:26" ht="17.100000000000001" customHeight="1" x14ac:dyDescent="0.2">
      <c r="B22" s="140">
        <v>12</v>
      </c>
      <c r="C22" s="141" t="s">
        <v>237</v>
      </c>
      <c r="D22" s="142" t="s">
        <v>234</v>
      </c>
      <c r="E22" s="133">
        <v>51.707500000000003</v>
      </c>
      <c r="F22" s="133">
        <v>19.7083333333333</v>
      </c>
      <c r="G22" s="133">
        <v>33.8333333333333</v>
      </c>
      <c r="H22" s="134">
        <f t="shared" si="0"/>
        <v>33.8333333333333</v>
      </c>
      <c r="I22" s="143">
        <v>33</v>
      </c>
      <c r="J22" s="143">
        <v>41</v>
      </c>
      <c r="K22" s="143">
        <v>15</v>
      </c>
      <c r="L22" s="143">
        <v>121</v>
      </c>
      <c r="M22" s="143">
        <v>272</v>
      </c>
      <c r="N22" s="143">
        <v>5</v>
      </c>
      <c r="O22" s="143">
        <v>26</v>
      </c>
      <c r="P22" s="143">
        <v>45</v>
      </c>
      <c r="Q22" s="143"/>
      <c r="R22" s="143"/>
      <c r="S22" s="143"/>
      <c r="T22" s="143"/>
      <c r="U22" s="136">
        <f t="shared" si="1"/>
        <v>69.75</v>
      </c>
      <c r="V22" s="136">
        <f t="shared" si="2"/>
        <v>558</v>
      </c>
      <c r="W22" s="137">
        <f t="shared" si="3"/>
        <v>1.0615763546798052</v>
      </c>
      <c r="X22" s="137">
        <f t="shared" si="4"/>
        <v>1.0615763546798052</v>
      </c>
      <c r="Y22" s="144">
        <f t="shared" si="5"/>
        <v>8</v>
      </c>
      <c r="Z22" s="145" t="str">
        <f t="shared" si="6"/>
        <v>OK</v>
      </c>
    </row>
    <row r="23" spans="2:26" ht="17.100000000000001" customHeight="1" x14ac:dyDescent="0.2">
      <c r="B23" s="130">
        <v>13</v>
      </c>
      <c r="C23" s="131" t="s">
        <v>238</v>
      </c>
      <c r="D23" s="132" t="s">
        <v>234</v>
      </c>
      <c r="E23" s="133">
        <v>61.9166666666667</v>
      </c>
      <c r="F23" s="133">
        <v>98.9166666666667</v>
      </c>
      <c r="G23" s="133">
        <v>2981.5833333333198</v>
      </c>
      <c r="H23" s="134">
        <f t="shared" si="0"/>
        <v>98.9166666666667</v>
      </c>
      <c r="I23" s="135">
        <v>0</v>
      </c>
      <c r="J23" s="135">
        <v>0</v>
      </c>
      <c r="K23" s="135">
        <v>0</v>
      </c>
      <c r="L23" s="135">
        <v>0</v>
      </c>
      <c r="M23" s="135">
        <v>0</v>
      </c>
      <c r="N23" s="135">
        <v>13</v>
      </c>
      <c r="O23" s="135">
        <v>0</v>
      </c>
      <c r="P23" s="135">
        <v>0</v>
      </c>
      <c r="Q23" s="135"/>
      <c r="R23" s="135"/>
      <c r="S23" s="135"/>
      <c r="T23" s="135"/>
      <c r="U23" s="136">
        <f t="shared" si="1"/>
        <v>1.625</v>
      </c>
      <c r="V23" s="136">
        <f t="shared" si="2"/>
        <v>13</v>
      </c>
      <c r="W23" s="137">
        <f t="shared" si="3"/>
        <v>-0.9994549875625367</v>
      </c>
      <c r="X23" s="137">
        <f t="shared" si="4"/>
        <v>-0.98357203032855944</v>
      </c>
      <c r="Y23" s="138">
        <f t="shared" si="5"/>
        <v>8</v>
      </c>
      <c r="Z23" s="139" t="str">
        <f t="shared" si="6"/>
        <v>VERIFY AVG-2025 (&gt;3× prior yrs)</v>
      </c>
    </row>
    <row r="24" spans="2:26" ht="17.100000000000001" customHeight="1" x14ac:dyDescent="0.2">
      <c r="B24" s="140">
        <v>14</v>
      </c>
      <c r="C24" s="141" t="s">
        <v>239</v>
      </c>
      <c r="D24" s="142" t="s">
        <v>234</v>
      </c>
      <c r="E24" s="133">
        <v>39</v>
      </c>
      <c r="F24" s="133">
        <v>8.75</v>
      </c>
      <c r="G24" s="133">
        <v>0.75</v>
      </c>
      <c r="H24" s="134">
        <f t="shared" si="0"/>
        <v>8.75</v>
      </c>
      <c r="I24" s="143">
        <v>1</v>
      </c>
      <c r="J24" s="143">
        <v>25</v>
      </c>
      <c r="K24" s="143">
        <v>53</v>
      </c>
      <c r="L24" s="143">
        <v>329</v>
      </c>
      <c r="M24" s="143">
        <v>224</v>
      </c>
      <c r="N24" s="143">
        <v>61</v>
      </c>
      <c r="O24" s="143">
        <v>78</v>
      </c>
      <c r="P24" s="143">
        <v>38</v>
      </c>
      <c r="Q24" s="143"/>
      <c r="R24" s="143"/>
      <c r="S24" s="143"/>
      <c r="T24" s="143"/>
      <c r="U24" s="136">
        <f t="shared" si="1"/>
        <v>101.125</v>
      </c>
      <c r="V24" s="136">
        <f t="shared" si="2"/>
        <v>809</v>
      </c>
      <c r="W24" s="137">
        <f t="shared" si="3"/>
        <v>133.83333333333334</v>
      </c>
      <c r="X24" s="137">
        <f t="shared" si="4"/>
        <v>10.557142857142857</v>
      </c>
      <c r="Y24" s="144">
        <f t="shared" si="5"/>
        <v>8</v>
      </c>
      <c r="Z24" s="145" t="str">
        <f t="shared" si="6"/>
        <v>OK</v>
      </c>
    </row>
    <row r="25" spans="2:26" ht="17.100000000000001" customHeight="1" x14ac:dyDescent="0.2">
      <c r="B25" s="130">
        <v>15</v>
      </c>
      <c r="C25" s="131" t="s">
        <v>240</v>
      </c>
      <c r="D25" s="132" t="s">
        <v>241</v>
      </c>
      <c r="E25" s="133">
        <v>183.25</v>
      </c>
      <c r="F25" s="133">
        <v>97.4166666666667</v>
      </c>
      <c r="G25" s="133">
        <v>2679.8333333333198</v>
      </c>
      <c r="H25" s="134">
        <f t="shared" si="0"/>
        <v>183.25</v>
      </c>
      <c r="I25" s="135">
        <v>180</v>
      </c>
      <c r="J25" s="135">
        <v>186</v>
      </c>
      <c r="K25" s="135">
        <v>587</v>
      </c>
      <c r="L25" s="135">
        <v>28</v>
      </c>
      <c r="M25" s="135">
        <v>73</v>
      </c>
      <c r="N25" s="135">
        <v>77</v>
      </c>
      <c r="O25" s="135">
        <v>1089</v>
      </c>
      <c r="P25" s="135">
        <v>1094</v>
      </c>
      <c r="Q25" s="135"/>
      <c r="R25" s="135"/>
      <c r="S25" s="135"/>
      <c r="T25" s="135"/>
      <c r="U25" s="136">
        <f t="shared" si="1"/>
        <v>414.25</v>
      </c>
      <c r="V25" s="136">
        <f t="shared" si="2"/>
        <v>3314</v>
      </c>
      <c r="W25" s="137">
        <f t="shared" si="3"/>
        <v>-0.84541949126189364</v>
      </c>
      <c r="X25" s="137">
        <f t="shared" si="4"/>
        <v>1.2605729877216918</v>
      </c>
      <c r="Y25" s="138">
        <f t="shared" si="5"/>
        <v>8</v>
      </c>
      <c r="Z25" s="139" t="str">
        <f t="shared" si="6"/>
        <v>VERIFY AVG-2025 (&gt;3× prior yrs)</v>
      </c>
    </row>
    <row r="26" spans="2:26" ht="17.100000000000001" customHeight="1" x14ac:dyDescent="0.2">
      <c r="B26" s="140">
        <v>16</v>
      </c>
      <c r="C26" s="141" t="s">
        <v>242</v>
      </c>
      <c r="D26" s="142" t="s">
        <v>241</v>
      </c>
      <c r="E26" s="133">
        <v>452.91666666666703</v>
      </c>
      <c r="F26" s="133">
        <v>370</v>
      </c>
      <c r="G26" s="133">
        <v>650.16666666666595</v>
      </c>
      <c r="H26" s="134">
        <f t="shared" si="0"/>
        <v>452.91666666666703</v>
      </c>
      <c r="I26" s="143">
        <v>526</v>
      </c>
      <c r="J26" s="143">
        <v>576</v>
      </c>
      <c r="K26" s="143">
        <v>633</v>
      </c>
      <c r="L26" s="143">
        <v>661</v>
      </c>
      <c r="M26" s="143">
        <v>482</v>
      </c>
      <c r="N26" s="143">
        <v>477</v>
      </c>
      <c r="O26" s="143">
        <v>1640</v>
      </c>
      <c r="P26" s="143">
        <v>1559</v>
      </c>
      <c r="Q26" s="143"/>
      <c r="R26" s="143"/>
      <c r="S26" s="143"/>
      <c r="T26" s="143"/>
      <c r="U26" s="136">
        <f t="shared" si="1"/>
        <v>819.25</v>
      </c>
      <c r="V26" s="136">
        <f t="shared" si="2"/>
        <v>6554</v>
      </c>
      <c r="W26" s="137">
        <f t="shared" si="3"/>
        <v>0.26006152268649196</v>
      </c>
      <c r="X26" s="137">
        <f t="shared" si="4"/>
        <v>0.80883164673412922</v>
      </c>
      <c r="Y26" s="144">
        <f t="shared" si="5"/>
        <v>8</v>
      </c>
      <c r="Z26" s="145" t="str">
        <f t="shared" si="6"/>
        <v>OK</v>
      </c>
    </row>
    <row r="27" spans="2:26" ht="17.100000000000001" customHeight="1" x14ac:dyDescent="0.2">
      <c r="B27" s="130">
        <v>17</v>
      </c>
      <c r="C27" s="131" t="s">
        <v>243</v>
      </c>
      <c r="D27" s="132" t="s">
        <v>241</v>
      </c>
      <c r="E27" s="133">
        <v>652.83333333333303</v>
      </c>
      <c r="F27" s="133">
        <v>467.16666666666703</v>
      </c>
      <c r="G27" s="133">
        <v>464.66666666666703</v>
      </c>
      <c r="H27" s="134">
        <f t="shared" si="0"/>
        <v>467.16666666666703</v>
      </c>
      <c r="I27" s="135">
        <v>151</v>
      </c>
      <c r="J27" s="135">
        <v>121</v>
      </c>
      <c r="K27" s="135">
        <v>53</v>
      </c>
      <c r="L27" s="135">
        <v>46</v>
      </c>
      <c r="M27" s="135">
        <v>106</v>
      </c>
      <c r="N27" s="135">
        <v>146</v>
      </c>
      <c r="O27" s="135">
        <v>124</v>
      </c>
      <c r="P27" s="135">
        <v>54</v>
      </c>
      <c r="Q27" s="135"/>
      <c r="R27" s="135"/>
      <c r="S27" s="135"/>
      <c r="T27" s="135"/>
      <c r="U27" s="136">
        <f t="shared" si="1"/>
        <v>100.125</v>
      </c>
      <c r="V27" s="136">
        <f t="shared" si="2"/>
        <v>801</v>
      </c>
      <c r="W27" s="137">
        <f t="shared" si="3"/>
        <v>-0.78452295552367302</v>
      </c>
      <c r="X27" s="137">
        <f t="shared" si="4"/>
        <v>-0.78567606136282575</v>
      </c>
      <c r="Y27" s="138">
        <f t="shared" si="5"/>
        <v>8</v>
      </c>
      <c r="Z27" s="139" t="str">
        <f t="shared" si="6"/>
        <v>OK</v>
      </c>
    </row>
    <row r="28" spans="2:26" ht="17.100000000000001" customHeight="1" x14ac:dyDescent="0.2">
      <c r="B28" s="140">
        <v>18</v>
      </c>
      <c r="C28" s="141" t="s">
        <v>244</v>
      </c>
      <c r="D28" s="142" t="s">
        <v>245</v>
      </c>
      <c r="E28" s="133">
        <v>1081.6666666666599</v>
      </c>
      <c r="F28" s="133">
        <v>1140.6666666666599</v>
      </c>
      <c r="G28" s="133">
        <v>1193</v>
      </c>
      <c r="H28" s="134">
        <f t="shared" si="0"/>
        <v>1140.6666666666599</v>
      </c>
      <c r="I28" s="143">
        <v>468</v>
      </c>
      <c r="J28" s="143">
        <v>497</v>
      </c>
      <c r="K28" s="143">
        <v>520</v>
      </c>
      <c r="L28" s="143">
        <v>468</v>
      </c>
      <c r="M28" s="143">
        <v>445</v>
      </c>
      <c r="N28" s="143">
        <v>589</v>
      </c>
      <c r="O28" s="143">
        <v>598</v>
      </c>
      <c r="P28" s="143">
        <v>570</v>
      </c>
      <c r="Q28" s="143"/>
      <c r="R28" s="143"/>
      <c r="S28" s="143"/>
      <c r="T28" s="143"/>
      <c r="U28" s="136">
        <f t="shared" si="1"/>
        <v>519.375</v>
      </c>
      <c r="V28" s="136">
        <f t="shared" si="2"/>
        <v>4155</v>
      </c>
      <c r="W28" s="137">
        <f t="shared" si="3"/>
        <v>-0.56464794635373017</v>
      </c>
      <c r="X28" s="137">
        <f t="shared" si="4"/>
        <v>-0.54467416715370853</v>
      </c>
      <c r="Y28" s="144">
        <f t="shared" si="5"/>
        <v>8</v>
      </c>
      <c r="Z28" s="145" t="str">
        <f t="shared" si="6"/>
        <v>OK</v>
      </c>
    </row>
    <row r="29" spans="2:26" ht="17.100000000000001" customHeight="1" x14ac:dyDescent="0.2">
      <c r="B29" s="130">
        <v>19</v>
      </c>
      <c r="C29" s="131" t="s">
        <v>246</v>
      </c>
      <c r="D29" s="132" t="s">
        <v>245</v>
      </c>
      <c r="E29" s="133"/>
      <c r="F29" s="133"/>
      <c r="G29" s="133"/>
      <c r="H29" s="134" t="str">
        <f t="shared" si="0"/>
        <v/>
      </c>
      <c r="I29" s="135">
        <v>48</v>
      </c>
      <c r="J29" s="135">
        <v>33</v>
      </c>
      <c r="K29" s="135">
        <v>43</v>
      </c>
      <c r="L29" s="135">
        <v>78</v>
      </c>
      <c r="M29" s="135">
        <v>204</v>
      </c>
      <c r="N29" s="135">
        <v>96</v>
      </c>
      <c r="O29" s="135">
        <v>176</v>
      </c>
      <c r="P29" s="135">
        <v>209</v>
      </c>
      <c r="Q29" s="135"/>
      <c r="R29" s="135"/>
      <c r="S29" s="135"/>
      <c r="T29" s="135"/>
      <c r="U29" s="136">
        <f t="shared" si="1"/>
        <v>110.875</v>
      </c>
      <c r="V29" s="136">
        <f t="shared" si="2"/>
        <v>887</v>
      </c>
      <c r="W29" s="137" t="str">
        <f t="shared" si="3"/>
        <v/>
      </c>
      <c r="X29" s="137" t="str">
        <f t="shared" si="4"/>
        <v/>
      </c>
      <c r="Y29" s="138">
        <f t="shared" si="5"/>
        <v>8</v>
      </c>
      <c r="Z29" s="139" t="str">
        <f t="shared" si="6"/>
        <v>OK</v>
      </c>
    </row>
    <row r="30" spans="2:26" ht="17.100000000000001" customHeight="1" x14ac:dyDescent="0.2">
      <c r="B30" s="140">
        <v>20</v>
      </c>
      <c r="C30" s="141" t="s">
        <v>247</v>
      </c>
      <c r="D30" s="142" t="s">
        <v>245</v>
      </c>
      <c r="E30" s="133"/>
      <c r="F30" s="133"/>
      <c r="G30" s="133"/>
      <c r="H30" s="134" t="str">
        <f t="shared" si="0"/>
        <v/>
      </c>
      <c r="I30" s="143">
        <v>94</v>
      </c>
      <c r="J30" s="143">
        <v>98</v>
      </c>
      <c r="K30" s="143">
        <v>104</v>
      </c>
      <c r="L30" s="143">
        <v>15</v>
      </c>
      <c r="M30" s="143">
        <v>87</v>
      </c>
      <c r="N30" s="143">
        <v>68</v>
      </c>
      <c r="O30" s="143">
        <v>89</v>
      </c>
      <c r="P30" s="143">
        <v>135</v>
      </c>
      <c r="Q30" s="143"/>
      <c r="R30" s="143"/>
      <c r="S30" s="143"/>
      <c r="T30" s="143"/>
      <c r="U30" s="136">
        <f t="shared" si="1"/>
        <v>86.25</v>
      </c>
      <c r="V30" s="136">
        <f t="shared" si="2"/>
        <v>690</v>
      </c>
      <c r="W30" s="137" t="str">
        <f t="shared" si="3"/>
        <v/>
      </c>
      <c r="X30" s="137" t="str">
        <f t="shared" si="4"/>
        <v/>
      </c>
      <c r="Y30" s="144">
        <f t="shared" si="5"/>
        <v>8</v>
      </c>
      <c r="Z30" s="145" t="str">
        <f t="shared" si="6"/>
        <v>OK</v>
      </c>
    </row>
    <row r="31" spans="2:26" ht="18.95" customHeight="1" x14ac:dyDescent="0.2">
      <c r="B31" s="146"/>
      <c r="C31" s="147" t="s">
        <v>248</v>
      </c>
      <c r="D31" s="146"/>
      <c r="E31" s="148">
        <f t="shared" ref="E31:T31" si="7">IF(COUNT(E11:E30)=0,"",SUM(E11:E30))</f>
        <v>5466.7074999999904</v>
      </c>
      <c r="F31" s="148">
        <f t="shared" si="7"/>
        <v>5670.1249999999918</v>
      </c>
      <c r="G31" s="148">
        <f t="shared" si="7"/>
        <v>35968.83333333327</v>
      </c>
      <c r="H31" s="148">
        <f t="shared" si="7"/>
        <v>5904.5833333333248</v>
      </c>
      <c r="I31" s="148">
        <f t="shared" si="7"/>
        <v>3511</v>
      </c>
      <c r="J31" s="148">
        <f t="shared" si="7"/>
        <v>3737</v>
      </c>
      <c r="K31" s="148">
        <f t="shared" si="7"/>
        <v>4736</v>
      </c>
      <c r="L31" s="148">
        <f t="shared" si="7"/>
        <v>4529</v>
      </c>
      <c r="M31" s="148">
        <f t="shared" si="7"/>
        <v>4021</v>
      </c>
      <c r="N31" s="148">
        <f t="shared" si="7"/>
        <v>2574</v>
      </c>
      <c r="O31" s="148">
        <f t="shared" si="7"/>
        <v>6551</v>
      </c>
      <c r="P31" s="148">
        <f t="shared" si="7"/>
        <v>7028</v>
      </c>
      <c r="Q31" s="148" t="str">
        <f t="shared" si="7"/>
        <v/>
      </c>
      <c r="R31" s="148" t="str">
        <f t="shared" si="7"/>
        <v/>
      </c>
      <c r="S31" s="148" t="str">
        <f t="shared" si="7"/>
        <v/>
      </c>
      <c r="T31" s="148" t="str">
        <f t="shared" si="7"/>
        <v/>
      </c>
      <c r="U31" s="148">
        <f t="shared" si="1"/>
        <v>4585.875</v>
      </c>
      <c r="V31" s="148">
        <f t="shared" si="2"/>
        <v>36687</v>
      </c>
      <c r="W31" s="149">
        <f t="shared" si="3"/>
        <v>-0.87250420502935389</v>
      </c>
      <c r="X31" s="149">
        <f t="shared" si="4"/>
        <v>-0.22333639122150761</v>
      </c>
      <c r="Y31" s="146"/>
      <c r="Z31" s="146"/>
    </row>
    <row r="32" spans="2:26" ht="18" customHeight="1" x14ac:dyDescent="0.2">
      <c r="B32" s="444" t="s">
        <v>249</v>
      </c>
      <c r="C32" s="445"/>
      <c r="D32" s="445"/>
      <c r="E32" s="445"/>
      <c r="F32" s="445"/>
      <c r="G32" s="445"/>
      <c r="H32" s="445"/>
      <c r="I32" s="445"/>
      <c r="J32" s="445"/>
      <c r="K32" s="445"/>
      <c r="L32" s="445"/>
      <c r="M32" s="445"/>
      <c r="N32" s="445"/>
      <c r="O32" s="445"/>
      <c r="P32" s="445"/>
      <c r="Q32" s="445"/>
      <c r="R32" s="445"/>
      <c r="S32" s="445"/>
      <c r="T32" s="445"/>
      <c r="U32" s="445"/>
      <c r="V32" s="445"/>
      <c r="W32" s="445"/>
      <c r="X32" s="445"/>
      <c r="Y32" s="445"/>
      <c r="Z32" s="445"/>
    </row>
    <row r="33" spans="2:26" ht="17.100000000000001" customHeight="1" x14ac:dyDescent="0.2">
      <c r="B33" s="130">
        <v>21</v>
      </c>
      <c r="C33" s="131" t="s">
        <v>250</v>
      </c>
      <c r="D33" s="132" t="s">
        <v>251</v>
      </c>
      <c r="E33" s="133">
        <v>5010.4166666666597</v>
      </c>
      <c r="F33" s="133">
        <v>12262.25</v>
      </c>
      <c r="G33" s="133">
        <v>10719</v>
      </c>
      <c r="H33" s="134">
        <f>IF(COUNT(E33:G33)=0,"",MEDIAN(E33:G33))</f>
        <v>10719</v>
      </c>
      <c r="I33" s="135">
        <v>8770</v>
      </c>
      <c r="J33" s="135">
        <v>14597</v>
      </c>
      <c r="K33" s="135">
        <v>12927</v>
      </c>
      <c r="L33" s="135">
        <v>12096</v>
      </c>
      <c r="M33" s="135">
        <v>11615</v>
      </c>
      <c r="N33" s="135">
        <v>7361</v>
      </c>
      <c r="O33" s="135">
        <v>8310</v>
      </c>
      <c r="P33" s="135">
        <v>10986</v>
      </c>
      <c r="Q33" s="135"/>
      <c r="R33" s="135"/>
      <c r="S33" s="135"/>
      <c r="T33" s="135"/>
      <c r="U33" s="136">
        <f>IF(COUNT(I33:T33)=0,"",AVERAGE(I33:T33))</f>
        <v>10832.75</v>
      </c>
      <c r="V33" s="136">
        <f>IF(COUNT(I33:T33)=0,"",SUM(I33:T33))</f>
        <v>86662</v>
      </c>
      <c r="W33" s="137">
        <f>IF(OR(U33="",N(G33)=0),"",U33/G33-1)</f>
        <v>1.0611997387816041E-2</v>
      </c>
      <c r="X33" s="137">
        <f>IF(OR(U33="",N(H33)=0),"",U33/H33-1)</f>
        <v>1.0611997387816041E-2</v>
      </c>
      <c r="Y33" s="138">
        <f>COUNT(I33:T33)</f>
        <v>8</v>
      </c>
      <c r="Z33" s="139" t="str">
        <f>IF(COUNT(I33:T33)=0,"NO 2026 DATA",IF(COUNT(I33:T33)&lt;MATCH(9.99E+307,I33:T33)-MATCH(TRUE,INDEX(ISNUMBER(I33:T33),0),0)+1,"MISSING MONTH(S)",IF(AND(COUNT(E33:F33)=2,N(G33)&gt;3*MAX(E33:F33)),"VERIFY AVG-2025 (&gt;3× prior yrs)",IF(AND(N(H33)&gt;=500,MIN(I33:T33)&lt;0.1*N(H33)),"CHECK OUTLIER MONTH",IF(AND(N(H33)&gt;=50,LOOKUP(9.99E+307,I33:T33)=0),"LATEST = 0 · CHECK METER","OK")))))</f>
        <v>OK</v>
      </c>
    </row>
    <row r="34" spans="2:26" ht="17.100000000000001" customHeight="1" x14ac:dyDescent="0.2">
      <c r="B34" s="140">
        <v>22</v>
      </c>
      <c r="C34" s="141" t="s">
        <v>252</v>
      </c>
      <c r="D34" s="142" t="s">
        <v>251</v>
      </c>
      <c r="E34" s="133">
        <v>7038</v>
      </c>
      <c r="F34" s="133">
        <v>4009.4166666666702</v>
      </c>
      <c r="G34" s="133">
        <v>6035.1666666666597</v>
      </c>
      <c r="H34" s="134">
        <f>IF(COUNT(E34:G34)=0,"",MEDIAN(E34:G34))</f>
        <v>6035.1666666666597</v>
      </c>
      <c r="I34" s="143">
        <v>5643</v>
      </c>
      <c r="J34" s="143">
        <v>6541</v>
      </c>
      <c r="K34" s="143">
        <v>6091</v>
      </c>
      <c r="L34" s="143">
        <v>7080</v>
      </c>
      <c r="M34" s="143">
        <v>7193</v>
      </c>
      <c r="N34" s="143">
        <v>3865</v>
      </c>
      <c r="O34" s="143">
        <v>1136</v>
      </c>
      <c r="P34" s="143">
        <v>2501</v>
      </c>
      <c r="Q34" s="143"/>
      <c r="R34" s="143"/>
      <c r="S34" s="143"/>
      <c r="T34" s="143"/>
      <c r="U34" s="136">
        <f>IF(COUNT(I34:T34)=0,"",AVERAGE(I34:T34))</f>
        <v>5006.25</v>
      </c>
      <c r="V34" s="136">
        <f>IF(COUNT(I34:T34)=0,"",SUM(I34:T34))</f>
        <v>40050</v>
      </c>
      <c r="W34" s="137">
        <f>IF(OR(U34="",N(G34)=0),"",U34/G34-1)</f>
        <v>-0.17048686863107798</v>
      </c>
      <c r="X34" s="137">
        <f>IF(OR(U34="",N(H34)=0),"",U34/H34-1)</f>
        <v>-0.17048686863107798</v>
      </c>
      <c r="Y34" s="144">
        <f>COUNT(I34:T34)</f>
        <v>8</v>
      </c>
      <c r="Z34" s="145" t="str">
        <f>IF(COUNT(I34:T34)=0,"NO 2026 DATA",IF(COUNT(I34:T34)&lt;MATCH(9.99E+307,I34:T34)-MATCH(TRUE,INDEX(ISNUMBER(I34:T34),0),0)+1,"MISSING MONTH(S)",IF(AND(COUNT(E34:F34)=2,N(G34)&gt;3*MAX(E34:F34)),"VERIFY AVG-2025 (&gt;3× prior yrs)",IF(AND(N(H34)&gt;=500,MIN(I34:T34)&lt;0.1*N(H34)),"CHECK OUTLIER MONTH",IF(AND(N(H34)&gt;=50,LOOKUP(9.99E+307,I34:T34)=0),"LATEST = 0 · CHECK METER","OK")))))</f>
        <v>OK</v>
      </c>
    </row>
    <row r="35" spans="2:26" ht="17.100000000000001" customHeight="1" x14ac:dyDescent="0.2">
      <c r="B35" s="130">
        <v>23</v>
      </c>
      <c r="C35" s="131" t="s">
        <v>253</v>
      </c>
      <c r="D35" s="132" t="s">
        <v>251</v>
      </c>
      <c r="E35" s="133">
        <v>3818.8333333333198</v>
      </c>
      <c r="F35" s="133">
        <v>4664.1666666666597</v>
      </c>
      <c r="G35" s="133">
        <v>12882.75</v>
      </c>
      <c r="H35" s="134">
        <f>IF(COUNT(E35:G35)=0,"",MEDIAN(E35:G35))</f>
        <v>4664.1666666666597</v>
      </c>
      <c r="I35" s="135">
        <v>3596</v>
      </c>
      <c r="J35" s="135">
        <v>0</v>
      </c>
      <c r="K35" s="135">
        <v>0</v>
      </c>
      <c r="L35" s="135">
        <v>0</v>
      </c>
      <c r="M35" s="135">
        <v>0</v>
      </c>
      <c r="N35" s="135"/>
      <c r="O35" s="135">
        <v>0</v>
      </c>
      <c r="P35" s="135"/>
      <c r="Q35" s="135"/>
      <c r="R35" s="135"/>
      <c r="S35" s="135"/>
      <c r="T35" s="135"/>
      <c r="U35" s="136">
        <f>IF(COUNT(I35:T35)=0,"",AVERAGE(I35:T35))</f>
        <v>599.33333333333337</v>
      </c>
      <c r="V35" s="136">
        <f>IF(COUNT(I35:T35)=0,"",SUM(I35:T35))</f>
        <v>3596</v>
      </c>
      <c r="W35" s="137">
        <f>IF(OR(U35="",N(G35)=0),"",U35/G35-1)</f>
        <v>-0.95347784181689987</v>
      </c>
      <c r="X35" s="137">
        <f>IF(OR(U35="",N(H35)=0),"",U35/H35-1)</f>
        <v>-0.87150259067357494</v>
      </c>
      <c r="Y35" s="138">
        <f>COUNT(I35:T35)</f>
        <v>6</v>
      </c>
      <c r="Z35" s="139" t="str">
        <f>IF(COUNT(I35:T35)=0,"NO 2026 DATA",IF(COUNT(I35:T35)&lt;MATCH(9.99E+307,I35:T35)-MATCH(TRUE,INDEX(ISNUMBER(I35:T35),0),0)+1,"MISSING MONTH(S)",IF(AND(COUNT(E35:F35)=2,N(G35)&gt;3*MAX(E35:F35)),"VERIFY AVG-2025 (&gt;3× prior yrs)",IF(AND(N(H35)&gt;=500,MIN(I35:T35)&lt;0.1*N(H35)),"CHECK OUTLIER MONTH",IF(AND(N(H35)&gt;=50,LOOKUP(9.99E+307,I35:T35)=0),"LATEST = 0 · CHECK METER","OK")))))</f>
        <v>MISSING MONTH(S)</v>
      </c>
    </row>
    <row r="36" spans="2:26" ht="18.95" customHeight="1" x14ac:dyDescent="0.2">
      <c r="B36" s="150"/>
      <c r="C36" s="151" t="s">
        <v>254</v>
      </c>
      <c r="D36" s="150"/>
      <c r="E36" s="152">
        <f t="shared" ref="E36:T36" si="8">IF(COUNT(E33:E35)=0,"",SUM(E33:E35))</f>
        <v>15867.24999999998</v>
      </c>
      <c r="F36" s="152">
        <f t="shared" si="8"/>
        <v>20935.833333333328</v>
      </c>
      <c r="G36" s="152">
        <f t="shared" si="8"/>
        <v>29636.916666666661</v>
      </c>
      <c r="H36" s="152">
        <f t="shared" si="8"/>
        <v>21418.333333333321</v>
      </c>
      <c r="I36" s="152">
        <f t="shared" si="8"/>
        <v>18009</v>
      </c>
      <c r="J36" s="152">
        <f t="shared" si="8"/>
        <v>21138</v>
      </c>
      <c r="K36" s="152">
        <f t="shared" si="8"/>
        <v>19018</v>
      </c>
      <c r="L36" s="152">
        <f t="shared" si="8"/>
        <v>19176</v>
      </c>
      <c r="M36" s="152">
        <f t="shared" si="8"/>
        <v>18808</v>
      </c>
      <c r="N36" s="152">
        <f t="shared" si="8"/>
        <v>11226</v>
      </c>
      <c r="O36" s="152">
        <f t="shared" si="8"/>
        <v>9446</v>
      </c>
      <c r="P36" s="152">
        <f t="shared" si="8"/>
        <v>13487</v>
      </c>
      <c r="Q36" s="152" t="str">
        <f t="shared" si="8"/>
        <v/>
      </c>
      <c r="R36" s="152" t="str">
        <f t="shared" si="8"/>
        <v/>
      </c>
      <c r="S36" s="152" t="str">
        <f t="shared" si="8"/>
        <v/>
      </c>
      <c r="T36" s="152" t="str">
        <f t="shared" si="8"/>
        <v/>
      </c>
      <c r="U36" s="152">
        <f>IF(COUNT(I36:T36)=0,"",AVERAGE(I36:T36))</f>
        <v>16288.5</v>
      </c>
      <c r="V36" s="152">
        <f>IF(COUNT(I36:T36)=0,"",SUM(I36:T36))</f>
        <v>130308</v>
      </c>
      <c r="W36" s="153">
        <f>IF(OR(U36="",N(G36)=0),"",U36/G36-1)</f>
        <v>-0.45039829266989639</v>
      </c>
      <c r="X36" s="153">
        <f>IF(OR(U36="",N(H36)=0),"",U36/H36-1)</f>
        <v>-0.23950665317874054</v>
      </c>
      <c r="Y36" s="150"/>
      <c r="Z36" s="150"/>
    </row>
    <row r="37" spans="2:26" ht="18" customHeight="1" x14ac:dyDescent="0.2">
      <c r="B37" s="465" t="s">
        <v>255</v>
      </c>
      <c r="C37" s="466"/>
      <c r="D37" s="466"/>
      <c r="E37" s="466"/>
      <c r="F37" s="466"/>
      <c r="G37" s="466"/>
      <c r="H37" s="466"/>
      <c r="I37" s="466"/>
      <c r="J37" s="466"/>
      <c r="K37" s="466"/>
      <c r="L37" s="466"/>
      <c r="M37" s="466"/>
      <c r="N37" s="466"/>
      <c r="O37" s="466"/>
      <c r="P37" s="466"/>
      <c r="Q37" s="466"/>
      <c r="R37" s="466"/>
      <c r="S37" s="466"/>
      <c r="T37" s="466"/>
      <c r="U37" s="466"/>
      <c r="V37" s="466"/>
      <c r="W37" s="466"/>
      <c r="X37" s="466"/>
      <c r="Y37" s="466"/>
      <c r="Z37" s="466"/>
    </row>
    <row r="38" spans="2:26" ht="17.100000000000001" customHeight="1" x14ac:dyDescent="0.2">
      <c r="B38" s="140">
        <v>24</v>
      </c>
      <c r="C38" s="141" t="s">
        <v>256</v>
      </c>
      <c r="D38" s="142" t="s">
        <v>257</v>
      </c>
      <c r="E38" s="133">
        <v>11410.118333333199</v>
      </c>
      <c r="F38" s="133">
        <v>17298.0333333333</v>
      </c>
      <c r="G38" s="133">
        <v>29581.0608333333</v>
      </c>
      <c r="H38" s="134">
        <f>IF(COUNT(E38:G38)=0,"",MEDIAN(E38:G38))</f>
        <v>17298.0333333333</v>
      </c>
      <c r="I38" s="143">
        <v>15002</v>
      </c>
      <c r="J38" s="143">
        <v>19302.669999999998</v>
      </c>
      <c r="K38" s="143">
        <v>17647.45</v>
      </c>
      <c r="L38" s="143">
        <v>18490.490000000002</v>
      </c>
      <c r="M38" s="143">
        <v>21759.4</v>
      </c>
      <c r="N38" s="143">
        <v>11528.59</v>
      </c>
      <c r="O38" s="143">
        <v>15618.59</v>
      </c>
      <c r="P38" s="143">
        <v>11995</v>
      </c>
      <c r="Q38" s="143"/>
      <c r="R38" s="143"/>
      <c r="S38" s="143"/>
      <c r="T38" s="143"/>
      <c r="U38" s="136">
        <f>IF(COUNT(I38:T38)=0,"",AVERAGE(I38:T38))</f>
        <v>16418.02375</v>
      </c>
      <c r="V38" s="136">
        <f>IF(COUNT(I38:T38)=0,"",SUM(I38:T38))</f>
        <v>131344.19</v>
      </c>
      <c r="W38" s="137">
        <f>IF(OR(U38="",N(G38)=0),"",U38/G38-1)</f>
        <v>-0.44498191452622227</v>
      </c>
      <c r="X38" s="137">
        <f>IF(OR(U38="",N(H38)=0),"",U38/H38-1)</f>
        <v>-5.0873389267756974E-2</v>
      </c>
      <c r="Y38" s="144">
        <f>COUNT(I38:T38)</f>
        <v>8</v>
      </c>
      <c r="Z38" s="145" t="str">
        <f>IF(COUNT(I38:T38)=0,"NO 2026 DATA",IF(COUNT(I38:T38)&lt;MATCH(9.99E+307,I38:T38)-MATCH(TRUE,INDEX(ISNUMBER(I38:T38),0),0)+1,"MISSING MONTH(S)",IF(AND(COUNT(E38:F38)=2,N(G38)&gt;3*MAX(E38:F38)),"VERIFY AVG-2025 (&gt;3× prior yrs)",IF(AND(N(H38)&gt;=500,MIN(I38:T38)&lt;0.1*N(H38)),"CHECK OUTLIER MONTH",IF(AND(N(H38)&gt;=50,LOOKUP(9.99E+307,I38:T38)=0),"LATEST = 0 · CHECK METER","OK")))))</f>
        <v>OK</v>
      </c>
    </row>
    <row r="39" spans="2:26" ht="17.100000000000001" customHeight="1" x14ac:dyDescent="0.2">
      <c r="B39" s="130">
        <v>25</v>
      </c>
      <c r="C39" s="131" t="s">
        <v>258</v>
      </c>
      <c r="D39" s="132" t="s">
        <v>257</v>
      </c>
      <c r="E39" s="133">
        <v>7230.2691666666597</v>
      </c>
      <c r="F39" s="133">
        <v>3584</v>
      </c>
      <c r="G39" s="133">
        <v>4534.8333333333303</v>
      </c>
      <c r="H39" s="134">
        <f>IF(COUNT(E39:G39)=0,"",MEDIAN(E39:G39))</f>
        <v>4534.8333333333303</v>
      </c>
      <c r="I39" s="135">
        <v>3596</v>
      </c>
      <c r="J39" s="135">
        <v>5654</v>
      </c>
      <c r="K39" s="135">
        <v>4885</v>
      </c>
      <c r="L39" s="135">
        <v>3764</v>
      </c>
      <c r="M39" s="135">
        <v>1496</v>
      </c>
      <c r="N39" s="135">
        <v>1929</v>
      </c>
      <c r="O39" s="135">
        <v>2303</v>
      </c>
      <c r="P39" s="135">
        <v>2683</v>
      </c>
      <c r="Q39" s="135"/>
      <c r="R39" s="135"/>
      <c r="S39" s="135"/>
      <c r="T39" s="135"/>
      <c r="U39" s="136">
        <f>IF(COUNT(I39:T39)=0,"",AVERAGE(I39:T39))</f>
        <v>3288.75</v>
      </c>
      <c r="V39" s="136">
        <f>IF(COUNT(I39:T39)=0,"",SUM(I39:T39))</f>
        <v>26310</v>
      </c>
      <c r="W39" s="137">
        <f>IF(OR(U39="",N(G39)=0),"",U39/G39-1)</f>
        <v>-0.27478040354294486</v>
      </c>
      <c r="X39" s="137">
        <f>IF(OR(U39="",N(H39)=0),"",U39/H39-1)</f>
        <v>-0.27478040354294486</v>
      </c>
      <c r="Y39" s="138">
        <f>COUNT(I39:T39)</f>
        <v>8</v>
      </c>
      <c r="Z39" s="139" t="str">
        <f>IF(COUNT(I39:T39)=0,"NO 2026 DATA",IF(COUNT(I39:T39)&lt;MATCH(9.99E+307,I39:T39)-MATCH(TRUE,INDEX(ISNUMBER(I39:T39),0),0)+1,"MISSING MONTH(S)",IF(AND(COUNT(E39:F39)=2,N(G39)&gt;3*MAX(E39:F39)),"VERIFY AVG-2025 (&gt;3× prior yrs)",IF(AND(N(H39)&gt;=500,MIN(I39:T39)&lt;0.1*N(H39)),"CHECK OUTLIER MONTH",IF(AND(N(H39)&gt;=50,LOOKUP(9.99E+307,I39:T39)=0),"LATEST = 0 · CHECK METER","OK")))))</f>
        <v>OK</v>
      </c>
    </row>
    <row r="40" spans="2:26" ht="18.95" customHeight="1" x14ac:dyDescent="0.2">
      <c r="B40" s="154"/>
      <c r="C40" s="155" t="s">
        <v>259</v>
      </c>
      <c r="D40" s="154"/>
      <c r="E40" s="156">
        <f t="shared" ref="E40:T40" si="9">IF(COUNT(E38:E39)=0,"",SUM(E38:E39))</f>
        <v>18640.387499999859</v>
      </c>
      <c r="F40" s="156">
        <f t="shared" si="9"/>
        <v>20882.0333333333</v>
      </c>
      <c r="G40" s="156">
        <f t="shared" si="9"/>
        <v>34115.894166666629</v>
      </c>
      <c r="H40" s="156">
        <f t="shared" si="9"/>
        <v>21832.866666666632</v>
      </c>
      <c r="I40" s="156">
        <f t="shared" si="9"/>
        <v>18598</v>
      </c>
      <c r="J40" s="156">
        <f t="shared" si="9"/>
        <v>24956.67</v>
      </c>
      <c r="K40" s="156">
        <f t="shared" si="9"/>
        <v>22532.45</v>
      </c>
      <c r="L40" s="156">
        <f t="shared" si="9"/>
        <v>22254.49</v>
      </c>
      <c r="M40" s="156">
        <f t="shared" si="9"/>
        <v>23255.4</v>
      </c>
      <c r="N40" s="156">
        <f t="shared" si="9"/>
        <v>13457.59</v>
      </c>
      <c r="O40" s="156">
        <f t="shared" si="9"/>
        <v>17921.59</v>
      </c>
      <c r="P40" s="156">
        <f t="shared" si="9"/>
        <v>14678</v>
      </c>
      <c r="Q40" s="156" t="str">
        <f t="shared" si="9"/>
        <v/>
      </c>
      <c r="R40" s="156" t="str">
        <f t="shared" si="9"/>
        <v/>
      </c>
      <c r="S40" s="156" t="str">
        <f t="shared" si="9"/>
        <v/>
      </c>
      <c r="T40" s="156" t="str">
        <f t="shared" si="9"/>
        <v/>
      </c>
      <c r="U40" s="156">
        <f>IF(COUNT(I40:T40)=0,"",AVERAGE(I40:T40))</f>
        <v>19706.77375</v>
      </c>
      <c r="V40" s="156">
        <f>IF(COUNT(I40:T40)=0,"",SUM(I40:T40))</f>
        <v>157654.19</v>
      </c>
      <c r="W40" s="157">
        <f>IF(OR(U40="",N(G40)=0),"",U40/G40-1)</f>
        <v>-0.42235798793001422</v>
      </c>
      <c r="X40" s="157">
        <f>IF(OR(U40="",N(H40)=0),"",U40/H40-1)</f>
        <v>-9.7380382939481258E-2</v>
      </c>
      <c r="Y40" s="154"/>
      <c r="Z40" s="154"/>
    </row>
    <row r="41" spans="2:26" ht="18" customHeight="1" x14ac:dyDescent="0.2">
      <c r="B41" s="442" t="s">
        <v>260</v>
      </c>
      <c r="C41" s="443"/>
      <c r="D41" s="443"/>
      <c r="E41" s="443"/>
      <c r="F41" s="443"/>
      <c r="G41" s="443"/>
      <c r="H41" s="443"/>
      <c r="I41" s="443"/>
      <c r="J41" s="443"/>
      <c r="K41" s="443"/>
      <c r="L41" s="443"/>
      <c r="M41" s="443"/>
      <c r="N41" s="443"/>
      <c r="O41" s="443"/>
      <c r="P41" s="443"/>
      <c r="Q41" s="443"/>
      <c r="R41" s="443"/>
      <c r="S41" s="443"/>
      <c r="T41" s="443"/>
      <c r="U41" s="443"/>
      <c r="V41" s="443"/>
      <c r="W41" s="443"/>
      <c r="X41" s="443"/>
      <c r="Y41" s="443"/>
      <c r="Z41" s="443"/>
    </row>
    <row r="42" spans="2:26" ht="17.100000000000001" customHeight="1" x14ac:dyDescent="0.2">
      <c r="B42" s="158"/>
      <c r="C42" s="159" t="s">
        <v>261</v>
      </c>
      <c r="D42" s="158"/>
      <c r="E42" s="158">
        <f>IF(OR(E40="",E36=""),"",E40-E36)</f>
        <v>2773.1374999998789</v>
      </c>
      <c r="F42" s="158">
        <f>IF(OR(F40="",F36=""),"",F40-F36)</f>
        <v>-53.800000000028376</v>
      </c>
      <c r="G42" s="158">
        <f>IF(OR(G40="",G36=""),"",G40-G36)</f>
        <v>4478.9774999999681</v>
      </c>
      <c r="H42" s="158"/>
      <c r="I42" s="158">
        <f t="shared" ref="I42:T42" si="10">IF(OR(I40="",I36=""),"",I40-I36)</f>
        <v>589</v>
      </c>
      <c r="J42" s="158">
        <f t="shared" si="10"/>
        <v>3818.6699999999983</v>
      </c>
      <c r="K42" s="158">
        <f t="shared" si="10"/>
        <v>3514.4500000000007</v>
      </c>
      <c r="L42" s="158">
        <f t="shared" si="10"/>
        <v>3078.4900000000016</v>
      </c>
      <c r="M42" s="158">
        <f t="shared" si="10"/>
        <v>4447.4000000000015</v>
      </c>
      <c r="N42" s="158">
        <f t="shared" si="10"/>
        <v>2231.59</v>
      </c>
      <c r="O42" s="158">
        <f t="shared" si="10"/>
        <v>8475.59</v>
      </c>
      <c r="P42" s="158">
        <f t="shared" si="10"/>
        <v>1191</v>
      </c>
      <c r="Q42" s="158" t="str">
        <f t="shared" si="10"/>
        <v/>
      </c>
      <c r="R42" s="158" t="str">
        <f t="shared" si="10"/>
        <v/>
      </c>
      <c r="S42" s="158" t="str">
        <f t="shared" si="10"/>
        <v/>
      </c>
      <c r="T42" s="158" t="str">
        <f t="shared" si="10"/>
        <v/>
      </c>
      <c r="U42" s="158">
        <f>IF(COUNT(I42:T42)=0,"",AVERAGE(I42:T42))</f>
        <v>3418.2737500000003</v>
      </c>
      <c r="V42" s="158"/>
      <c r="W42" s="158"/>
      <c r="X42" s="158"/>
      <c r="Y42" s="158"/>
      <c r="Z42" s="160" t="s">
        <v>262</v>
      </c>
    </row>
    <row r="43" spans="2:26" ht="17.100000000000001" customHeight="1" x14ac:dyDescent="0.2">
      <c r="B43" s="158"/>
      <c r="C43" s="159" t="s">
        <v>263</v>
      </c>
      <c r="D43" s="158"/>
      <c r="E43" s="158">
        <f>IF(OR(E33="",E31=""),"",E33-E31)</f>
        <v>-456.29083333333074</v>
      </c>
      <c r="F43" s="158">
        <f>IF(OR(F33="",F31=""),"",F33-F31)</f>
        <v>6592.1250000000082</v>
      </c>
      <c r="G43" s="158">
        <f>IF(OR(G33="",G31=""),"",G33-G31)</f>
        <v>-25249.83333333327</v>
      </c>
      <c r="H43" s="158"/>
      <c r="I43" s="158">
        <f t="shared" ref="I43:T43" si="11">IF(OR(I33="",I31=""),"",I33-I31)</f>
        <v>5259</v>
      </c>
      <c r="J43" s="158">
        <f t="shared" si="11"/>
        <v>10860</v>
      </c>
      <c r="K43" s="158">
        <f t="shared" si="11"/>
        <v>8191</v>
      </c>
      <c r="L43" s="158">
        <f t="shared" si="11"/>
        <v>7567</v>
      </c>
      <c r="M43" s="158">
        <f t="shared" si="11"/>
        <v>7594</v>
      </c>
      <c r="N43" s="158">
        <f t="shared" si="11"/>
        <v>4787</v>
      </c>
      <c r="O43" s="158">
        <f t="shared" si="11"/>
        <v>1759</v>
      </c>
      <c r="P43" s="158">
        <f t="shared" si="11"/>
        <v>3958</v>
      </c>
      <c r="Q43" s="158" t="str">
        <f t="shared" si="11"/>
        <v/>
      </c>
      <c r="R43" s="158" t="str">
        <f t="shared" si="11"/>
        <v/>
      </c>
      <c r="S43" s="158" t="str">
        <f t="shared" si="11"/>
        <v/>
      </c>
      <c r="T43" s="158" t="str">
        <f t="shared" si="11"/>
        <v/>
      </c>
      <c r="U43" s="158">
        <f>IF(COUNT(I43:T43)=0,"",AVERAGE(I43:T43))</f>
        <v>6246.875</v>
      </c>
      <c r="V43" s="158"/>
      <c r="W43" s="158"/>
      <c r="X43" s="158"/>
      <c r="Y43" s="158"/>
      <c r="Z43" s="160" t="s">
        <v>264</v>
      </c>
    </row>
    <row r="44" spans="2:26" ht="17.100000000000001" customHeight="1" x14ac:dyDescent="0.2">
      <c r="B44" s="161"/>
      <c r="C44" s="162" t="s">
        <v>265</v>
      </c>
      <c r="D44" s="161"/>
      <c r="E44" s="161">
        <f>IF(OR(E33="",E31="",N(E33)=0),"",E31/E33)</f>
        <v>1.0910684407484403</v>
      </c>
      <c r="F44" s="161">
        <f>IF(OR(F33="",F31="",N(F33)=0),"",F31/F33)</f>
        <v>0.46240494199677806</v>
      </c>
      <c r="G44" s="161">
        <f>IF(OR(G33="",G31="",N(G33)=0),"",G31/G33)</f>
        <v>3.3556146406692107</v>
      </c>
      <c r="H44" s="161"/>
      <c r="I44" s="161">
        <f t="shared" ref="I44:T44" si="12">IF(OR(I33="",I31="",N(I33)=0),"",I31/I33)</f>
        <v>0.40034207525655646</v>
      </c>
      <c r="J44" s="161">
        <f t="shared" si="12"/>
        <v>0.25601150921422211</v>
      </c>
      <c r="K44" s="161">
        <f t="shared" si="12"/>
        <v>0.36636497253809858</v>
      </c>
      <c r="L44" s="161">
        <f t="shared" si="12"/>
        <v>0.37442129629629628</v>
      </c>
      <c r="M44" s="161">
        <f t="shared" si="12"/>
        <v>0.34619027120103313</v>
      </c>
      <c r="N44" s="161">
        <f t="shared" si="12"/>
        <v>0.34968074989811165</v>
      </c>
      <c r="O44" s="161">
        <f t="shared" si="12"/>
        <v>0.78832731648616128</v>
      </c>
      <c r="P44" s="161">
        <f t="shared" si="12"/>
        <v>0.63972328417986524</v>
      </c>
      <c r="Q44" s="161" t="str">
        <f t="shared" si="12"/>
        <v/>
      </c>
      <c r="R44" s="161" t="str">
        <f t="shared" si="12"/>
        <v/>
      </c>
      <c r="S44" s="161" t="str">
        <f t="shared" si="12"/>
        <v/>
      </c>
      <c r="T44" s="161" t="str">
        <f t="shared" si="12"/>
        <v/>
      </c>
      <c r="U44" s="161">
        <f>IFERROR(SUMPRODUCT(--ISNUMBER(I33:T33),--ISNUMBER(I31:T31),I31:T31)/SUMPRODUCT(--ISNUMBER(I33:T33),--ISNUMBER(I31:T31),I33:T33),"")</f>
        <v>0.4233343333871824</v>
      </c>
      <c r="V44" s="161"/>
      <c r="W44" s="161"/>
      <c r="X44" s="161"/>
      <c r="Y44" s="161"/>
      <c r="Z44" s="163" t="s">
        <v>266</v>
      </c>
    </row>
    <row r="45" spans="2:26" ht="17.100000000000001" customHeight="1" x14ac:dyDescent="0.2">
      <c r="B45" s="164"/>
      <c r="C45" s="165" t="s">
        <v>267</v>
      </c>
      <c r="D45" s="164"/>
      <c r="E45" s="164"/>
      <c r="F45" s="164"/>
      <c r="G45" s="164"/>
      <c r="H45" s="164"/>
      <c r="I45" s="164">
        <f t="shared" ref="I45:T45" si="13">COUNT(I11:I30,I33:I35,I38:I39)</f>
        <v>25</v>
      </c>
      <c r="J45" s="164">
        <f t="shared" si="13"/>
        <v>25</v>
      </c>
      <c r="K45" s="164">
        <f t="shared" si="13"/>
        <v>25</v>
      </c>
      <c r="L45" s="164">
        <f t="shared" si="13"/>
        <v>25</v>
      </c>
      <c r="M45" s="164">
        <f t="shared" si="13"/>
        <v>25</v>
      </c>
      <c r="N45" s="164">
        <f t="shared" si="13"/>
        <v>24</v>
      </c>
      <c r="O45" s="164">
        <f t="shared" si="13"/>
        <v>25</v>
      </c>
      <c r="P45" s="164">
        <f t="shared" si="13"/>
        <v>24</v>
      </c>
      <c r="Q45" s="164">
        <f t="shared" si="13"/>
        <v>0</v>
      </c>
      <c r="R45" s="164">
        <f t="shared" si="13"/>
        <v>0</v>
      </c>
      <c r="S45" s="164">
        <f t="shared" si="13"/>
        <v>0</v>
      </c>
      <c r="T45" s="164">
        <f t="shared" si="13"/>
        <v>0</v>
      </c>
      <c r="U45" s="164"/>
      <c r="V45" s="164"/>
      <c r="W45" s="164"/>
      <c r="X45" s="164"/>
      <c r="Y45" s="164"/>
      <c r="Z45" s="166" t="s">
        <v>268</v>
      </c>
    </row>
    <row r="46" spans="2:26" ht="17.100000000000001" hidden="1" customHeight="1" x14ac:dyDescent="0.2">
      <c r="B46" s="167"/>
      <c r="C46" s="168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9"/>
    </row>
    <row r="47" spans="2:26" ht="17.100000000000001" hidden="1" customHeight="1" x14ac:dyDescent="0.2">
      <c r="B47" s="167"/>
      <c r="C47" s="168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</row>
    <row r="48" spans="2:26" ht="17.100000000000001" hidden="1" customHeight="1" x14ac:dyDescent="0.2">
      <c r="B48" s="167"/>
      <c r="C48" s="168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</row>
    <row r="49" spans="2:26" ht="17.100000000000001" hidden="1" customHeight="1" x14ac:dyDescent="0.2">
      <c r="B49" s="167"/>
      <c r="C49" s="168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</row>
    <row r="50" spans="2:26" ht="17.100000000000001" hidden="1" customHeight="1" x14ac:dyDescent="0.2">
      <c r="B50" s="167"/>
      <c r="C50" s="168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</row>
    <row r="51" spans="2:26" hidden="1" x14ac:dyDescent="0.2">
      <c r="C51" s="225"/>
    </row>
    <row r="53" spans="2:26" x14ac:dyDescent="0.2">
      <c r="B53" s="430" t="s">
        <v>269</v>
      </c>
      <c r="C53" s="431"/>
      <c r="D53" s="431"/>
      <c r="E53" s="431"/>
      <c r="F53" s="431"/>
      <c r="G53" s="431"/>
      <c r="H53" s="431"/>
    </row>
    <row r="54" spans="2:26" ht="20.100000000000001" customHeight="1" x14ac:dyDescent="0.2">
      <c r="B54" s="129" t="s">
        <v>270</v>
      </c>
      <c r="C54" s="129" t="s">
        <v>215</v>
      </c>
      <c r="D54" s="129" t="s">
        <v>271</v>
      </c>
      <c r="E54" s="129" t="s">
        <v>123</v>
      </c>
      <c r="F54" s="129" t="s">
        <v>272</v>
      </c>
      <c r="G54" s="129" t="s">
        <v>273</v>
      </c>
      <c r="H54" s="129" t="s">
        <v>274</v>
      </c>
    </row>
    <row r="55" spans="2:26" ht="15.95" customHeight="1" x14ac:dyDescent="0.2">
      <c r="B55" s="170">
        <v>1</v>
      </c>
      <c r="C55" s="171" t="s">
        <v>224</v>
      </c>
      <c r="D55" s="172">
        <v>192</v>
      </c>
      <c r="E55" s="173">
        <f t="shared" ref="E55:E74" si="14">IF(I11="","",I11)</f>
        <v>264</v>
      </c>
      <c r="F55" s="174">
        <f t="shared" ref="F55:F79" si="15">IF(OR(D55="",E55=""),"",E55-D55)</f>
        <v>72</v>
      </c>
      <c r="G55" s="175">
        <f t="shared" ref="G55:G79" si="16">IF(OR(D55="",E55="",N(D55)=0),"",E55/D55-1)</f>
        <v>0.375</v>
      </c>
      <c r="H55" s="176"/>
    </row>
    <row r="56" spans="2:26" ht="15.95" customHeight="1" x14ac:dyDescent="0.2">
      <c r="B56" s="177">
        <v>2</v>
      </c>
      <c r="C56" s="178" t="s">
        <v>226</v>
      </c>
      <c r="D56" s="179">
        <v>133</v>
      </c>
      <c r="E56" s="180">
        <f t="shared" si="14"/>
        <v>267</v>
      </c>
      <c r="F56" s="181">
        <f t="shared" si="15"/>
        <v>134</v>
      </c>
      <c r="G56" s="182">
        <f t="shared" si="16"/>
        <v>1.007518796992481</v>
      </c>
      <c r="H56" s="183"/>
    </row>
    <row r="57" spans="2:26" ht="15.95" customHeight="1" x14ac:dyDescent="0.2">
      <c r="B57" s="170">
        <v>3</v>
      </c>
      <c r="C57" s="171" t="s">
        <v>227</v>
      </c>
      <c r="D57" s="172">
        <v>202</v>
      </c>
      <c r="E57" s="173">
        <f t="shared" si="14"/>
        <v>205</v>
      </c>
      <c r="F57" s="174">
        <f t="shared" si="15"/>
        <v>3</v>
      </c>
      <c r="G57" s="175">
        <f t="shared" si="16"/>
        <v>1.4851485148514865E-2</v>
      </c>
      <c r="H57" s="176"/>
    </row>
    <row r="58" spans="2:26" ht="15.95" customHeight="1" x14ac:dyDescent="0.2">
      <c r="B58" s="177">
        <v>4</v>
      </c>
      <c r="C58" s="178" t="s">
        <v>228</v>
      </c>
      <c r="D58" s="179">
        <v>84</v>
      </c>
      <c r="E58" s="180">
        <f t="shared" si="14"/>
        <v>136</v>
      </c>
      <c r="F58" s="181">
        <f t="shared" si="15"/>
        <v>52</v>
      </c>
      <c r="G58" s="182">
        <f t="shared" si="16"/>
        <v>0.61904761904761907</v>
      </c>
      <c r="H58" s="183"/>
    </row>
    <row r="59" spans="2:26" ht="15.95" customHeight="1" x14ac:dyDescent="0.2">
      <c r="B59" s="170">
        <v>5</v>
      </c>
      <c r="C59" s="171" t="s">
        <v>229</v>
      </c>
      <c r="D59" s="172">
        <v>826</v>
      </c>
      <c r="E59" s="173">
        <f t="shared" si="14"/>
        <v>568</v>
      </c>
      <c r="F59" s="174">
        <f t="shared" si="15"/>
        <v>-258</v>
      </c>
      <c r="G59" s="175">
        <f t="shared" si="16"/>
        <v>-0.31234866828087171</v>
      </c>
      <c r="H59" s="176"/>
    </row>
    <row r="60" spans="2:26" ht="15.95" customHeight="1" x14ac:dyDescent="0.2">
      <c r="B60" s="177">
        <v>6</v>
      </c>
      <c r="C60" s="178" t="s">
        <v>230</v>
      </c>
      <c r="D60" s="179">
        <v>402</v>
      </c>
      <c r="E60" s="180">
        <f t="shared" si="14"/>
        <v>209</v>
      </c>
      <c r="F60" s="181">
        <f t="shared" si="15"/>
        <v>-193</v>
      </c>
      <c r="G60" s="182">
        <f t="shared" si="16"/>
        <v>-0.48009950248756217</v>
      </c>
      <c r="H60" s="183"/>
    </row>
    <row r="61" spans="2:26" ht="15.95" customHeight="1" x14ac:dyDescent="0.2">
      <c r="B61" s="170">
        <v>7</v>
      </c>
      <c r="C61" s="171" t="s">
        <v>231</v>
      </c>
      <c r="D61" s="172">
        <v>282</v>
      </c>
      <c r="E61" s="173">
        <f t="shared" si="14"/>
        <v>233</v>
      </c>
      <c r="F61" s="174">
        <f t="shared" si="15"/>
        <v>-49</v>
      </c>
      <c r="G61" s="175">
        <f t="shared" si="16"/>
        <v>-0.17375886524822692</v>
      </c>
      <c r="H61" s="176"/>
    </row>
    <row r="62" spans="2:26" ht="15.95" customHeight="1" x14ac:dyDescent="0.2">
      <c r="B62" s="177">
        <v>8</v>
      </c>
      <c r="C62" s="178" t="s">
        <v>232</v>
      </c>
      <c r="D62" s="179">
        <v>402</v>
      </c>
      <c r="E62" s="180">
        <f t="shared" si="14"/>
        <v>0</v>
      </c>
      <c r="F62" s="181">
        <f t="shared" si="15"/>
        <v>-402</v>
      </c>
      <c r="G62" s="182">
        <f t="shared" si="16"/>
        <v>-1</v>
      </c>
      <c r="H62" s="183"/>
    </row>
    <row r="63" spans="2:26" ht="15.95" customHeight="1" x14ac:dyDescent="0.2">
      <c r="B63" s="170">
        <v>9</v>
      </c>
      <c r="C63" s="171" t="s">
        <v>233</v>
      </c>
      <c r="D63" s="172">
        <v>340</v>
      </c>
      <c r="E63" s="173">
        <f t="shared" si="14"/>
        <v>0</v>
      </c>
      <c r="F63" s="174">
        <f t="shared" si="15"/>
        <v>-340</v>
      </c>
      <c r="G63" s="175">
        <f t="shared" si="16"/>
        <v>-1</v>
      </c>
      <c r="H63" s="176"/>
    </row>
    <row r="64" spans="2:26" ht="15.95" customHeight="1" x14ac:dyDescent="0.2">
      <c r="B64" s="177">
        <v>10</v>
      </c>
      <c r="C64" s="178" t="s">
        <v>235</v>
      </c>
      <c r="D64" s="179">
        <v>9</v>
      </c>
      <c r="E64" s="180">
        <f t="shared" si="14"/>
        <v>27</v>
      </c>
      <c r="F64" s="181">
        <f t="shared" si="15"/>
        <v>18</v>
      </c>
      <c r="G64" s="182">
        <f t="shared" si="16"/>
        <v>2</v>
      </c>
      <c r="H64" s="183"/>
    </row>
    <row r="65" spans="2:8" ht="15.95" customHeight="1" x14ac:dyDescent="0.2">
      <c r="B65" s="170">
        <v>11</v>
      </c>
      <c r="C65" s="171" t="s">
        <v>236</v>
      </c>
      <c r="D65" s="172">
        <v>144</v>
      </c>
      <c r="E65" s="173">
        <f t="shared" si="14"/>
        <v>101</v>
      </c>
      <c r="F65" s="174">
        <f t="shared" si="15"/>
        <v>-43</v>
      </c>
      <c r="G65" s="175">
        <f t="shared" si="16"/>
        <v>-0.29861111111111116</v>
      </c>
      <c r="H65" s="176"/>
    </row>
    <row r="66" spans="2:8" ht="15.95" customHeight="1" x14ac:dyDescent="0.2">
      <c r="B66" s="177">
        <v>12</v>
      </c>
      <c r="C66" s="178" t="s">
        <v>237</v>
      </c>
      <c r="D66" s="179">
        <v>21</v>
      </c>
      <c r="E66" s="180">
        <f t="shared" si="14"/>
        <v>33</v>
      </c>
      <c r="F66" s="181">
        <f t="shared" si="15"/>
        <v>12</v>
      </c>
      <c r="G66" s="182">
        <f t="shared" si="16"/>
        <v>0.5714285714285714</v>
      </c>
      <c r="H66" s="183"/>
    </row>
    <row r="67" spans="2:8" ht="15.95" customHeight="1" x14ac:dyDescent="0.2">
      <c r="B67" s="170">
        <v>13</v>
      </c>
      <c r="C67" s="171" t="s">
        <v>238</v>
      </c>
      <c r="D67" s="172">
        <v>3</v>
      </c>
      <c r="E67" s="173">
        <f t="shared" si="14"/>
        <v>0</v>
      </c>
      <c r="F67" s="174">
        <f t="shared" si="15"/>
        <v>-3</v>
      </c>
      <c r="G67" s="175">
        <f t="shared" si="16"/>
        <v>-1</v>
      </c>
      <c r="H67" s="176"/>
    </row>
    <row r="68" spans="2:8" ht="15.95" customHeight="1" x14ac:dyDescent="0.2">
      <c r="B68" s="177">
        <v>14</v>
      </c>
      <c r="C68" s="178" t="s">
        <v>239</v>
      </c>
      <c r="D68" s="179">
        <v>318</v>
      </c>
      <c r="E68" s="180">
        <f t="shared" si="14"/>
        <v>1</v>
      </c>
      <c r="F68" s="181">
        <f t="shared" si="15"/>
        <v>-317</v>
      </c>
      <c r="G68" s="182">
        <f t="shared" si="16"/>
        <v>-0.99685534591194969</v>
      </c>
      <c r="H68" s="183"/>
    </row>
    <row r="69" spans="2:8" ht="33.950000000000003" customHeight="1" x14ac:dyDescent="0.2">
      <c r="B69" s="170">
        <v>15</v>
      </c>
      <c r="C69" s="171" t="s">
        <v>240</v>
      </c>
      <c r="D69" s="172">
        <v>604</v>
      </c>
      <c r="E69" s="173">
        <f t="shared" si="14"/>
        <v>180</v>
      </c>
      <c r="F69" s="174">
        <f t="shared" si="15"/>
        <v>-424</v>
      </c>
      <c r="G69" s="175">
        <f t="shared" si="16"/>
        <v>-0.70198675496688745</v>
      </c>
      <c r="H69" s="176" t="s">
        <v>275</v>
      </c>
    </row>
    <row r="70" spans="2:8" ht="15.95" customHeight="1" x14ac:dyDescent="0.2">
      <c r="B70" s="177">
        <v>16</v>
      </c>
      <c r="C70" s="178" t="s">
        <v>242</v>
      </c>
      <c r="D70" s="179">
        <v>345</v>
      </c>
      <c r="E70" s="180">
        <f t="shared" si="14"/>
        <v>526</v>
      </c>
      <c r="F70" s="181">
        <f t="shared" si="15"/>
        <v>181</v>
      </c>
      <c r="G70" s="182">
        <f t="shared" si="16"/>
        <v>0.52463768115942022</v>
      </c>
      <c r="H70" s="183"/>
    </row>
    <row r="71" spans="2:8" ht="15.95" customHeight="1" x14ac:dyDescent="0.2">
      <c r="B71" s="170">
        <v>17</v>
      </c>
      <c r="C71" s="171" t="s">
        <v>243</v>
      </c>
      <c r="D71" s="172">
        <v>137</v>
      </c>
      <c r="E71" s="173">
        <f t="shared" si="14"/>
        <v>151</v>
      </c>
      <c r="F71" s="174">
        <f t="shared" si="15"/>
        <v>14</v>
      </c>
      <c r="G71" s="175">
        <f t="shared" si="16"/>
        <v>0.10218978102189791</v>
      </c>
      <c r="H71" s="176"/>
    </row>
    <row r="72" spans="2:8" ht="15.95" customHeight="1" x14ac:dyDescent="0.2">
      <c r="B72" s="177">
        <v>18</v>
      </c>
      <c r="C72" s="178" t="s">
        <v>244</v>
      </c>
      <c r="D72" s="179">
        <v>578</v>
      </c>
      <c r="E72" s="180">
        <f t="shared" si="14"/>
        <v>468</v>
      </c>
      <c r="F72" s="181">
        <f t="shared" si="15"/>
        <v>-110</v>
      </c>
      <c r="G72" s="182">
        <f t="shared" si="16"/>
        <v>-0.19031141868512114</v>
      </c>
      <c r="H72" s="183"/>
    </row>
    <row r="73" spans="2:8" ht="33.950000000000003" customHeight="1" x14ac:dyDescent="0.2">
      <c r="B73" s="170">
        <v>19</v>
      </c>
      <c r="C73" s="171" t="s">
        <v>246</v>
      </c>
      <c r="D73" s="172"/>
      <c r="E73" s="173">
        <f t="shared" si="14"/>
        <v>48</v>
      </c>
      <c r="F73" s="174" t="str">
        <f t="shared" si="15"/>
        <v/>
      </c>
      <c r="G73" s="175" t="str">
        <f t="shared" si="16"/>
        <v/>
      </c>
      <c r="H73" s="176" t="s">
        <v>276</v>
      </c>
    </row>
    <row r="74" spans="2:8" ht="33.950000000000003" customHeight="1" x14ac:dyDescent="0.2">
      <c r="B74" s="177">
        <v>20</v>
      </c>
      <c r="C74" s="178" t="s">
        <v>247</v>
      </c>
      <c r="D74" s="179"/>
      <c r="E74" s="180">
        <f t="shared" si="14"/>
        <v>94</v>
      </c>
      <c r="F74" s="181" t="str">
        <f t="shared" si="15"/>
        <v/>
      </c>
      <c r="G74" s="182" t="str">
        <f t="shared" si="16"/>
        <v/>
      </c>
      <c r="H74" s="183" t="s">
        <v>277</v>
      </c>
    </row>
    <row r="75" spans="2:8" ht="15.95" customHeight="1" x14ac:dyDescent="0.2">
      <c r="B75" s="170">
        <v>21</v>
      </c>
      <c r="C75" s="171" t="s">
        <v>250</v>
      </c>
      <c r="D75" s="172">
        <v>14183</v>
      </c>
      <c r="E75" s="173">
        <f>IF(I33="","",I33)</f>
        <v>8770</v>
      </c>
      <c r="F75" s="174">
        <f t="shared" si="15"/>
        <v>-5413</v>
      </c>
      <c r="G75" s="175">
        <f t="shared" si="16"/>
        <v>-0.38165409292815344</v>
      </c>
      <c r="H75" s="176"/>
    </row>
    <row r="76" spans="2:8" ht="15.95" customHeight="1" x14ac:dyDescent="0.2">
      <c r="B76" s="177">
        <v>22</v>
      </c>
      <c r="C76" s="178" t="s">
        <v>252</v>
      </c>
      <c r="D76" s="179">
        <v>4690</v>
      </c>
      <c r="E76" s="180">
        <f>IF(I34="","",I34)</f>
        <v>5643</v>
      </c>
      <c r="F76" s="181">
        <f t="shared" si="15"/>
        <v>953</v>
      </c>
      <c r="G76" s="182">
        <f t="shared" si="16"/>
        <v>0.20319829424307034</v>
      </c>
      <c r="H76" s="183"/>
    </row>
    <row r="77" spans="2:8" ht="33.950000000000003" customHeight="1" x14ac:dyDescent="0.2">
      <c r="B77" s="170">
        <v>23</v>
      </c>
      <c r="C77" s="171" t="s">
        <v>253</v>
      </c>
      <c r="D77" s="172">
        <v>16890</v>
      </c>
      <c r="E77" s="173">
        <f>IF(I35="","",I35)</f>
        <v>3596</v>
      </c>
      <c r="F77" s="174">
        <f t="shared" si="15"/>
        <v>-13294</v>
      </c>
      <c r="G77" s="175">
        <f t="shared" si="16"/>
        <v>-0.787092954410894</v>
      </c>
      <c r="H77" s="176" t="s">
        <v>278</v>
      </c>
    </row>
    <row r="78" spans="2:8" ht="15.95" customHeight="1" x14ac:dyDescent="0.2">
      <c r="B78" s="177">
        <v>24</v>
      </c>
      <c r="C78" s="178" t="s">
        <v>279</v>
      </c>
      <c r="D78" s="179">
        <v>19290.87</v>
      </c>
      <c r="E78" s="180">
        <f>IF(I38="","",I38)</f>
        <v>15002</v>
      </c>
      <c r="F78" s="181">
        <f t="shared" si="15"/>
        <v>-4288.869999999999</v>
      </c>
      <c r="G78" s="182">
        <f t="shared" si="16"/>
        <v>-0.22232641658981678</v>
      </c>
      <c r="H78" s="183"/>
    </row>
    <row r="79" spans="2:8" ht="15.95" customHeight="1" x14ac:dyDescent="0.2">
      <c r="B79" s="170">
        <v>25</v>
      </c>
      <c r="C79" s="171" t="s">
        <v>280</v>
      </c>
      <c r="D79" s="172">
        <v>4704</v>
      </c>
      <c r="E79" s="173">
        <f>IF(I39="","",I39)</f>
        <v>3596</v>
      </c>
      <c r="F79" s="174">
        <f t="shared" si="15"/>
        <v>-1108</v>
      </c>
      <c r="G79" s="175">
        <f t="shared" si="16"/>
        <v>-0.23554421768707479</v>
      </c>
      <c r="H79" s="176"/>
    </row>
    <row r="82" spans="2:8" x14ac:dyDescent="0.2">
      <c r="B82" s="184" t="s">
        <v>281</v>
      </c>
    </row>
    <row r="83" spans="2:8" x14ac:dyDescent="0.2">
      <c r="C83" s="185" t="s">
        <v>282</v>
      </c>
      <c r="D83" s="186">
        <v>61</v>
      </c>
      <c r="E83" s="186">
        <v>140</v>
      </c>
      <c r="F83" s="186">
        <v>122</v>
      </c>
      <c r="G83" s="186">
        <v>373</v>
      </c>
      <c r="H83" s="186">
        <v>489</v>
      </c>
    </row>
  </sheetData>
  <mergeCells count="25">
    <mergeCell ref="S4:V4"/>
    <mergeCell ref="I7:M7"/>
    <mergeCell ref="B5:D6"/>
    <mergeCell ref="B10:Z10"/>
    <mergeCell ref="W5:Z6"/>
    <mergeCell ref="B37:Z37"/>
    <mergeCell ref="N7:R7"/>
    <mergeCell ref="E7:H7"/>
    <mergeCell ref="I5:M6"/>
    <mergeCell ref="B2:Z2"/>
    <mergeCell ref="B53:H53"/>
    <mergeCell ref="B1:Z1"/>
    <mergeCell ref="W7:Z7"/>
    <mergeCell ref="N5:R6"/>
    <mergeCell ref="W4:Z4"/>
    <mergeCell ref="B41:Z41"/>
    <mergeCell ref="B32:Z32"/>
    <mergeCell ref="E5:H6"/>
    <mergeCell ref="S5:V6"/>
    <mergeCell ref="E4:H4"/>
    <mergeCell ref="B4:D4"/>
    <mergeCell ref="S7:V7"/>
    <mergeCell ref="B7:D7"/>
    <mergeCell ref="I4:M4"/>
    <mergeCell ref="N4:R4"/>
  </mergeCells>
  <conditionalFormatting sqref="G11:G30">
    <cfRule type="expression" dxfId="28" priority="6">
      <formula>AND(COUNT(E11:F11)=2,N(G11)&gt;3*MAX(E11:F11))</formula>
    </cfRule>
  </conditionalFormatting>
  <conditionalFormatting sqref="G33:G35">
    <cfRule type="expression" dxfId="27" priority="12">
      <formula>AND(COUNT(E33:F33)=2,N(G33)&gt;3*MAX(E33:F33))</formula>
    </cfRule>
  </conditionalFormatting>
  <conditionalFormatting sqref="G38:G39">
    <cfRule type="expression" dxfId="26" priority="18">
      <formula>AND(COUNT(E38:F38)=2,N(G38)&gt;3*MAX(E38:F38))</formula>
    </cfRule>
  </conditionalFormatting>
  <conditionalFormatting sqref="G55:G79">
    <cfRule type="expression" dxfId="25" priority="28">
      <formula>AND(ISNUMBER(G55),G55&gt;0.1)</formula>
    </cfRule>
    <cfRule type="expression" dxfId="24" priority="29">
      <formula>AND(ISNUMBER(G55),G55&lt;-0.1)</formula>
    </cfRule>
  </conditionalFormatting>
  <conditionalFormatting sqref="I11:T30">
    <cfRule type="expression" dxfId="23" priority="1">
      <formula>AND(ISNUMBER(I11),N($H11)&gt;0,I11&gt;$H11*1.25)</formula>
    </cfRule>
    <cfRule type="expression" dxfId="22" priority="2">
      <formula>AND(ISNUMBER(I11),I11&gt;0,N($H11)&gt;0,I11&lt;$H11*0.75)</formula>
    </cfRule>
  </conditionalFormatting>
  <conditionalFormatting sqref="I33:T35">
    <cfRule type="expression" dxfId="21" priority="7">
      <formula>AND(ISNUMBER(I33),N($H33)&gt;0,I33&gt;$H33*1.25)</formula>
    </cfRule>
    <cfRule type="expression" dxfId="20" priority="8">
      <formula>AND(ISNUMBER(I33),I33&gt;0,N($H33)&gt;0,I33&lt;$H33*0.75)</formula>
    </cfRule>
  </conditionalFormatting>
  <conditionalFormatting sqref="I38:T39">
    <cfRule type="expression" dxfId="19" priority="13">
      <formula>AND(ISNUMBER(I38),N($H38)&gt;0,I38&gt;$H38*1.25)</formula>
    </cfRule>
    <cfRule type="expression" dxfId="18" priority="14">
      <formula>AND(ISNUMBER(I38),I38&gt;0,N($H38)&gt;0,I38&lt;$H38*0.75)</formula>
    </cfRule>
  </conditionalFormatting>
  <conditionalFormatting sqref="I45:T45">
    <cfRule type="expression" dxfId="17" priority="27">
      <formula>AND(I45&gt;0,I45&lt;25-3)</formula>
    </cfRule>
  </conditionalFormatting>
  <conditionalFormatting sqref="I44:U44">
    <cfRule type="colorScale" priority="26">
      <colorScale>
        <cfvo type="num" val="0.2"/>
        <cfvo type="num" val="0.5"/>
        <cfvo type="num" val="0.8"/>
        <color rgb="FFFCA5A5"/>
        <color rgb="FFFDE68A"/>
        <color rgb="FF86EFAC"/>
      </colorScale>
    </cfRule>
  </conditionalFormatting>
  <conditionalFormatting sqref="U11:U30">
    <cfRule type="dataBar" priority="19">
      <dataBar>
        <cfvo type="num" val="0"/>
        <cfvo type="max"/>
        <color rgb="FF38BDF8"/>
      </dataBar>
    </cfRule>
  </conditionalFormatting>
  <conditionalFormatting sqref="W11:X30">
    <cfRule type="expression" dxfId="16" priority="3">
      <formula>AND(ISNUMBER(W11),W11&gt;0.1)</formula>
    </cfRule>
    <cfRule type="expression" dxfId="15" priority="4">
      <formula>AND(ISNUMBER(W11),W11&lt;-0.1)</formula>
    </cfRule>
  </conditionalFormatting>
  <conditionalFormatting sqref="W33:X35">
    <cfRule type="expression" dxfId="14" priority="9">
      <formula>AND(ISNUMBER(W33),W33&gt;0.1)</formula>
    </cfRule>
    <cfRule type="expression" dxfId="13" priority="10">
      <formula>AND(ISNUMBER(W33),W33&lt;-0.1)</formula>
    </cfRule>
  </conditionalFormatting>
  <conditionalFormatting sqref="W38:X39">
    <cfRule type="expression" dxfId="12" priority="15">
      <formula>AND(ISNUMBER(W38),W38&gt;0.1)</formula>
    </cfRule>
    <cfRule type="expression" dxfId="11" priority="16">
      <formula>AND(ISNUMBER(W38),W38&lt;-0.1)</formula>
    </cfRule>
  </conditionalFormatting>
  <conditionalFormatting sqref="Z11:Z30">
    <cfRule type="expression" dxfId="10" priority="5">
      <formula>AND(Z11&lt;&gt;"OK",Z11&lt;&gt;"")</formula>
    </cfRule>
  </conditionalFormatting>
  <conditionalFormatting sqref="Z33:Z35">
    <cfRule type="expression" dxfId="9" priority="11">
      <formula>AND(Z33&lt;&gt;"OK",Z33&lt;&gt;"")</formula>
    </cfRule>
  </conditionalFormatting>
  <conditionalFormatting sqref="Z38:Z39">
    <cfRule type="expression" dxfId="8" priority="17">
      <formula>AND(Z38&lt;&gt;"OK",Z38&lt;&gt;"")</formula>
    </cfRule>
  </conditionalFormatting>
  <pageMargins left="0.75" right="0.75" top="1" bottom="1" header="0.5" footer="0.5"/>
  <pageSetup fitToHeight="0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B82F6"/>
    <pageSetUpPr fitToPage="1"/>
  </sheetPr>
  <dimension ref="A1:T27"/>
  <sheetViews>
    <sheetView showGridLines="0" topLeftCell="A3" zoomScale="90" workbookViewId="0">
      <pane xSplit="2" ySplit="4" topLeftCell="C7" activePane="bottomRight" state="frozen"/>
      <selection pane="topRight"/>
      <selection pane="bottomLeft"/>
      <selection pane="bottomRight" activeCell="D22" sqref="D22"/>
    </sheetView>
  </sheetViews>
  <sheetFormatPr defaultRowHeight="14.25" x14ac:dyDescent="0.2"/>
  <cols>
    <col min="1" max="1" width="2" customWidth="1"/>
    <col min="2" max="3" width="18" customWidth="1"/>
    <col min="4" max="4" width="14" customWidth="1"/>
    <col min="5" max="6" width="12" customWidth="1"/>
    <col min="7" max="7" width="30" customWidth="1"/>
  </cols>
  <sheetData>
    <row r="1" spans="1:20" ht="33.950000000000003" customHeight="1" x14ac:dyDescent="0.2">
      <c r="A1" s="427" t="s">
        <v>283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11"/>
      <c r="P1" s="11"/>
      <c r="Q1" s="11"/>
      <c r="R1" s="11"/>
      <c r="S1" s="11"/>
      <c r="T1" s="11"/>
    </row>
    <row r="2" spans="1:20" ht="20.100000000000001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ht="26.1" customHeight="1" x14ac:dyDescent="0.2">
      <c r="A3" s="473" t="s">
        <v>284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11"/>
      <c r="M3" s="11"/>
      <c r="N3" s="11"/>
      <c r="O3" s="11"/>
      <c r="P3" s="11"/>
      <c r="Q3" s="11"/>
      <c r="R3" s="11"/>
      <c r="S3" s="11"/>
      <c r="T3" s="11"/>
    </row>
    <row r="4" spans="1:20" ht="30" customHeight="1" x14ac:dyDescent="0.2">
      <c r="A4" s="11"/>
      <c r="B4" s="4" t="s">
        <v>191</v>
      </c>
      <c r="C4" s="4" t="s">
        <v>285</v>
      </c>
      <c r="D4" s="4" t="s">
        <v>286</v>
      </c>
      <c r="E4" s="4" t="s">
        <v>287</v>
      </c>
      <c r="F4" s="4" t="s">
        <v>50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 ht="20.100000000000001" customHeight="1" x14ac:dyDescent="0.2">
      <c r="A5" s="11"/>
      <c r="B5" s="12" t="s">
        <v>201</v>
      </c>
      <c r="C5" s="15">
        <v>39998605.833333202</v>
      </c>
      <c r="D5" s="15">
        <v>1354</v>
      </c>
      <c r="E5" s="49">
        <v>135</v>
      </c>
      <c r="F5" s="50">
        <f>IFERROR(C5/D5/(365/12),"")</f>
        <v>971.21318872543736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x14ac:dyDescent="0.2">
      <c r="A6" s="11"/>
      <c r="B6" s="12" t="s">
        <v>145</v>
      </c>
      <c r="C6" s="15">
        <v>47504705</v>
      </c>
      <c r="D6" s="15">
        <v>1354</v>
      </c>
      <c r="E6" s="49">
        <v>135</v>
      </c>
      <c r="F6" s="50">
        <f>IFERROR(C6/D6/(365/12),"")</f>
        <v>1153.4701038020273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x14ac:dyDescent="0.2">
      <c r="A7" s="11"/>
      <c r="B7" s="12" t="s">
        <v>139</v>
      </c>
      <c r="C7" s="15">
        <v>100168666.666667</v>
      </c>
      <c r="D7" s="15">
        <v>1354</v>
      </c>
      <c r="E7" s="49">
        <v>135</v>
      </c>
      <c r="F7" s="50">
        <f>IFERROR(C7/D7/(365/12),"")</f>
        <v>2432.2130268509418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x14ac:dyDescent="0.2">
      <c r="A8" s="11"/>
      <c r="B8" s="17">
        <v>46023</v>
      </c>
      <c r="C8" s="18">
        <v>40704000</v>
      </c>
      <c r="D8" s="18">
        <v>1354</v>
      </c>
      <c r="E8" s="44">
        <v>135</v>
      </c>
      <c r="F8" s="51">
        <f t="shared" ref="F8:F19" si="0">IF(OR(C8="",D8=""),"",IFERROR(C8/D8/DAY(EOMONTH(B8,0)),""))</f>
        <v>969.74317434602369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x14ac:dyDescent="0.2">
      <c r="A9" s="11"/>
      <c r="B9" s="21">
        <v>46054</v>
      </c>
      <c r="C9" s="22">
        <v>66046000</v>
      </c>
      <c r="D9" s="22">
        <v>1354</v>
      </c>
      <c r="E9" s="41">
        <v>135</v>
      </c>
      <c r="F9" s="52">
        <f t="shared" si="0"/>
        <v>1742.0869381726102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x14ac:dyDescent="0.2">
      <c r="A10" s="11"/>
      <c r="B10" s="17">
        <v>46082</v>
      </c>
      <c r="C10" s="22">
        <v>19919000</v>
      </c>
      <c r="D10" s="18">
        <v>1354</v>
      </c>
      <c r="E10" s="44">
        <v>135</v>
      </c>
      <c r="F10" s="51">
        <f t="shared" si="0"/>
        <v>474.55567732405774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x14ac:dyDescent="0.2">
      <c r="A11" s="11"/>
      <c r="B11" s="21">
        <v>46113</v>
      </c>
      <c r="C11" s="22">
        <v>21828000</v>
      </c>
      <c r="D11" s="22">
        <v>1354</v>
      </c>
      <c r="E11" s="41">
        <v>135</v>
      </c>
      <c r="F11" s="52">
        <f t="shared" si="0"/>
        <v>537.37075332348593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x14ac:dyDescent="0.2">
      <c r="A12" s="11"/>
      <c r="B12" s="17">
        <v>46143</v>
      </c>
      <c r="C12" s="22">
        <v>26607000</v>
      </c>
      <c r="D12" s="18">
        <v>1354</v>
      </c>
      <c r="E12" s="44">
        <v>135</v>
      </c>
      <c r="F12" s="51">
        <f t="shared" si="0"/>
        <v>633.89240958688708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x14ac:dyDescent="0.2">
      <c r="A13" s="11"/>
      <c r="B13" s="21">
        <v>46174</v>
      </c>
      <c r="C13" s="22">
        <v>12988000</v>
      </c>
      <c r="D13" s="22">
        <v>1354</v>
      </c>
      <c r="E13" s="41">
        <v>135</v>
      </c>
      <c r="F13" s="52">
        <f t="shared" si="0"/>
        <v>319.74396848842935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 x14ac:dyDescent="0.2">
      <c r="A14" s="11"/>
      <c r="B14" s="17">
        <v>46204</v>
      </c>
      <c r="C14" s="22">
        <v>9633000</v>
      </c>
      <c r="D14" s="18">
        <v>1354</v>
      </c>
      <c r="E14" s="44">
        <v>135</v>
      </c>
      <c r="F14" s="51">
        <f t="shared" si="0"/>
        <v>229.49921379901843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x14ac:dyDescent="0.2">
      <c r="A15" s="11"/>
      <c r="B15" s="21">
        <v>46235</v>
      </c>
      <c r="C15" s="22">
        <v>14026000</v>
      </c>
      <c r="D15" s="22">
        <v>1354</v>
      </c>
      <c r="E15" s="41">
        <v>135</v>
      </c>
      <c r="F15" s="52">
        <f t="shared" si="0"/>
        <v>334.15924143517418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 x14ac:dyDescent="0.2">
      <c r="A16" s="11"/>
      <c r="B16" s="17">
        <v>46266</v>
      </c>
      <c r="C16" s="25"/>
      <c r="D16" s="18">
        <v>1354</v>
      </c>
      <c r="E16" s="44">
        <v>135</v>
      </c>
      <c r="F16" s="51" t="str">
        <f t="shared" si="0"/>
        <v/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x14ac:dyDescent="0.2">
      <c r="A17" s="11"/>
      <c r="B17" s="21">
        <v>46296</v>
      </c>
      <c r="C17" s="26"/>
      <c r="D17" s="22">
        <v>1354</v>
      </c>
      <c r="E17" s="41">
        <v>135</v>
      </c>
      <c r="F17" s="52" t="str">
        <f t="shared" si="0"/>
        <v/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x14ac:dyDescent="0.2">
      <c r="A18" s="11"/>
      <c r="B18" s="17">
        <v>46327</v>
      </c>
      <c r="C18" s="25"/>
      <c r="D18" s="18">
        <v>1354</v>
      </c>
      <c r="E18" s="44">
        <v>135</v>
      </c>
      <c r="F18" s="51" t="str">
        <f t="shared" si="0"/>
        <v/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x14ac:dyDescent="0.2">
      <c r="A19" s="11"/>
      <c r="B19" s="21">
        <v>46357</v>
      </c>
      <c r="C19" s="26"/>
      <c r="D19" s="22">
        <v>1354</v>
      </c>
      <c r="E19" s="41">
        <v>135</v>
      </c>
      <c r="F19" s="52" t="str">
        <f t="shared" si="0"/>
        <v/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x14ac:dyDescent="0.2">
      <c r="A20" s="11"/>
      <c r="B20" s="9" t="s">
        <v>134</v>
      </c>
      <c r="C20" s="29">
        <f>IFERROR(AVERAGE(C8:C19),"")</f>
        <v>26468875</v>
      </c>
      <c r="D20" s="29">
        <f>IFERROR(AVERAGE(D8:D19),"")</f>
        <v>1354</v>
      </c>
      <c r="E20" s="53">
        <f>SUBTOTAL(101,LPCDTable[Benchmark])</f>
        <v>135</v>
      </c>
      <c r="F20" s="27">
        <f>IFERROR(AVERAGE(F8:F19),"")</f>
        <v>655.13142205946087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x14ac:dyDescent="0.2">
      <c r="A21" s="11"/>
      <c r="B21" s="11"/>
      <c r="C21" s="11"/>
      <c r="D21" s="11"/>
      <c r="E21" s="11"/>
      <c r="F21" s="54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x14ac:dyDescent="0.2">
      <c r="A22" s="11"/>
      <c r="B22" s="11"/>
      <c r="C22" s="11"/>
      <c r="D22" s="11"/>
      <c r="E22" s="11"/>
      <c r="F22" s="54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ht="21.95" customHeight="1" x14ac:dyDescent="0.2">
      <c r="A23" s="11"/>
      <c r="B23" s="4" t="s">
        <v>288</v>
      </c>
      <c r="C23" s="46">
        <v>45839</v>
      </c>
      <c r="D23" s="46">
        <v>46054</v>
      </c>
      <c r="E23" s="11"/>
      <c r="F23" s="54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x14ac:dyDescent="0.2">
      <c r="A24" s="11"/>
      <c r="B24" s="5" t="s">
        <v>289</v>
      </c>
      <c r="C24" s="22">
        <v>82376000</v>
      </c>
      <c r="D24" s="37">
        <f>C9</f>
        <v>66046000</v>
      </c>
      <c r="E24" s="11"/>
      <c r="F24" s="54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x14ac:dyDescent="0.2">
      <c r="A25" s="11"/>
      <c r="B25" s="7" t="s">
        <v>290</v>
      </c>
      <c r="C25" s="18">
        <v>1354</v>
      </c>
      <c r="D25" s="38">
        <f>D9</f>
        <v>1354</v>
      </c>
      <c r="E25" s="11"/>
      <c r="F25" s="54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x14ac:dyDescent="0.2">
      <c r="A26" s="11"/>
      <c r="B26" s="5" t="s">
        <v>50</v>
      </c>
      <c r="C26" s="52">
        <f>IFERROR(C24/C25/DAY(EOMONTH(C23,0)),"")</f>
        <v>1962.5482441511413</v>
      </c>
      <c r="D26" s="52">
        <f>IFERROR(D24/D25/DAY(EOMONTH(D23,0)),"")</f>
        <v>1742.0869381726102</v>
      </c>
      <c r="E26" s="11"/>
      <c r="F26" s="54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x14ac:dyDescent="0.2">
      <c r="A27" s="11"/>
      <c r="B27" s="7" t="s">
        <v>291</v>
      </c>
      <c r="C27" s="55">
        <v>135</v>
      </c>
      <c r="D27" s="51">
        <f>E9</f>
        <v>135</v>
      </c>
      <c r="E27" s="11"/>
      <c r="F27" s="54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</sheetData>
  <mergeCells count="2">
    <mergeCell ref="A1:N1"/>
    <mergeCell ref="A3:K3"/>
  </mergeCells>
  <printOptions horizontalCentered="1"/>
  <pageMargins left="0.4" right="0.4" top="0.5" bottom="0.5" header="0.3" footer="0.3"/>
  <pageSetup fitToHeight="0" orientation="landscape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59E0B"/>
    <pageSetUpPr fitToPage="1"/>
  </sheetPr>
  <dimension ref="A1:M26"/>
  <sheetViews>
    <sheetView showGridLines="0" topLeftCell="A5" zoomScale="90" workbookViewId="0">
      <pane xSplit="2" ySplit="4" topLeftCell="C9" activePane="bottomRight" state="frozen"/>
      <selection pane="topRight"/>
      <selection pane="bottomLeft"/>
      <selection pane="bottomRight" activeCell="G28" sqref="G28"/>
    </sheetView>
  </sheetViews>
  <sheetFormatPr defaultRowHeight="14.25" x14ac:dyDescent="0.2"/>
  <cols>
    <col min="1" max="1" width="2" customWidth="1"/>
    <col min="2" max="2" width="22" customWidth="1"/>
    <col min="3" max="3" width="13" customWidth="1"/>
    <col min="4" max="4" width="18" customWidth="1"/>
  </cols>
  <sheetData>
    <row r="1" spans="1:13" ht="33.950000000000003" customHeight="1" x14ac:dyDescent="0.2">
      <c r="A1" s="427" t="s">
        <v>292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</row>
    <row r="2" spans="1:13" ht="26.1" customHeight="1" x14ac:dyDescent="0.2">
      <c r="A2" s="474"/>
      <c r="B2" s="227"/>
      <c r="C2" s="227"/>
      <c r="D2" s="227"/>
    </row>
    <row r="3" spans="1:13" ht="25.5" customHeight="1" x14ac:dyDescent="0.2">
      <c r="A3" s="11"/>
      <c r="B3" s="39" t="s">
        <v>293</v>
      </c>
      <c r="C3" s="11"/>
      <c r="D3" s="11"/>
    </row>
    <row r="4" spans="1:13" ht="30" customHeight="1" x14ac:dyDescent="0.2">
      <c r="A4" s="11"/>
      <c r="B4" s="4" t="s">
        <v>191</v>
      </c>
      <c r="C4" s="4" t="s">
        <v>287</v>
      </c>
      <c r="D4" s="4" t="s">
        <v>294</v>
      </c>
    </row>
    <row r="5" spans="1:13" ht="20.100000000000001" customHeight="1" x14ac:dyDescent="0.2">
      <c r="A5" s="11"/>
      <c r="B5" s="12" t="s">
        <v>295</v>
      </c>
      <c r="C5" s="49">
        <v>8</v>
      </c>
      <c r="D5" s="56">
        <f>'Power data'!C5/$D$19</f>
        <v>3.5124318801089895</v>
      </c>
    </row>
    <row r="6" spans="1:13" x14ac:dyDescent="0.2">
      <c r="A6" s="11"/>
      <c r="B6" s="12" t="s">
        <v>296</v>
      </c>
      <c r="C6" s="49">
        <v>8</v>
      </c>
      <c r="D6" s="56">
        <f>'Power data'!C6/$D$19</f>
        <v>2.5218192569107489</v>
      </c>
    </row>
    <row r="7" spans="1:13" x14ac:dyDescent="0.2">
      <c r="A7" s="11"/>
      <c r="B7" s="21">
        <v>46023</v>
      </c>
      <c r="C7" s="41">
        <v>8</v>
      </c>
      <c r="D7" s="57">
        <f>IF('Power data'!C7="","",IFERROR('Power data'!C7/$D$19,""))</f>
        <v>1.2649028088692598</v>
      </c>
    </row>
    <row r="8" spans="1:13" x14ac:dyDescent="0.2">
      <c r="A8" s="11"/>
      <c r="B8" s="17">
        <v>46054</v>
      </c>
      <c r="C8" s="44">
        <v>8</v>
      </c>
      <c r="D8" s="58">
        <f>IF('Power data'!C8="","",IFERROR('Power data'!C8/$D$19,""))</f>
        <v>1.8182692989475593</v>
      </c>
    </row>
    <row r="9" spans="1:13" x14ac:dyDescent="0.2">
      <c r="A9" s="11"/>
      <c r="B9" s="21">
        <v>46082</v>
      </c>
      <c r="C9" s="41">
        <v>8</v>
      </c>
      <c r="D9" s="57">
        <f>IF('Power data'!C9="","",IFERROR('Power data'!C9/$D$19,""))</f>
        <v>2.3769916838021521</v>
      </c>
    </row>
    <row r="10" spans="1:13" x14ac:dyDescent="0.2">
      <c r="A10" s="11"/>
      <c r="B10" s="17">
        <v>46113</v>
      </c>
      <c r="C10" s="44">
        <v>8</v>
      </c>
      <c r="D10" s="58">
        <f>IF('Power data'!C10="","",IFERROR('Power data'!C10/$D$19,""))</f>
        <v>3.7617753714939757</v>
      </c>
    </row>
    <row r="11" spans="1:13" x14ac:dyDescent="0.2">
      <c r="A11" s="11"/>
      <c r="B11" s="21">
        <v>46143</v>
      </c>
      <c r="C11" s="41">
        <v>8</v>
      </c>
      <c r="D11" s="57">
        <f>IF('Power data'!C11="","",IFERROR('Power data'!C11/$D$19,""))</f>
        <v>4.2190776212230157</v>
      </c>
    </row>
    <row r="12" spans="1:13" x14ac:dyDescent="0.2">
      <c r="A12" s="11"/>
      <c r="B12" s="17">
        <v>46174</v>
      </c>
      <c r="C12" s="44">
        <v>8</v>
      </c>
      <c r="D12" s="58">
        <f>IF('Power data'!C12="","",IFERROR('Power data'!C12/$D$19,""))</f>
        <v>1.3847836876918238</v>
      </c>
    </row>
    <row r="13" spans="1:13" x14ac:dyDescent="0.2">
      <c r="A13" s="11"/>
      <c r="B13" s="21">
        <v>46204</v>
      </c>
      <c r="C13" s="41">
        <v>8</v>
      </c>
      <c r="D13" s="57">
        <f>IF('Power data'!C13="","",IFERROR('Power data'!C13/$D$19,""))</f>
        <v>2.3295863172715565</v>
      </c>
    </row>
    <row r="14" spans="1:13" x14ac:dyDescent="0.2">
      <c r="A14" s="11"/>
      <c r="B14" s="17">
        <v>46235</v>
      </c>
      <c r="C14" s="44">
        <v>8</v>
      </c>
      <c r="D14" s="58">
        <f>IF('Power data'!C14="","",IFERROR('Power data'!C14/$D$19,""))</f>
        <v>2.7801652097282279</v>
      </c>
    </row>
    <row r="15" spans="1:13" x14ac:dyDescent="0.2">
      <c r="A15" s="11"/>
      <c r="B15" s="21">
        <v>46266</v>
      </c>
      <c r="C15" s="41">
        <v>8</v>
      </c>
      <c r="D15" s="57" t="str">
        <f>IF('Power data'!C15="","",IFERROR('Power data'!C15/$D$19,""))</f>
        <v/>
      </c>
    </row>
    <row r="16" spans="1:13" x14ac:dyDescent="0.2">
      <c r="A16" s="11"/>
      <c r="B16" s="17">
        <v>46296</v>
      </c>
      <c r="C16" s="44">
        <v>8</v>
      </c>
      <c r="D16" s="58" t="str">
        <f>IF('Power data'!C16="","",IFERROR('Power data'!C16/$D$19,""))</f>
        <v/>
      </c>
    </row>
    <row r="17" spans="1:4" x14ac:dyDescent="0.2">
      <c r="A17" s="11"/>
      <c r="B17" s="21">
        <v>46327</v>
      </c>
      <c r="C17" s="41">
        <v>8</v>
      </c>
      <c r="D17" s="57" t="str">
        <f>IF('Power data'!C17="","",IFERROR('Power data'!C17/$D$19,""))</f>
        <v/>
      </c>
    </row>
    <row r="18" spans="1:4" x14ac:dyDescent="0.2">
      <c r="A18" s="11"/>
      <c r="B18" s="17">
        <v>46357</v>
      </c>
      <c r="C18" s="44">
        <v>8</v>
      </c>
      <c r="D18" s="58" t="str">
        <f>IF('Power data'!C18="","",IFERROR('Power data'!C18/$D$19,""))</f>
        <v/>
      </c>
    </row>
    <row r="19" spans="1:4" ht="25.5" customHeight="1" x14ac:dyDescent="0.2">
      <c r="A19" s="11"/>
      <c r="B19" s="59" t="s">
        <v>297</v>
      </c>
      <c r="C19" s="60"/>
      <c r="D19" s="61">
        <v>52652.266666666699</v>
      </c>
    </row>
    <row r="20" spans="1:4" x14ac:dyDescent="0.2">
      <c r="A20" s="11"/>
      <c r="B20" s="11"/>
      <c r="C20" s="11"/>
      <c r="D20" s="11"/>
    </row>
    <row r="21" spans="1:4" x14ac:dyDescent="0.2">
      <c r="A21" s="11"/>
      <c r="B21" s="11"/>
      <c r="C21" s="11"/>
      <c r="D21" s="11"/>
    </row>
    <row r="22" spans="1:4" x14ac:dyDescent="0.2">
      <c r="A22" s="11"/>
      <c r="B22" s="11"/>
      <c r="C22" s="11"/>
      <c r="D22" s="11"/>
    </row>
    <row r="23" spans="1:4" x14ac:dyDescent="0.2">
      <c r="A23" s="11"/>
      <c r="B23" s="11"/>
      <c r="C23" s="11"/>
      <c r="D23" s="11"/>
    </row>
    <row r="24" spans="1:4" ht="25.5" customHeight="1" x14ac:dyDescent="0.2">
      <c r="A24" s="11"/>
      <c r="B24" s="36" t="s">
        <v>298</v>
      </c>
      <c r="C24" s="11"/>
      <c r="D24" s="11"/>
    </row>
    <row r="25" spans="1:4" ht="21.95" customHeight="1" x14ac:dyDescent="0.2">
      <c r="A25" s="11"/>
      <c r="B25" s="46">
        <v>45689</v>
      </c>
      <c r="C25" s="46">
        <v>46023</v>
      </c>
      <c r="D25" s="4" t="s">
        <v>287</v>
      </c>
    </row>
    <row r="26" spans="1:4" x14ac:dyDescent="0.2">
      <c r="A26" s="11"/>
      <c r="B26" s="62">
        <v>2.4900000000000002</v>
      </c>
      <c r="C26" s="24">
        <f>D7</f>
        <v>1.2649028088692598</v>
      </c>
      <c r="D26" s="63">
        <v>8</v>
      </c>
    </row>
  </sheetData>
  <mergeCells count="2">
    <mergeCell ref="A1:M1"/>
    <mergeCell ref="A2:D2"/>
  </mergeCells>
  <printOptions horizontalCentered="1"/>
  <pageMargins left="0.4" right="0.4" top="0.5" bottom="0.5" header="0.3" footer="0.3"/>
  <pageSetup fitToHeight="0" orientation="landscape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59E0B"/>
    <pageSetUpPr fitToPage="1"/>
  </sheetPr>
  <dimension ref="A1:R29"/>
  <sheetViews>
    <sheetView showGridLines="0" topLeftCell="B1" zoomScale="90" workbookViewId="0">
      <pane xSplit="2" ySplit="3" topLeftCell="D11" activePane="bottomRight" state="frozen"/>
      <selection pane="topRight"/>
      <selection pane="bottomLeft"/>
      <selection pane="bottomRight" sqref="A1:R1"/>
    </sheetView>
  </sheetViews>
  <sheetFormatPr defaultRowHeight="14.25" x14ac:dyDescent="0.2"/>
  <cols>
    <col min="1" max="1" width="2" customWidth="1"/>
    <col min="2" max="2" width="17" customWidth="1"/>
    <col min="3" max="4" width="14" customWidth="1"/>
    <col min="5" max="5" width="9" customWidth="1"/>
    <col min="6" max="6" width="14" customWidth="1"/>
    <col min="7" max="7" width="10" customWidth="1"/>
    <col min="8" max="9" width="12" customWidth="1"/>
  </cols>
  <sheetData>
    <row r="1" spans="1:18" ht="33.950000000000003" customHeight="1" x14ac:dyDescent="0.2">
      <c r="A1" s="427" t="s">
        <v>299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  <c r="Q1" s="428"/>
      <c r="R1" s="428"/>
    </row>
    <row r="2" spans="1:18" ht="20.100000000000001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</row>
    <row r="3" spans="1:18" ht="30" customHeight="1" x14ac:dyDescent="0.2">
      <c r="A3" s="11"/>
      <c r="B3" s="4" t="s">
        <v>191</v>
      </c>
      <c r="C3" s="4" t="s">
        <v>300</v>
      </c>
      <c r="D3" s="4" t="s">
        <v>301</v>
      </c>
      <c r="E3" s="4" t="s">
        <v>302</v>
      </c>
      <c r="F3" s="4" t="s">
        <v>303</v>
      </c>
      <c r="G3" s="4" t="s">
        <v>304</v>
      </c>
      <c r="H3" s="4" t="s">
        <v>305</v>
      </c>
      <c r="I3" s="4" t="s">
        <v>306</v>
      </c>
      <c r="J3" s="11"/>
    </row>
    <row r="4" spans="1:18" ht="20.100000000000001" customHeight="1" x14ac:dyDescent="0.2">
      <c r="A4" s="11"/>
      <c r="B4" s="12" t="s">
        <v>201</v>
      </c>
      <c r="C4" s="47"/>
      <c r="D4" s="15">
        <v>214546.208333332</v>
      </c>
      <c r="E4" s="64" t="str">
        <f t="shared" ref="E4:E18" si="0">IF(OR(C4="",D4=""),"",IFERROR(C4/D4,""))</f>
        <v/>
      </c>
      <c r="F4" s="15">
        <v>2534576.875</v>
      </c>
      <c r="G4" s="65">
        <f t="shared" ref="G4:G18" si="1">IF(OR(F4="",D4=""),"",IFERROR(F4/D4,""))</f>
        <v>11.813664266963542</v>
      </c>
      <c r="H4" s="15">
        <v>562</v>
      </c>
      <c r="I4" s="15">
        <v>1276</v>
      </c>
      <c r="J4" s="11"/>
    </row>
    <row r="5" spans="1:18" x14ac:dyDescent="0.2">
      <c r="A5" s="11"/>
      <c r="B5" s="12" t="s">
        <v>145</v>
      </c>
      <c r="C5" s="15">
        <v>184937.5</v>
      </c>
      <c r="D5" s="15">
        <v>187911.833333332</v>
      </c>
      <c r="E5" s="64">
        <f t="shared" si="0"/>
        <v>0.98417165496940306</v>
      </c>
      <c r="F5" s="15">
        <v>2309764.6812499901</v>
      </c>
      <c r="G5" s="65">
        <f t="shared" si="1"/>
        <v>12.291746827634626</v>
      </c>
      <c r="H5" s="15">
        <v>1117</v>
      </c>
      <c r="I5" s="15">
        <v>1276</v>
      </c>
      <c r="J5" s="11"/>
    </row>
    <row r="6" spans="1:18" x14ac:dyDescent="0.2">
      <c r="A6" s="11"/>
      <c r="B6" s="12" t="s">
        <v>139</v>
      </c>
      <c r="C6" s="15">
        <v>132779.5</v>
      </c>
      <c r="D6" s="15">
        <v>137678</v>
      </c>
      <c r="E6" s="64">
        <f t="shared" si="0"/>
        <v>0.96442060459913714</v>
      </c>
      <c r="F6" s="15">
        <v>1741299.3825892799</v>
      </c>
      <c r="G6" s="65">
        <f t="shared" si="1"/>
        <v>12.647622587408881</v>
      </c>
      <c r="H6" s="15">
        <v>511.03333333333302</v>
      </c>
      <c r="I6" s="15">
        <v>1276</v>
      </c>
      <c r="J6" s="11"/>
    </row>
    <row r="7" spans="1:18" x14ac:dyDescent="0.2">
      <c r="A7" s="11"/>
      <c r="B7" s="17">
        <v>46023</v>
      </c>
      <c r="C7" s="18">
        <v>66600</v>
      </c>
      <c r="D7" s="18">
        <v>78804</v>
      </c>
      <c r="E7" s="66">
        <f t="shared" si="0"/>
        <v>0.84513476473275473</v>
      </c>
      <c r="F7" s="18">
        <v>929887.2</v>
      </c>
      <c r="G7" s="20">
        <f t="shared" si="1"/>
        <v>11.799999999999999</v>
      </c>
      <c r="H7" s="18">
        <v>306</v>
      </c>
      <c r="I7" s="18">
        <v>1276</v>
      </c>
      <c r="J7" s="11"/>
    </row>
    <row r="8" spans="1:18" x14ac:dyDescent="0.2">
      <c r="A8" s="11"/>
      <c r="B8" s="21">
        <v>46054</v>
      </c>
      <c r="C8" s="22">
        <v>95736</v>
      </c>
      <c r="D8" s="22">
        <v>100326</v>
      </c>
      <c r="E8" s="67">
        <f t="shared" si="0"/>
        <v>0.95424914777824288</v>
      </c>
      <c r="F8" s="22">
        <v>1099602</v>
      </c>
      <c r="G8" s="24">
        <f t="shared" si="1"/>
        <v>10.960289456372227</v>
      </c>
      <c r="H8" s="22">
        <v>386</v>
      </c>
      <c r="I8" s="22">
        <v>1276</v>
      </c>
      <c r="J8" s="11"/>
    </row>
    <row r="9" spans="1:18" x14ac:dyDescent="0.2">
      <c r="A9" s="11"/>
      <c r="B9" s="17">
        <v>46082</v>
      </c>
      <c r="C9" s="18">
        <v>125154</v>
      </c>
      <c r="D9" s="18">
        <v>129780</v>
      </c>
      <c r="E9" s="66">
        <f t="shared" si="0"/>
        <v>0.96435506241331481</v>
      </c>
      <c r="F9" s="18">
        <v>1406695</v>
      </c>
      <c r="G9" s="20">
        <f t="shared" si="1"/>
        <v>10.839073817229156</v>
      </c>
      <c r="H9" s="18">
        <v>440</v>
      </c>
      <c r="I9" s="18">
        <v>1276</v>
      </c>
      <c r="J9" s="11"/>
    </row>
    <row r="10" spans="1:18" x14ac:dyDescent="0.2">
      <c r="A10" s="11"/>
      <c r="B10" s="21">
        <v>46113</v>
      </c>
      <c r="C10" s="22">
        <v>198066</v>
      </c>
      <c r="D10" s="22">
        <v>204438</v>
      </c>
      <c r="E10" s="67">
        <f t="shared" si="0"/>
        <v>0.96883162621430463</v>
      </c>
      <c r="F10" s="22">
        <v>2109953</v>
      </c>
      <c r="G10" s="24">
        <f t="shared" si="1"/>
        <v>10.320747610522506</v>
      </c>
      <c r="H10" s="22">
        <v>744</v>
      </c>
      <c r="I10" s="22">
        <v>1276</v>
      </c>
      <c r="J10" s="11"/>
    </row>
    <row r="11" spans="1:18" x14ac:dyDescent="0.2">
      <c r="A11" s="11"/>
      <c r="B11" s="17">
        <v>46143</v>
      </c>
      <c r="C11" s="18">
        <v>222144</v>
      </c>
      <c r="D11" s="18">
        <v>226842</v>
      </c>
      <c r="E11" s="66">
        <f t="shared" si="0"/>
        <v>0.97928954955431535</v>
      </c>
      <c r="F11" s="18">
        <v>2496490</v>
      </c>
      <c r="G11" s="20">
        <f t="shared" si="1"/>
        <v>11.005413459588612</v>
      </c>
      <c r="H11" s="18">
        <v>706</v>
      </c>
      <c r="I11" s="18">
        <v>1276</v>
      </c>
      <c r="J11" s="11"/>
    </row>
    <row r="12" spans="1:18" x14ac:dyDescent="0.2">
      <c r="A12" s="11"/>
      <c r="B12" s="21">
        <v>46174</v>
      </c>
      <c r="C12" s="22">
        <v>72912</v>
      </c>
      <c r="D12" s="22">
        <v>75684</v>
      </c>
      <c r="E12" s="67">
        <f t="shared" si="0"/>
        <v>0.96337402885682577</v>
      </c>
      <c r="F12" s="22">
        <v>777429</v>
      </c>
      <c r="G12" s="24">
        <f t="shared" si="1"/>
        <v>10.272039004280957</v>
      </c>
      <c r="H12" s="22">
        <v>321</v>
      </c>
      <c r="I12" s="22">
        <v>1276</v>
      </c>
      <c r="J12" s="11"/>
    </row>
    <row r="13" spans="1:18" x14ac:dyDescent="0.2">
      <c r="A13" s="11"/>
      <c r="B13" s="17">
        <v>46204</v>
      </c>
      <c r="C13" s="22">
        <v>122658</v>
      </c>
      <c r="D13" s="22">
        <v>126318</v>
      </c>
      <c r="E13" s="22">
        <f t="shared" si="0"/>
        <v>0.97102550705362656</v>
      </c>
      <c r="F13" s="22">
        <v>1501851</v>
      </c>
      <c r="G13" s="22">
        <f t="shared" si="1"/>
        <v>11.889445684700517</v>
      </c>
      <c r="H13" s="22">
        <v>451.44</v>
      </c>
      <c r="I13" s="22">
        <v>1276</v>
      </c>
      <c r="J13" s="11"/>
    </row>
    <row r="14" spans="1:18" x14ac:dyDescent="0.2">
      <c r="A14" s="11"/>
      <c r="B14" s="21">
        <v>46235</v>
      </c>
      <c r="C14" s="22">
        <v>146382</v>
      </c>
      <c r="D14" s="22">
        <v>156360</v>
      </c>
      <c r="E14" s="22">
        <f t="shared" si="0"/>
        <v>0.93618572524942445</v>
      </c>
      <c r="F14" s="22">
        <v>1829571</v>
      </c>
      <c r="G14" s="22">
        <f t="shared" si="1"/>
        <v>11.701016884113583</v>
      </c>
      <c r="H14" s="22">
        <v>475</v>
      </c>
      <c r="I14" s="22">
        <v>1276</v>
      </c>
      <c r="J14" s="11"/>
    </row>
    <row r="15" spans="1:18" x14ac:dyDescent="0.2">
      <c r="A15" s="11"/>
      <c r="B15" s="17">
        <v>46266</v>
      </c>
      <c r="C15" s="25"/>
      <c r="D15" s="25"/>
      <c r="E15" s="66" t="str">
        <f t="shared" si="0"/>
        <v/>
      </c>
      <c r="F15" s="25"/>
      <c r="G15" s="20" t="str">
        <f t="shared" si="1"/>
        <v/>
      </c>
      <c r="H15" s="25"/>
      <c r="I15" s="25"/>
      <c r="J15" s="11"/>
    </row>
    <row r="16" spans="1:18" x14ac:dyDescent="0.2">
      <c r="A16" s="11"/>
      <c r="B16" s="21">
        <v>46296</v>
      </c>
      <c r="C16" s="26"/>
      <c r="D16" s="26"/>
      <c r="E16" s="67" t="str">
        <f t="shared" si="0"/>
        <v/>
      </c>
      <c r="F16" s="26"/>
      <c r="G16" s="24" t="str">
        <f t="shared" si="1"/>
        <v/>
      </c>
      <c r="H16" s="26"/>
      <c r="I16" s="26"/>
      <c r="J16" s="11"/>
    </row>
    <row r="17" spans="1:10" x14ac:dyDescent="0.2">
      <c r="A17" s="11"/>
      <c r="B17" s="17">
        <v>46327</v>
      </c>
      <c r="C17" s="25"/>
      <c r="D17" s="25"/>
      <c r="E17" s="66" t="str">
        <f t="shared" si="0"/>
        <v/>
      </c>
      <c r="F17" s="25"/>
      <c r="G17" s="20" t="str">
        <f t="shared" si="1"/>
        <v/>
      </c>
      <c r="H17" s="25"/>
      <c r="I17" s="25"/>
      <c r="J17" s="11"/>
    </row>
    <row r="18" spans="1:10" x14ac:dyDescent="0.2">
      <c r="A18" s="11"/>
      <c r="B18" s="21">
        <v>46357</v>
      </c>
      <c r="C18" s="26"/>
      <c r="D18" s="26"/>
      <c r="E18" s="67" t="str">
        <f t="shared" si="0"/>
        <v/>
      </c>
      <c r="F18" s="26"/>
      <c r="G18" s="24" t="str">
        <f t="shared" si="1"/>
        <v/>
      </c>
      <c r="H18" s="26"/>
      <c r="I18" s="26"/>
      <c r="J18" s="11"/>
    </row>
    <row r="19" spans="1:10" x14ac:dyDescent="0.2">
      <c r="A19" s="11"/>
      <c r="B19" s="9" t="s">
        <v>307</v>
      </c>
      <c r="C19" s="29">
        <f>SUM(C7:C18)</f>
        <v>1049652</v>
      </c>
      <c r="D19" s="29">
        <f>SUM(D7:D18)</f>
        <v>1098552</v>
      </c>
      <c r="E19" s="68">
        <f>IFERROR(C19/D19,"")</f>
        <v>0.95548685906538788</v>
      </c>
      <c r="F19" s="29">
        <f>SUM(F7:F18)</f>
        <v>12151478.199999999</v>
      </c>
      <c r="G19" s="30">
        <f>IFERROR(F19/D19,"")</f>
        <v>11.061359134569869</v>
      </c>
      <c r="H19" s="69"/>
      <c r="I19" s="69"/>
      <c r="J19" s="11"/>
    </row>
    <row r="20" spans="1:10" x14ac:dyDescent="0.2">
      <c r="A20" s="11"/>
      <c r="B20" s="9" t="s">
        <v>134</v>
      </c>
      <c r="C20" s="29">
        <f>IFERROR(AVERAGE(C7:C18),"")</f>
        <v>131206.5</v>
      </c>
      <c r="D20" s="29">
        <f>IFERROR(AVERAGE(D7:D18),"")</f>
        <v>137319</v>
      </c>
      <c r="E20" s="68">
        <f>IFERROR(AVERAGE(E7:E18),"")</f>
        <v>0.94780567648160108</v>
      </c>
      <c r="F20" s="29">
        <f>IFERROR(AVERAGE(F7:F18),"")</f>
        <v>1518934.7749999999</v>
      </c>
      <c r="G20" s="30">
        <f>IFERROR(F20/D20,"")</f>
        <v>11.061359134569869</v>
      </c>
      <c r="H20" s="29">
        <f>IFERROR(AVERAGE(H7:H18),"")</f>
        <v>478.68</v>
      </c>
      <c r="I20" s="29">
        <f>IFERROR(AVERAGE(I7:I18),"")</f>
        <v>1276</v>
      </c>
      <c r="J20" s="11"/>
    </row>
    <row r="21" spans="1:10" x14ac:dyDescent="0.2">
      <c r="A21" s="11"/>
      <c r="B21" s="9" t="s">
        <v>308</v>
      </c>
      <c r="C21" s="27">
        <f>IFERROR(C20/1000,"")</f>
        <v>131.20650000000001</v>
      </c>
      <c r="D21" s="27">
        <f>IFERROR(D20/1000,"")</f>
        <v>137.31899999999999</v>
      </c>
      <c r="E21" s="70"/>
      <c r="F21" s="27">
        <f>IFERROR(F20/1000,"")</f>
        <v>1518.9347749999999</v>
      </c>
      <c r="G21" s="32"/>
      <c r="H21" s="69"/>
      <c r="I21" s="69"/>
      <c r="J21" s="11"/>
    </row>
    <row r="22" spans="1:10" x14ac:dyDescent="0.2">
      <c r="A22" s="11"/>
      <c r="B22" s="11"/>
      <c r="C22" s="11"/>
      <c r="D22" s="11"/>
      <c r="E22" s="71"/>
      <c r="F22" s="72"/>
      <c r="G22" s="35"/>
      <c r="H22" s="11"/>
      <c r="I22" s="11"/>
      <c r="J22" s="11"/>
    </row>
    <row r="23" spans="1:10" ht="21.95" customHeight="1" x14ac:dyDescent="0.2">
      <c r="A23" s="11"/>
      <c r="B23" s="4" t="s">
        <v>309</v>
      </c>
      <c r="C23" s="46">
        <v>45689</v>
      </c>
      <c r="D23" s="46">
        <v>46054</v>
      </c>
      <c r="E23" s="71"/>
      <c r="F23" s="72"/>
      <c r="G23" s="35"/>
      <c r="H23" s="11"/>
      <c r="I23" s="11"/>
      <c r="J23" s="11"/>
    </row>
    <row r="24" spans="1:10" x14ac:dyDescent="0.2">
      <c r="A24" s="11"/>
      <c r="B24" s="5" t="s">
        <v>310</v>
      </c>
      <c r="C24" s="22">
        <v>131316</v>
      </c>
      <c r="D24" s="37">
        <f>C8</f>
        <v>95736</v>
      </c>
      <c r="E24" s="71"/>
      <c r="F24" s="72"/>
      <c r="G24" s="35"/>
      <c r="H24" s="11"/>
      <c r="I24" s="11"/>
      <c r="J24" s="11"/>
    </row>
    <row r="25" spans="1:10" x14ac:dyDescent="0.2">
      <c r="A25" s="11"/>
      <c r="B25" s="7" t="s">
        <v>311</v>
      </c>
      <c r="C25" s="18">
        <v>134268</v>
      </c>
      <c r="D25" s="38">
        <f>D8</f>
        <v>100326</v>
      </c>
      <c r="E25" s="71"/>
      <c r="F25" s="72"/>
      <c r="G25" s="35"/>
      <c r="H25" s="11"/>
      <c r="I25" s="11"/>
      <c r="J25" s="11"/>
    </row>
    <row r="26" spans="1:10" x14ac:dyDescent="0.2">
      <c r="A26" s="11"/>
      <c r="B26" s="5" t="s">
        <v>303</v>
      </c>
      <c r="C26" s="22">
        <v>1584362</v>
      </c>
      <c r="D26" s="37">
        <f>F8</f>
        <v>1099602</v>
      </c>
      <c r="E26" s="71"/>
      <c r="F26" s="72"/>
      <c r="G26" s="35"/>
      <c r="H26" s="11"/>
      <c r="I26" s="11"/>
      <c r="J26" s="11"/>
    </row>
    <row r="27" spans="1:10" x14ac:dyDescent="0.2">
      <c r="A27" s="11"/>
      <c r="B27" s="7" t="s">
        <v>304</v>
      </c>
      <c r="C27" s="20">
        <f>IFERROR(C26/C25,"")</f>
        <v>11.799997020883605</v>
      </c>
      <c r="D27" s="20">
        <f>IFERROR(D26/D25,"")</f>
        <v>10.960289456372227</v>
      </c>
      <c r="E27" s="71"/>
      <c r="F27" s="72"/>
      <c r="G27" s="35"/>
      <c r="H27" s="11"/>
      <c r="I27" s="11"/>
      <c r="J27" s="11"/>
    </row>
    <row r="28" spans="1:10" x14ac:dyDescent="0.2">
      <c r="A28" s="11"/>
      <c r="B28" s="5" t="s">
        <v>312</v>
      </c>
      <c r="C28" s="22">
        <v>528</v>
      </c>
      <c r="D28" s="37">
        <f>H8</f>
        <v>386</v>
      </c>
      <c r="E28" s="71"/>
      <c r="F28" s="72"/>
      <c r="G28" s="35"/>
      <c r="H28" s="11"/>
      <c r="I28" s="11"/>
      <c r="J28" s="11"/>
    </row>
    <row r="29" spans="1:10" x14ac:dyDescent="0.2">
      <c r="A29" s="11"/>
      <c r="B29" s="7" t="s">
        <v>313</v>
      </c>
      <c r="C29" s="18">
        <v>1276</v>
      </c>
      <c r="D29" s="38">
        <f>I8</f>
        <v>1276</v>
      </c>
      <c r="E29" s="71"/>
      <c r="F29" s="72"/>
      <c r="G29" s="35"/>
      <c r="H29" s="11"/>
      <c r="I29" s="11"/>
      <c r="J29" s="11"/>
    </row>
  </sheetData>
  <mergeCells count="1">
    <mergeCell ref="A1:R1"/>
  </mergeCells>
  <printOptions horizontalCentered="1"/>
  <pageMargins left="0.4" right="0.4" top="0.5" bottom="0.5" header="0.3" footer="0.3"/>
  <pageSetup fitToHeight="0" orientation="landscape"/>
  <drawing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59E0B"/>
    <pageSetUpPr fitToPage="1"/>
  </sheetPr>
  <dimension ref="A1:W71"/>
  <sheetViews>
    <sheetView showGridLines="0" topLeftCell="A2" zoomScale="90" workbookViewId="0">
      <pane xSplit="2" ySplit="2" topLeftCell="H4" activePane="bottomRight" state="frozen"/>
      <selection pane="topRight"/>
      <selection pane="bottomLeft"/>
      <selection pane="bottomRight" activeCell="L7" sqref="L7"/>
    </sheetView>
  </sheetViews>
  <sheetFormatPr defaultRowHeight="14.25" x14ac:dyDescent="0.2"/>
  <cols>
    <col min="1" max="1" width="6" customWidth="1"/>
    <col min="2" max="2" width="28" customWidth="1"/>
    <col min="3" max="4" width="11" customWidth="1"/>
    <col min="5" max="16" width="9" customWidth="1"/>
    <col min="17" max="17" width="12" customWidth="1"/>
    <col min="18" max="18" width="26" customWidth="1"/>
    <col min="19" max="20" width="10" customWidth="1"/>
    <col min="21" max="21" width="20" customWidth="1"/>
  </cols>
  <sheetData>
    <row r="1" spans="1:23" ht="33.950000000000003" customHeight="1" x14ac:dyDescent="0.2">
      <c r="A1" s="427" t="s">
        <v>314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  <c r="Q1" s="428"/>
      <c r="R1" s="428"/>
      <c r="S1" s="428"/>
      <c r="T1" s="428"/>
      <c r="V1" s="11"/>
      <c r="W1" s="11"/>
    </row>
    <row r="2" spans="1:23" ht="21.95" customHeight="1" x14ac:dyDescent="0.2">
      <c r="A2" s="4" t="s">
        <v>214</v>
      </c>
      <c r="B2" s="4" t="s">
        <v>315</v>
      </c>
      <c r="C2" s="4" t="s">
        <v>145</v>
      </c>
      <c r="D2" s="4" t="s">
        <v>139</v>
      </c>
      <c r="E2" s="4" t="s">
        <v>123</v>
      </c>
      <c r="F2" s="4" t="s">
        <v>124</v>
      </c>
      <c r="G2" s="4" t="s">
        <v>125</v>
      </c>
      <c r="H2" s="4" t="s">
        <v>126</v>
      </c>
      <c r="I2" s="4" t="s">
        <v>127</v>
      </c>
      <c r="J2" s="4" t="s">
        <v>128</v>
      </c>
      <c r="K2" s="4" t="s">
        <v>129</v>
      </c>
      <c r="L2" s="4" t="s">
        <v>7</v>
      </c>
      <c r="M2" s="4" t="s">
        <v>130</v>
      </c>
      <c r="N2" s="4" t="s">
        <v>131</v>
      </c>
      <c r="O2" s="4" t="s">
        <v>132</v>
      </c>
      <c r="P2" s="4" t="s">
        <v>133</v>
      </c>
      <c r="Q2" s="4" t="s">
        <v>316</v>
      </c>
      <c r="R2" s="4" t="s">
        <v>122</v>
      </c>
      <c r="S2" s="4" t="s">
        <v>317</v>
      </c>
      <c r="T2" s="4" t="s">
        <v>124</v>
      </c>
      <c r="U2" s="11"/>
      <c r="V2" s="11"/>
      <c r="W2" s="11"/>
    </row>
    <row r="3" spans="1:23" ht="20.100000000000001" customHeight="1" x14ac:dyDescent="0.2">
      <c r="A3" s="40">
        <v>1</v>
      </c>
      <c r="B3" s="42" t="s">
        <v>318</v>
      </c>
      <c r="C3" s="15">
        <v>563.83333333333405</v>
      </c>
      <c r="D3" s="15">
        <v>537.83333333332996</v>
      </c>
      <c r="E3" s="22">
        <v>480</v>
      </c>
      <c r="F3" s="22">
        <v>525</v>
      </c>
      <c r="G3" s="22">
        <v>675</v>
      </c>
      <c r="H3" s="22">
        <v>653</v>
      </c>
      <c r="I3" s="22">
        <v>647</v>
      </c>
      <c r="J3" s="22">
        <v>573</v>
      </c>
      <c r="K3" s="22">
        <v>631</v>
      </c>
      <c r="L3" s="22">
        <v>815</v>
      </c>
      <c r="M3" s="26"/>
      <c r="N3" s="26"/>
      <c r="O3" s="26"/>
      <c r="P3" s="26"/>
      <c r="Q3" s="37">
        <f t="shared" ref="Q3:Q27" si="0">IFERROR(AVERAGE(E3:P3),"")</f>
        <v>624.875</v>
      </c>
      <c r="R3" s="5" t="s">
        <v>319</v>
      </c>
      <c r="S3" s="22">
        <v>538</v>
      </c>
      <c r="T3" s="37">
        <f t="shared" ref="T3:T27" si="1">F3</f>
        <v>525</v>
      </c>
      <c r="U3" s="11"/>
      <c r="V3" s="11"/>
      <c r="W3" s="11"/>
    </row>
    <row r="4" spans="1:23" ht="25.5" customHeight="1" x14ac:dyDescent="0.2">
      <c r="A4" s="43">
        <v>2</v>
      </c>
      <c r="B4" s="45" t="s">
        <v>320</v>
      </c>
      <c r="C4" s="15">
        <v>2122.5</v>
      </c>
      <c r="D4" s="15">
        <v>1150.25</v>
      </c>
      <c r="E4" s="18">
        <v>1154</v>
      </c>
      <c r="F4" s="18">
        <v>1119</v>
      </c>
      <c r="G4" s="22">
        <v>1257</v>
      </c>
      <c r="H4" s="22">
        <v>1253</v>
      </c>
      <c r="I4" s="22">
        <v>1203</v>
      </c>
      <c r="J4" s="22">
        <v>1054</v>
      </c>
      <c r="K4" s="22">
        <v>1234</v>
      </c>
      <c r="L4" s="22">
        <v>1331</v>
      </c>
      <c r="M4" s="25"/>
      <c r="N4" s="25"/>
      <c r="O4" s="25"/>
      <c r="P4" s="25"/>
      <c r="Q4" s="38">
        <f t="shared" si="0"/>
        <v>1200.625</v>
      </c>
      <c r="R4" s="7" t="s">
        <v>321</v>
      </c>
      <c r="S4" s="18">
        <v>1850</v>
      </c>
      <c r="T4" s="38">
        <f t="shared" si="1"/>
        <v>1119</v>
      </c>
      <c r="U4" s="11"/>
      <c r="V4" s="11"/>
      <c r="W4" s="11"/>
    </row>
    <row r="5" spans="1:23" x14ac:dyDescent="0.2">
      <c r="A5" s="40">
        <v>3</v>
      </c>
      <c r="B5" s="42" t="s">
        <v>247</v>
      </c>
      <c r="C5" s="15">
        <v>2708.75</v>
      </c>
      <c r="D5" s="15">
        <v>2706.5</v>
      </c>
      <c r="E5" s="22">
        <v>2447</v>
      </c>
      <c r="F5" s="22">
        <v>2920</v>
      </c>
      <c r="G5" s="22">
        <v>3006</v>
      </c>
      <c r="H5" s="22">
        <v>3383</v>
      </c>
      <c r="I5" s="22">
        <v>2839</v>
      </c>
      <c r="J5" s="22">
        <v>2202</v>
      </c>
      <c r="K5" s="22">
        <v>2875</v>
      </c>
      <c r="L5" s="22">
        <v>3382</v>
      </c>
      <c r="M5" s="26"/>
      <c r="N5" s="26"/>
      <c r="O5" s="26"/>
      <c r="P5" s="26"/>
      <c r="Q5" s="37">
        <f t="shared" si="0"/>
        <v>2881.75</v>
      </c>
      <c r="R5" s="5" t="s">
        <v>247</v>
      </c>
      <c r="S5" s="22">
        <v>2964</v>
      </c>
      <c r="T5" s="37">
        <f t="shared" si="1"/>
        <v>2920</v>
      </c>
      <c r="U5" s="11"/>
      <c r="V5" s="11"/>
      <c r="W5" s="11"/>
    </row>
    <row r="6" spans="1:23" x14ac:dyDescent="0.2">
      <c r="A6" s="43">
        <v>4</v>
      </c>
      <c r="B6" s="45" t="s">
        <v>322</v>
      </c>
      <c r="C6" s="15">
        <v>212.821</v>
      </c>
      <c r="D6" s="15">
        <v>667.50833333333196</v>
      </c>
      <c r="E6" s="18">
        <v>436</v>
      </c>
      <c r="F6" s="18">
        <v>602</v>
      </c>
      <c r="G6" s="22">
        <v>993.3</v>
      </c>
      <c r="H6" s="22">
        <v>961.7</v>
      </c>
      <c r="I6" s="22">
        <v>1173</v>
      </c>
      <c r="J6" s="22">
        <v>1030</v>
      </c>
      <c r="K6" s="22">
        <v>836</v>
      </c>
      <c r="L6" s="22">
        <v>933</v>
      </c>
      <c r="M6" s="25"/>
      <c r="N6" s="25"/>
      <c r="O6" s="25"/>
      <c r="P6" s="25"/>
      <c r="Q6" s="38">
        <f t="shared" si="0"/>
        <v>870.625</v>
      </c>
      <c r="R6" s="7" t="s">
        <v>322</v>
      </c>
      <c r="S6" s="18">
        <v>667</v>
      </c>
      <c r="T6" s="38">
        <f t="shared" si="1"/>
        <v>602</v>
      </c>
      <c r="U6" s="11"/>
      <c r="V6" s="11"/>
      <c r="W6" s="11"/>
    </row>
    <row r="7" spans="1:23" ht="25.5" customHeight="1" x14ac:dyDescent="0.2">
      <c r="A7" s="40">
        <v>5</v>
      </c>
      <c r="B7" s="42" t="s">
        <v>224</v>
      </c>
      <c r="C7" s="15">
        <v>3459.9166666666601</v>
      </c>
      <c r="D7" s="15">
        <v>2632</v>
      </c>
      <c r="E7" s="22">
        <v>2273</v>
      </c>
      <c r="F7" s="22">
        <v>3173</v>
      </c>
      <c r="G7" s="22">
        <v>4616</v>
      </c>
      <c r="H7" s="22">
        <v>6151</v>
      </c>
      <c r="I7" s="22">
        <v>5274</v>
      </c>
      <c r="J7" s="22">
        <v>2391</v>
      </c>
      <c r="K7" s="22">
        <v>4289</v>
      </c>
      <c r="L7" s="22">
        <v>4790</v>
      </c>
      <c r="M7" s="26"/>
      <c r="N7" s="26"/>
      <c r="O7" s="26"/>
      <c r="P7" s="26"/>
      <c r="Q7" s="37">
        <f t="shared" si="0"/>
        <v>4119.625</v>
      </c>
      <c r="R7" s="5" t="s">
        <v>224</v>
      </c>
      <c r="S7" s="22">
        <v>3171</v>
      </c>
      <c r="T7" s="37">
        <f t="shared" si="1"/>
        <v>3173</v>
      </c>
      <c r="U7" s="11"/>
      <c r="V7" s="11"/>
      <c r="W7" s="11"/>
    </row>
    <row r="8" spans="1:23" ht="25.5" customHeight="1" x14ac:dyDescent="0.2">
      <c r="A8" s="43">
        <v>6</v>
      </c>
      <c r="B8" s="45" t="s">
        <v>226</v>
      </c>
      <c r="C8" s="15">
        <v>4117.75</v>
      </c>
      <c r="D8" s="15">
        <v>3026.4166666666702</v>
      </c>
      <c r="E8" s="18">
        <v>2426</v>
      </c>
      <c r="F8" s="18">
        <v>2719</v>
      </c>
      <c r="G8" s="22">
        <v>4525</v>
      </c>
      <c r="H8" s="22">
        <v>6080</v>
      </c>
      <c r="I8" s="22">
        <v>7229</v>
      </c>
      <c r="J8" s="22">
        <v>2576</v>
      </c>
      <c r="K8" s="22">
        <v>3615</v>
      </c>
      <c r="L8" s="22">
        <v>4692</v>
      </c>
      <c r="M8" s="25"/>
      <c r="N8" s="25"/>
      <c r="O8" s="25"/>
      <c r="P8" s="25"/>
      <c r="Q8" s="38">
        <f t="shared" si="0"/>
        <v>4232.75</v>
      </c>
      <c r="R8" s="7" t="s">
        <v>226</v>
      </c>
      <c r="S8" s="18">
        <v>3893</v>
      </c>
      <c r="T8" s="38">
        <f t="shared" si="1"/>
        <v>2719</v>
      </c>
      <c r="U8" s="11"/>
      <c r="V8" s="11"/>
      <c r="W8" s="11"/>
    </row>
    <row r="9" spans="1:23" ht="25.5" customHeight="1" x14ac:dyDescent="0.2">
      <c r="A9" s="40">
        <v>7</v>
      </c>
      <c r="B9" s="42" t="s">
        <v>227</v>
      </c>
      <c r="C9" s="15">
        <v>3465.4166666666702</v>
      </c>
      <c r="D9" s="15">
        <v>3216.8333333333198</v>
      </c>
      <c r="E9" s="22">
        <v>1858</v>
      </c>
      <c r="F9" s="22">
        <v>3608</v>
      </c>
      <c r="G9" s="22">
        <v>3486</v>
      </c>
      <c r="H9" s="22">
        <v>4748</v>
      </c>
      <c r="I9" s="22">
        <v>4922</v>
      </c>
      <c r="J9" s="22">
        <v>2227</v>
      </c>
      <c r="K9" s="22">
        <v>4090</v>
      </c>
      <c r="L9" s="22">
        <v>5092</v>
      </c>
      <c r="M9" s="26"/>
      <c r="N9" s="26"/>
      <c r="O9" s="26"/>
      <c r="P9" s="26"/>
      <c r="Q9" s="37">
        <f t="shared" si="0"/>
        <v>3753.875</v>
      </c>
      <c r="R9" s="5" t="s">
        <v>227</v>
      </c>
      <c r="S9" s="22">
        <v>4717</v>
      </c>
      <c r="T9" s="37">
        <f t="shared" si="1"/>
        <v>3608</v>
      </c>
      <c r="U9" s="11"/>
      <c r="V9" s="11"/>
      <c r="W9" s="11"/>
    </row>
    <row r="10" spans="1:23" ht="25.5" customHeight="1" x14ac:dyDescent="0.2">
      <c r="A10" s="43">
        <v>8</v>
      </c>
      <c r="B10" s="45" t="s">
        <v>228</v>
      </c>
      <c r="C10" s="15">
        <v>4755.3333333333303</v>
      </c>
      <c r="D10" s="15">
        <v>3604.75</v>
      </c>
      <c r="E10" s="18">
        <v>3035</v>
      </c>
      <c r="F10" s="18">
        <v>5027</v>
      </c>
      <c r="G10" s="22">
        <v>7021</v>
      </c>
      <c r="H10" s="22">
        <v>9892</v>
      </c>
      <c r="I10" s="22">
        <v>10722</v>
      </c>
      <c r="J10" s="22">
        <v>2915</v>
      </c>
      <c r="K10" s="22">
        <v>6848</v>
      </c>
      <c r="L10" s="22">
        <v>6408</v>
      </c>
      <c r="M10" s="25"/>
      <c r="N10" s="25"/>
      <c r="O10" s="25"/>
      <c r="P10" s="25"/>
      <c r="Q10" s="38">
        <f t="shared" si="0"/>
        <v>6483.5</v>
      </c>
      <c r="R10" s="7" t="s">
        <v>228</v>
      </c>
      <c r="S10" s="18">
        <v>3563</v>
      </c>
      <c r="T10" s="38">
        <f t="shared" si="1"/>
        <v>5027</v>
      </c>
      <c r="U10" s="11"/>
      <c r="V10" s="11"/>
      <c r="W10" s="11"/>
    </row>
    <row r="11" spans="1:23" x14ac:dyDescent="0.2">
      <c r="A11" s="40">
        <v>9</v>
      </c>
      <c r="B11" s="42" t="s">
        <v>323</v>
      </c>
      <c r="C11" s="15">
        <v>8637</v>
      </c>
      <c r="D11" s="15">
        <v>5664.7666666666701</v>
      </c>
      <c r="E11" s="22">
        <v>2936</v>
      </c>
      <c r="F11" s="22">
        <v>4122</v>
      </c>
      <c r="G11" s="22">
        <v>8610</v>
      </c>
      <c r="H11" s="22">
        <v>13623</v>
      </c>
      <c r="I11" s="22">
        <v>4475</v>
      </c>
      <c r="J11" s="22">
        <v>2951</v>
      </c>
      <c r="K11" s="22">
        <v>3693</v>
      </c>
      <c r="L11" s="22">
        <v>3576</v>
      </c>
      <c r="M11" s="26"/>
      <c r="N11" s="26"/>
      <c r="O11" s="26"/>
      <c r="P11" s="26"/>
      <c r="Q11" s="37">
        <f t="shared" si="0"/>
        <v>5498.25</v>
      </c>
      <c r="R11" s="5" t="s">
        <v>323</v>
      </c>
      <c r="S11" s="22">
        <v>2756.2</v>
      </c>
      <c r="T11" s="37">
        <f t="shared" si="1"/>
        <v>4122</v>
      </c>
      <c r="U11" s="11"/>
      <c r="V11" s="11"/>
      <c r="W11" s="11"/>
    </row>
    <row r="12" spans="1:23" x14ac:dyDescent="0.2">
      <c r="A12" s="43">
        <v>10</v>
      </c>
      <c r="B12" s="45" t="s">
        <v>324</v>
      </c>
      <c r="C12" s="15">
        <v>5749.0833333333303</v>
      </c>
      <c r="D12" s="15">
        <v>5468.95</v>
      </c>
      <c r="E12" s="18">
        <v>4053</v>
      </c>
      <c r="F12" s="18">
        <v>6416</v>
      </c>
      <c r="G12" s="22">
        <v>9833</v>
      </c>
      <c r="H12" s="22">
        <v>14587</v>
      </c>
      <c r="I12" s="22">
        <v>12517</v>
      </c>
      <c r="J12" s="22">
        <v>1965</v>
      </c>
      <c r="K12" s="22">
        <v>5778</v>
      </c>
      <c r="L12" s="22">
        <v>12306</v>
      </c>
      <c r="M12" s="25"/>
      <c r="N12" s="25"/>
      <c r="O12" s="25"/>
      <c r="P12" s="25"/>
      <c r="Q12" s="38">
        <f t="shared" si="0"/>
        <v>8431.875</v>
      </c>
      <c r="R12" s="7" t="s">
        <v>324</v>
      </c>
      <c r="S12" s="18">
        <v>1991.4</v>
      </c>
      <c r="T12" s="38">
        <f t="shared" si="1"/>
        <v>6416</v>
      </c>
      <c r="U12" s="11"/>
      <c r="V12" s="11"/>
      <c r="W12" s="11"/>
    </row>
    <row r="13" spans="1:23" x14ac:dyDescent="0.2">
      <c r="A13" s="40">
        <v>11</v>
      </c>
      <c r="B13" s="42" t="s">
        <v>231</v>
      </c>
      <c r="C13" s="15">
        <v>6480.25</v>
      </c>
      <c r="D13" s="15">
        <v>4599.3999999999896</v>
      </c>
      <c r="E13" s="22">
        <v>3981</v>
      </c>
      <c r="F13" s="22">
        <v>5304</v>
      </c>
      <c r="G13" s="22">
        <v>7352</v>
      </c>
      <c r="H13" s="22">
        <v>9602</v>
      </c>
      <c r="I13" s="22">
        <v>9997</v>
      </c>
      <c r="J13" s="22">
        <v>4369</v>
      </c>
      <c r="K13" s="22">
        <v>4443</v>
      </c>
      <c r="L13" s="22">
        <v>5498</v>
      </c>
      <c r="M13" s="26"/>
      <c r="N13" s="26"/>
      <c r="O13" s="26"/>
      <c r="P13" s="26"/>
      <c r="Q13" s="37">
        <f t="shared" si="0"/>
        <v>6318.25</v>
      </c>
      <c r="R13" s="5" t="s">
        <v>231</v>
      </c>
      <c r="S13" s="22">
        <v>1930.8</v>
      </c>
      <c r="T13" s="37">
        <f t="shared" si="1"/>
        <v>5304</v>
      </c>
      <c r="U13" s="11"/>
      <c r="V13" s="11"/>
      <c r="W13" s="11"/>
    </row>
    <row r="14" spans="1:23" x14ac:dyDescent="0.2">
      <c r="A14" s="43">
        <v>12</v>
      </c>
      <c r="B14" s="45" t="s">
        <v>232</v>
      </c>
      <c r="C14" s="15">
        <v>6609.00000000001</v>
      </c>
      <c r="D14" s="15">
        <v>5202.8500000000004</v>
      </c>
      <c r="E14" s="18">
        <v>4068</v>
      </c>
      <c r="F14" s="18">
        <v>7064</v>
      </c>
      <c r="G14" s="22">
        <v>10129</v>
      </c>
      <c r="H14" s="22">
        <v>13778</v>
      </c>
      <c r="I14" s="22">
        <v>14594</v>
      </c>
      <c r="J14" s="22">
        <v>3887</v>
      </c>
      <c r="K14" s="22">
        <v>6393</v>
      </c>
      <c r="L14" s="22">
        <v>8718</v>
      </c>
      <c r="M14" s="25"/>
      <c r="N14" s="25"/>
      <c r="O14" s="25"/>
      <c r="P14" s="25"/>
      <c r="Q14" s="38">
        <f t="shared" si="0"/>
        <v>8578.875</v>
      </c>
      <c r="R14" s="7" t="s">
        <v>232</v>
      </c>
      <c r="S14" s="18">
        <v>1966.2</v>
      </c>
      <c r="T14" s="38">
        <f t="shared" si="1"/>
        <v>7064</v>
      </c>
      <c r="U14" s="11"/>
      <c r="V14" s="11"/>
      <c r="W14" s="11"/>
    </row>
    <row r="15" spans="1:23" ht="25.5" customHeight="1" x14ac:dyDescent="0.2">
      <c r="A15" s="40">
        <v>13</v>
      </c>
      <c r="B15" s="42" t="s">
        <v>325</v>
      </c>
      <c r="C15" s="15">
        <v>7725.9166666666597</v>
      </c>
      <c r="D15" s="15">
        <v>8438.25</v>
      </c>
      <c r="E15" s="22">
        <v>3679</v>
      </c>
      <c r="F15" s="22">
        <v>5521</v>
      </c>
      <c r="G15" s="22">
        <v>10138</v>
      </c>
      <c r="H15" s="22">
        <v>16196</v>
      </c>
      <c r="I15" s="22">
        <v>21333</v>
      </c>
      <c r="J15" s="22">
        <v>4292</v>
      </c>
      <c r="K15" s="22">
        <v>7078</v>
      </c>
      <c r="L15" s="22">
        <v>10905</v>
      </c>
      <c r="M15" s="26"/>
      <c r="N15" s="26"/>
      <c r="O15" s="26"/>
      <c r="P15" s="26"/>
      <c r="Q15" s="37">
        <f t="shared" si="0"/>
        <v>9892.75</v>
      </c>
      <c r="R15" s="5" t="s">
        <v>325</v>
      </c>
      <c r="S15" s="22">
        <v>7939</v>
      </c>
      <c r="T15" s="37">
        <f t="shared" si="1"/>
        <v>5521</v>
      </c>
      <c r="U15" s="11"/>
      <c r="V15" s="11"/>
      <c r="W15" s="11"/>
    </row>
    <row r="16" spans="1:23" ht="25.5" customHeight="1" x14ac:dyDescent="0.2">
      <c r="A16" s="43">
        <v>14</v>
      </c>
      <c r="B16" s="45" t="s">
        <v>326</v>
      </c>
      <c r="C16" s="15">
        <v>3561.1666666666702</v>
      </c>
      <c r="D16" s="15">
        <v>9621.1666666666606</v>
      </c>
      <c r="E16" s="18">
        <v>7015</v>
      </c>
      <c r="F16" s="18">
        <v>5863</v>
      </c>
      <c r="G16" s="22">
        <v>10663</v>
      </c>
      <c r="H16" s="22">
        <v>18355</v>
      </c>
      <c r="I16" s="22">
        <v>19464</v>
      </c>
      <c r="J16" s="22">
        <v>9012</v>
      </c>
      <c r="K16" s="22">
        <v>7647</v>
      </c>
      <c r="L16" s="22">
        <v>8760</v>
      </c>
      <c r="M16" s="25"/>
      <c r="N16" s="25"/>
      <c r="O16" s="25"/>
      <c r="P16" s="25"/>
      <c r="Q16" s="38">
        <f t="shared" si="0"/>
        <v>10847.375</v>
      </c>
      <c r="R16" s="7" t="s">
        <v>326</v>
      </c>
      <c r="S16" s="18">
        <v>9997</v>
      </c>
      <c r="T16" s="38">
        <f t="shared" si="1"/>
        <v>5863</v>
      </c>
      <c r="U16" s="11"/>
      <c r="V16" s="11"/>
      <c r="W16" s="11"/>
    </row>
    <row r="17" spans="1:23" ht="25.5" customHeight="1" x14ac:dyDescent="0.2">
      <c r="A17" s="40">
        <v>15</v>
      </c>
      <c r="B17" s="42" t="s">
        <v>237</v>
      </c>
      <c r="C17" s="15">
        <v>8511.5833333333303</v>
      </c>
      <c r="D17" s="15">
        <v>7514.75</v>
      </c>
      <c r="E17" s="22">
        <v>6053</v>
      </c>
      <c r="F17" s="22">
        <v>5908</v>
      </c>
      <c r="G17" s="22">
        <v>8688</v>
      </c>
      <c r="H17" s="22">
        <v>11663</v>
      </c>
      <c r="I17" s="22">
        <v>13162</v>
      </c>
      <c r="J17" s="22">
        <v>7658</v>
      </c>
      <c r="K17" s="22">
        <v>8075</v>
      </c>
      <c r="L17" s="22">
        <v>8229</v>
      </c>
      <c r="M17" s="26"/>
      <c r="N17" s="26"/>
      <c r="O17" s="26"/>
      <c r="P17" s="26"/>
      <c r="Q17" s="37">
        <f t="shared" si="0"/>
        <v>8679.5</v>
      </c>
      <c r="R17" s="5" t="s">
        <v>237</v>
      </c>
      <c r="S17" s="22">
        <v>7384</v>
      </c>
      <c r="T17" s="37">
        <f t="shared" si="1"/>
        <v>5908</v>
      </c>
      <c r="U17" s="11"/>
      <c r="V17" s="11"/>
      <c r="W17" s="11"/>
    </row>
    <row r="18" spans="1:23" x14ac:dyDescent="0.2">
      <c r="A18" s="43">
        <v>16</v>
      </c>
      <c r="B18" s="45" t="s">
        <v>239</v>
      </c>
      <c r="C18" s="15">
        <v>17065.1074999999</v>
      </c>
      <c r="D18" s="15">
        <v>18408.333333333201</v>
      </c>
      <c r="E18" s="18">
        <v>14400</v>
      </c>
      <c r="F18" s="18">
        <v>17500</v>
      </c>
      <c r="G18" s="22">
        <v>20100</v>
      </c>
      <c r="H18" s="22">
        <v>21900</v>
      </c>
      <c r="I18" s="22">
        <v>26200</v>
      </c>
      <c r="J18" s="22">
        <v>17200</v>
      </c>
      <c r="K18" s="22">
        <v>18700</v>
      </c>
      <c r="L18" s="22">
        <v>18300</v>
      </c>
      <c r="M18" s="25"/>
      <c r="N18" s="25"/>
      <c r="O18" s="25"/>
      <c r="P18" s="25"/>
      <c r="Q18" s="38">
        <f t="shared" si="0"/>
        <v>19287.5</v>
      </c>
      <c r="R18" s="7" t="s">
        <v>239</v>
      </c>
      <c r="S18" s="18">
        <v>14800</v>
      </c>
      <c r="T18" s="38">
        <f t="shared" si="1"/>
        <v>17500</v>
      </c>
      <c r="U18" s="11"/>
      <c r="V18" s="11"/>
      <c r="W18" s="11"/>
    </row>
    <row r="19" spans="1:23" x14ac:dyDescent="0.2">
      <c r="A19" s="40">
        <v>17</v>
      </c>
      <c r="B19" s="42" t="s">
        <v>327</v>
      </c>
      <c r="C19" s="15">
        <v>4781.7491666666501</v>
      </c>
      <c r="D19" s="15">
        <v>12186.083333333199</v>
      </c>
      <c r="E19" s="22">
        <v>10100</v>
      </c>
      <c r="F19" s="22">
        <v>9900</v>
      </c>
      <c r="G19" s="22">
        <v>11000</v>
      </c>
      <c r="H19" s="22">
        <v>10000</v>
      </c>
      <c r="I19" s="22">
        <v>9900</v>
      </c>
      <c r="J19" s="22">
        <v>9800</v>
      </c>
      <c r="K19" s="22">
        <v>9500</v>
      </c>
      <c r="L19" s="22">
        <v>11500</v>
      </c>
      <c r="M19" s="26"/>
      <c r="N19" s="26"/>
      <c r="O19" s="26"/>
      <c r="P19" s="26"/>
      <c r="Q19" s="37">
        <f t="shared" si="0"/>
        <v>10212.5</v>
      </c>
      <c r="R19" s="5" t="s">
        <v>327</v>
      </c>
      <c r="S19" s="22">
        <v>14320</v>
      </c>
      <c r="T19" s="37">
        <f t="shared" si="1"/>
        <v>9900</v>
      </c>
      <c r="U19" s="11"/>
      <c r="V19" s="11"/>
      <c r="W19" s="11"/>
    </row>
    <row r="20" spans="1:23" ht="25.5" customHeight="1" x14ac:dyDescent="0.2">
      <c r="A20" s="43">
        <v>18</v>
      </c>
      <c r="B20" s="45" t="s">
        <v>328</v>
      </c>
      <c r="C20" s="15">
        <v>630.71166666666704</v>
      </c>
      <c r="D20" s="15">
        <v>782.80833333333305</v>
      </c>
      <c r="E20" s="18">
        <v>837</v>
      </c>
      <c r="F20" s="18">
        <v>947</v>
      </c>
      <c r="G20" s="22">
        <v>1077</v>
      </c>
      <c r="H20" s="22">
        <v>877</v>
      </c>
      <c r="I20" s="22">
        <v>759.8</v>
      </c>
      <c r="J20" s="22">
        <v>609</v>
      </c>
      <c r="K20" s="22">
        <v>909.7</v>
      </c>
      <c r="L20" s="22">
        <v>10147</v>
      </c>
      <c r="M20" s="25"/>
      <c r="N20" s="25"/>
      <c r="O20" s="25"/>
      <c r="P20" s="25"/>
      <c r="Q20" s="38">
        <f t="shared" si="0"/>
        <v>2020.4375</v>
      </c>
      <c r="R20" s="7" t="s">
        <v>328</v>
      </c>
      <c r="S20" s="18">
        <v>599.5</v>
      </c>
      <c r="T20" s="38">
        <f t="shared" si="1"/>
        <v>947</v>
      </c>
      <c r="U20" s="11"/>
      <c r="V20" s="11"/>
      <c r="W20" s="11"/>
    </row>
    <row r="21" spans="1:23" x14ac:dyDescent="0.2">
      <c r="A21" s="40">
        <v>19</v>
      </c>
      <c r="B21" s="42" t="s">
        <v>243</v>
      </c>
      <c r="C21" s="15">
        <v>6193.9166666666497</v>
      </c>
      <c r="D21" s="15">
        <v>5689.2583333333196</v>
      </c>
      <c r="E21" s="22">
        <v>5755</v>
      </c>
      <c r="F21" s="22">
        <v>6473</v>
      </c>
      <c r="G21" s="22">
        <v>8754</v>
      </c>
      <c r="H21" s="22">
        <v>8861</v>
      </c>
      <c r="I21" s="22">
        <v>8785</v>
      </c>
      <c r="J21" s="22">
        <v>7367</v>
      </c>
      <c r="K21" s="22">
        <v>7545</v>
      </c>
      <c r="L21" s="22">
        <v>9768</v>
      </c>
      <c r="M21" s="26"/>
      <c r="N21" s="26"/>
      <c r="O21" s="26"/>
      <c r="P21" s="26"/>
      <c r="Q21" s="37">
        <f t="shared" si="0"/>
        <v>7913.5</v>
      </c>
      <c r="R21" s="5" t="s">
        <v>243</v>
      </c>
      <c r="S21" s="22">
        <v>41</v>
      </c>
      <c r="T21" s="37">
        <f t="shared" si="1"/>
        <v>6473</v>
      </c>
      <c r="U21" s="11"/>
      <c r="V21" s="11"/>
      <c r="W21" s="11"/>
    </row>
    <row r="22" spans="1:23" x14ac:dyDescent="0.2">
      <c r="A22" s="43">
        <v>20</v>
      </c>
      <c r="B22" s="45" t="s">
        <v>244</v>
      </c>
      <c r="C22" s="15">
        <v>4665.1666666666597</v>
      </c>
      <c r="D22" s="15">
        <v>3302.5833333333198</v>
      </c>
      <c r="E22" s="18">
        <v>2527</v>
      </c>
      <c r="F22" s="18">
        <v>2796</v>
      </c>
      <c r="G22" s="22">
        <v>3576</v>
      </c>
      <c r="H22" s="22">
        <v>3870</v>
      </c>
      <c r="I22" s="22">
        <v>3937</v>
      </c>
      <c r="J22" s="22">
        <v>3733</v>
      </c>
      <c r="K22" s="22">
        <v>4140</v>
      </c>
      <c r="L22" s="22">
        <v>3784</v>
      </c>
      <c r="M22" s="25"/>
      <c r="N22" s="25"/>
      <c r="O22" s="25"/>
      <c r="P22" s="25"/>
      <c r="Q22" s="38">
        <f t="shared" si="0"/>
        <v>3545.375</v>
      </c>
      <c r="R22" s="7" t="s">
        <v>244</v>
      </c>
      <c r="S22" s="18">
        <v>2544</v>
      </c>
      <c r="T22" s="38">
        <f t="shared" si="1"/>
        <v>2796</v>
      </c>
      <c r="U22" s="11"/>
      <c r="V22" s="11"/>
      <c r="W22" s="11"/>
    </row>
    <row r="23" spans="1:23" x14ac:dyDescent="0.2">
      <c r="A23" s="40">
        <v>21</v>
      </c>
      <c r="B23" s="42" t="s">
        <v>329</v>
      </c>
      <c r="C23" s="15">
        <v>2003.6666666666499</v>
      </c>
      <c r="D23" s="15">
        <v>1538.3333333333301</v>
      </c>
      <c r="E23" s="22">
        <v>1272</v>
      </c>
      <c r="F23" s="22">
        <v>1135</v>
      </c>
      <c r="G23" s="22">
        <v>0</v>
      </c>
      <c r="H23" s="22">
        <v>1224</v>
      </c>
      <c r="I23" s="22">
        <v>1365</v>
      </c>
      <c r="J23" s="22">
        <v>1214</v>
      </c>
      <c r="K23" s="22">
        <v>1265</v>
      </c>
      <c r="L23" s="22">
        <v>212</v>
      </c>
      <c r="M23" s="26"/>
      <c r="N23" s="26"/>
      <c r="O23" s="26"/>
      <c r="P23" s="26"/>
      <c r="Q23" s="37">
        <f t="shared" si="0"/>
        <v>960.875</v>
      </c>
      <c r="R23" s="5" t="s">
        <v>329</v>
      </c>
      <c r="S23" s="22">
        <v>1888</v>
      </c>
      <c r="T23" s="37">
        <f t="shared" si="1"/>
        <v>1135</v>
      </c>
      <c r="U23" s="11"/>
      <c r="V23" s="11"/>
      <c r="W23" s="11"/>
    </row>
    <row r="24" spans="1:23" x14ac:dyDescent="0.2">
      <c r="A24" s="43">
        <v>22</v>
      </c>
      <c r="B24" s="45" t="s">
        <v>330</v>
      </c>
      <c r="C24" s="15">
        <v>7506.0062499999804</v>
      </c>
      <c r="D24" s="15">
        <v>5477.4250000000002</v>
      </c>
      <c r="E24" s="18">
        <v>4411.5</v>
      </c>
      <c r="F24" s="18">
        <v>4728.5</v>
      </c>
      <c r="G24" s="22">
        <v>5301</v>
      </c>
      <c r="H24" s="22">
        <v>5490</v>
      </c>
      <c r="I24" s="22">
        <v>6445</v>
      </c>
      <c r="J24" s="22">
        <v>5055</v>
      </c>
      <c r="K24" s="22">
        <v>4811</v>
      </c>
      <c r="L24" s="22">
        <v>4393</v>
      </c>
      <c r="M24" s="25"/>
      <c r="N24" s="25"/>
      <c r="O24" s="25"/>
      <c r="P24" s="25"/>
      <c r="Q24" s="38">
        <f t="shared" si="0"/>
        <v>5079.375</v>
      </c>
      <c r="R24" s="7" t="s">
        <v>330</v>
      </c>
      <c r="S24" s="18">
        <v>5229</v>
      </c>
      <c r="T24" s="38">
        <f t="shared" si="1"/>
        <v>4728.5</v>
      </c>
      <c r="U24" s="11"/>
      <c r="V24" s="11"/>
      <c r="W24" s="11"/>
    </row>
    <row r="25" spans="1:23" x14ac:dyDescent="0.2">
      <c r="A25" s="40">
        <v>23</v>
      </c>
      <c r="B25" s="42" t="s">
        <v>331</v>
      </c>
      <c r="C25" s="15">
        <v>12987.2246666667</v>
      </c>
      <c r="D25" s="15">
        <v>7486.5</v>
      </c>
      <c r="E25" s="22">
        <v>7000</v>
      </c>
      <c r="F25" s="22">
        <v>7600</v>
      </c>
      <c r="G25" s="22">
        <v>7700</v>
      </c>
      <c r="H25" s="22">
        <v>7800</v>
      </c>
      <c r="I25" s="22">
        <v>7700</v>
      </c>
      <c r="J25" s="22">
        <v>3600</v>
      </c>
      <c r="K25" s="22">
        <v>4300</v>
      </c>
      <c r="L25" s="22">
        <v>4300</v>
      </c>
      <c r="M25" s="26"/>
      <c r="N25" s="26"/>
      <c r="O25" s="26"/>
      <c r="P25" s="26"/>
      <c r="Q25" s="37">
        <f t="shared" si="0"/>
        <v>6250</v>
      </c>
      <c r="R25" s="5" t="s">
        <v>331</v>
      </c>
      <c r="S25" s="22">
        <v>10010</v>
      </c>
      <c r="T25" s="37">
        <f t="shared" si="1"/>
        <v>7600</v>
      </c>
      <c r="U25" s="11"/>
      <c r="V25" s="11"/>
      <c r="W25" s="11"/>
    </row>
    <row r="26" spans="1:23" x14ac:dyDescent="0.2">
      <c r="A26" s="43">
        <v>24</v>
      </c>
      <c r="B26" s="45" t="s">
        <v>240</v>
      </c>
      <c r="C26" s="15">
        <v>32877.5</v>
      </c>
      <c r="D26" s="15">
        <v>25376.833333333201</v>
      </c>
      <c r="E26" s="18">
        <v>12770</v>
      </c>
      <c r="F26" s="18">
        <v>15830</v>
      </c>
      <c r="G26" s="22">
        <v>19230</v>
      </c>
      <c r="H26" s="22">
        <v>25480</v>
      </c>
      <c r="I26" s="22">
        <v>27890</v>
      </c>
      <c r="J26" s="22">
        <v>19950</v>
      </c>
      <c r="K26" s="22">
        <v>21650</v>
      </c>
      <c r="L26" s="22">
        <v>25640</v>
      </c>
      <c r="M26" s="25"/>
      <c r="N26" s="25"/>
      <c r="O26" s="25"/>
      <c r="P26" s="25"/>
      <c r="Q26" s="38">
        <f t="shared" si="0"/>
        <v>21055</v>
      </c>
      <c r="R26" s="7" t="s">
        <v>240</v>
      </c>
      <c r="S26" s="18">
        <v>30890</v>
      </c>
      <c r="T26" s="38">
        <f t="shared" si="1"/>
        <v>15830</v>
      </c>
      <c r="U26" s="11"/>
      <c r="V26" s="11"/>
      <c r="W26" s="11"/>
    </row>
    <row r="27" spans="1:23" x14ac:dyDescent="0.2">
      <c r="A27" s="40">
        <v>25</v>
      </c>
      <c r="B27" s="42" t="s">
        <v>332</v>
      </c>
      <c r="C27" s="15">
        <v>303.2475</v>
      </c>
      <c r="D27" s="15">
        <v>2515.2083333333198</v>
      </c>
      <c r="E27" s="22">
        <v>780</v>
      </c>
      <c r="F27" s="22">
        <v>1440</v>
      </c>
      <c r="G27" s="22">
        <v>3957</v>
      </c>
      <c r="H27" s="22">
        <v>8560.2999999999993</v>
      </c>
      <c r="I27" s="22">
        <v>7497.7</v>
      </c>
      <c r="J27" s="22">
        <v>2035.8</v>
      </c>
      <c r="K27" s="22">
        <v>2497.9</v>
      </c>
      <c r="L27" s="22">
        <v>4852</v>
      </c>
      <c r="M27" s="26"/>
      <c r="N27" s="26"/>
      <c r="O27" s="26"/>
      <c r="P27" s="26"/>
      <c r="Q27" s="37">
        <f t="shared" si="0"/>
        <v>3952.5875000000001</v>
      </c>
      <c r="R27" s="5" t="s">
        <v>332</v>
      </c>
      <c r="S27" s="22">
        <v>3364</v>
      </c>
      <c r="T27" s="37">
        <f t="shared" si="1"/>
        <v>1440</v>
      </c>
      <c r="U27" s="11"/>
      <c r="V27" s="11"/>
      <c r="W27" s="11"/>
    </row>
    <row r="28" spans="1:23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x14ac:dyDescent="0.2">
      <c r="A29" s="11"/>
      <c r="B29" s="9" t="s">
        <v>333</v>
      </c>
      <c r="C29" s="27">
        <f t="shared" ref="C29:P29" si="2">IF(COUNT(C3:C27)=0,"",SUM(C3:C27)/1000)</f>
        <v>157.69461774999985</v>
      </c>
      <c r="D29" s="27">
        <f t="shared" si="2"/>
        <v>146.81559166666619</v>
      </c>
      <c r="E29" s="27">
        <f t="shared" si="2"/>
        <v>105.7465</v>
      </c>
      <c r="F29" s="27">
        <f t="shared" si="2"/>
        <v>128.2405</v>
      </c>
      <c r="G29" s="27">
        <f t="shared" si="2"/>
        <v>171.68729999999999</v>
      </c>
      <c r="H29" s="27">
        <f t="shared" si="2"/>
        <v>224.988</v>
      </c>
      <c r="I29" s="27">
        <f t="shared" si="2"/>
        <v>230.03049999999999</v>
      </c>
      <c r="J29" s="27">
        <f t="shared" si="2"/>
        <v>119.6658</v>
      </c>
      <c r="K29" s="27">
        <f t="shared" si="2"/>
        <v>142.84360000000001</v>
      </c>
      <c r="L29" s="27">
        <f t="shared" si="2"/>
        <v>178.33099999999999</v>
      </c>
      <c r="M29" s="27" t="str">
        <f t="shared" si="2"/>
        <v/>
      </c>
      <c r="N29" s="27" t="str">
        <f t="shared" si="2"/>
        <v/>
      </c>
      <c r="O29" s="27" t="str">
        <f t="shared" si="2"/>
        <v/>
      </c>
      <c r="P29" s="27" t="str">
        <f t="shared" si="2"/>
        <v/>
      </c>
      <c r="Q29" s="27">
        <f>IFERROR(AVERAGE(E29:P29),"")</f>
        <v>162.69164999999998</v>
      </c>
      <c r="R29" s="11"/>
      <c r="S29" s="11"/>
      <c r="T29" s="11"/>
      <c r="U29" s="11"/>
      <c r="V29" s="11"/>
      <c r="W29" s="11"/>
    </row>
    <row r="30" spans="1:23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</sheetData>
  <mergeCells count="1">
    <mergeCell ref="A1:T1"/>
  </mergeCells>
  <printOptions horizontalCentered="1"/>
  <pageMargins left="0.4" right="0.4" top="0.5" bottom="0.5" header="0.3" footer="0.3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59E0B"/>
    <pageSetUpPr fitToPage="1"/>
  </sheetPr>
  <dimension ref="A1:U40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G31" sqref="G31"/>
    </sheetView>
  </sheetViews>
  <sheetFormatPr defaultColWidth="7.875" defaultRowHeight="14.25" x14ac:dyDescent="0.2"/>
  <cols>
    <col min="1" max="1" width="2" customWidth="1"/>
    <col min="2" max="2" width="30" customWidth="1"/>
    <col min="3" max="5" width="11" customWidth="1"/>
    <col min="6" max="6" width="20" customWidth="1"/>
    <col min="7" max="14" width="11" customWidth="1"/>
    <col min="15" max="15" width="15.875" customWidth="1"/>
    <col min="16" max="16" width="15.625" customWidth="1"/>
  </cols>
  <sheetData>
    <row r="1" spans="1:21" ht="33.950000000000003" customHeight="1" x14ac:dyDescent="0.2">
      <c r="A1" s="11"/>
      <c r="B1" s="427" t="s">
        <v>334</v>
      </c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11"/>
      <c r="P1" s="11"/>
      <c r="Q1" s="11"/>
      <c r="R1" s="11"/>
      <c r="S1" s="11"/>
      <c r="T1" s="11"/>
      <c r="U1" s="11"/>
    </row>
    <row r="2" spans="1:2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18.75" customHeight="1" x14ac:dyDescent="0.2">
      <c r="A3" s="11"/>
      <c r="B3" s="476" t="s">
        <v>335</v>
      </c>
      <c r="C3" s="477"/>
      <c r="D3" s="477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ht="30" customHeight="1" x14ac:dyDescent="0.2">
      <c r="A4" s="11"/>
      <c r="B4" s="4" t="s">
        <v>336</v>
      </c>
      <c r="C4" s="4" t="s">
        <v>337</v>
      </c>
      <c r="D4" s="4" t="s">
        <v>338</v>
      </c>
      <c r="E4" s="11"/>
      <c r="F4" s="77" t="s">
        <v>339</v>
      </c>
      <c r="G4" s="78">
        <v>11.8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 ht="15.75" customHeight="1" x14ac:dyDescent="0.2">
      <c r="A5" s="11"/>
      <c r="B5" s="21">
        <v>46023</v>
      </c>
      <c r="C5" s="22">
        <v>89214</v>
      </c>
      <c r="D5" s="79">
        <f t="shared" ref="D5:D16" si="0">IF(C5="","",C5*$G$4)</f>
        <v>1052725.2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 ht="15.75" customHeight="1" x14ac:dyDescent="0.2">
      <c r="A6" s="11"/>
      <c r="B6" s="17">
        <v>46054</v>
      </c>
      <c r="C6" s="18">
        <v>112176</v>
      </c>
      <c r="D6" s="80">
        <f t="shared" si="0"/>
        <v>1323676.8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 ht="15.75" customHeight="1" x14ac:dyDescent="0.2">
      <c r="A7" s="11"/>
      <c r="B7" s="21">
        <v>46082</v>
      </c>
      <c r="C7" s="22">
        <v>144102</v>
      </c>
      <c r="D7" s="79">
        <f t="shared" si="0"/>
        <v>1700403.6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ht="15.75" customHeight="1" x14ac:dyDescent="0.2">
      <c r="A8" s="11"/>
      <c r="B8" s="17">
        <v>46113</v>
      </c>
      <c r="C8" s="18">
        <v>227564</v>
      </c>
      <c r="D8" s="80">
        <f t="shared" si="0"/>
        <v>2685255.2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15.75" customHeight="1" x14ac:dyDescent="0.2">
      <c r="A9" s="11"/>
      <c r="B9" s="21">
        <v>46143</v>
      </c>
      <c r="C9" s="22">
        <v>131666</v>
      </c>
      <c r="D9" s="79">
        <f t="shared" si="0"/>
        <v>1553658.8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15.75" customHeight="1" x14ac:dyDescent="0.2">
      <c r="A10" s="11"/>
      <c r="B10" s="17">
        <v>46174</v>
      </c>
      <c r="C10" s="22">
        <v>128018</v>
      </c>
      <c r="D10" s="80">
        <f t="shared" si="0"/>
        <v>1510612.4000000001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15.75" customHeight="1" x14ac:dyDescent="0.2">
      <c r="A11" s="11"/>
      <c r="B11" s="21">
        <v>46204</v>
      </c>
      <c r="C11" s="22">
        <v>100380</v>
      </c>
      <c r="D11" s="79">
        <f t="shared" si="0"/>
        <v>1184484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15.75" customHeight="1" x14ac:dyDescent="0.2">
      <c r="A12" s="11"/>
      <c r="B12" s="17">
        <v>46235</v>
      </c>
      <c r="C12" s="22">
        <v>115911</v>
      </c>
      <c r="D12" s="80">
        <f t="shared" si="0"/>
        <v>1367749.8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ht="15.75" customHeight="1" x14ac:dyDescent="0.2">
      <c r="A13" s="11"/>
      <c r="B13" s="21">
        <v>46266</v>
      </c>
      <c r="C13" s="26"/>
      <c r="D13" s="79" t="str">
        <f t="shared" si="0"/>
        <v/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15.75" customHeight="1" x14ac:dyDescent="0.2">
      <c r="A14" s="11"/>
      <c r="B14" s="17">
        <v>46296</v>
      </c>
      <c r="C14" s="25"/>
      <c r="D14" s="80" t="str">
        <f t="shared" si="0"/>
        <v/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ht="15.75" customHeight="1" x14ac:dyDescent="0.2">
      <c r="A15" s="11"/>
      <c r="B15" s="21">
        <v>46327</v>
      </c>
      <c r="C15" s="26"/>
      <c r="D15" s="79" t="str">
        <f t="shared" si="0"/>
        <v/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ht="15.75" customHeight="1" x14ac:dyDescent="0.2">
      <c r="A16" s="11"/>
      <c r="B16" s="17">
        <v>46357</v>
      </c>
      <c r="C16" s="25"/>
      <c r="D16" s="80" t="str">
        <f t="shared" si="0"/>
        <v/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ht="15.75" customHeight="1" x14ac:dyDescent="0.2">
      <c r="A17" s="11"/>
      <c r="B17" s="9" t="s">
        <v>340</v>
      </c>
      <c r="C17" s="29">
        <f>SUM(C5:C16)</f>
        <v>1049031</v>
      </c>
      <c r="D17" s="81">
        <f>SUM(D5:D16)</f>
        <v>12378565.800000001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ht="15.75" customHeight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ht="15" customHeight="1" thickBot="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ht="20.100000000000001" customHeight="1" x14ac:dyDescent="0.2">
      <c r="A20" s="11"/>
      <c r="B20" s="4" t="s">
        <v>191</v>
      </c>
      <c r="C20" s="46">
        <v>46023</v>
      </c>
      <c r="D20" s="46">
        <v>46054</v>
      </c>
      <c r="E20" s="46">
        <v>46082</v>
      </c>
      <c r="F20" s="46">
        <v>46113</v>
      </c>
      <c r="G20" s="46">
        <v>46143</v>
      </c>
      <c r="H20" s="46">
        <v>46174</v>
      </c>
      <c r="I20" s="46">
        <v>46204</v>
      </c>
      <c r="J20" s="46">
        <v>46235</v>
      </c>
      <c r="K20" s="46">
        <v>46266</v>
      </c>
      <c r="L20" s="46">
        <v>46296</v>
      </c>
      <c r="M20" s="46">
        <v>46327</v>
      </c>
      <c r="N20" s="46">
        <v>46357</v>
      </c>
      <c r="O20" s="82"/>
      <c r="P20" s="82"/>
      <c r="Q20" s="82"/>
      <c r="R20" s="82"/>
      <c r="S20" s="82"/>
      <c r="T20" s="82"/>
      <c r="U20" s="82"/>
    </row>
    <row r="21" spans="1:21" s="1" customFormat="1" ht="20.100000000000001" customHeight="1" thickBot="1" x14ac:dyDescent="0.25">
      <c r="A21" s="11"/>
      <c r="B21" s="4" t="s">
        <v>341</v>
      </c>
      <c r="C21" s="83" t="s">
        <v>342</v>
      </c>
      <c r="D21" s="83" t="s">
        <v>342</v>
      </c>
      <c r="E21" s="83" t="s">
        <v>342</v>
      </c>
      <c r="F21" s="83" t="s">
        <v>342</v>
      </c>
      <c r="G21" s="83" t="s">
        <v>342</v>
      </c>
      <c r="H21" s="83" t="s">
        <v>342</v>
      </c>
      <c r="I21" s="83" t="s">
        <v>342</v>
      </c>
      <c r="J21" s="83" t="s">
        <v>342</v>
      </c>
      <c r="K21" s="83" t="s">
        <v>342</v>
      </c>
      <c r="L21" s="83" t="s">
        <v>342</v>
      </c>
      <c r="M21" s="83" t="s">
        <v>342</v>
      </c>
      <c r="N21" s="83" t="s">
        <v>342</v>
      </c>
      <c r="O21" s="82"/>
      <c r="P21" s="82"/>
      <c r="Q21" s="82"/>
      <c r="R21" s="82"/>
      <c r="S21" s="82"/>
      <c r="T21" s="82"/>
      <c r="U21" s="82"/>
    </row>
    <row r="22" spans="1:21" ht="15.75" customHeight="1" x14ac:dyDescent="0.2">
      <c r="A22" s="11"/>
      <c r="B22" s="5" t="s">
        <v>343</v>
      </c>
      <c r="C22" s="22">
        <v>12661</v>
      </c>
      <c r="D22" s="22">
        <v>21829</v>
      </c>
      <c r="E22" s="22">
        <v>23491</v>
      </c>
      <c r="F22" s="22">
        <v>22775</v>
      </c>
      <c r="G22" s="22">
        <v>24623</v>
      </c>
      <c r="H22" s="22">
        <v>21433</v>
      </c>
      <c r="I22" s="22">
        <v>12655</v>
      </c>
      <c r="J22" s="22">
        <v>19530</v>
      </c>
      <c r="K22" s="84"/>
      <c r="L22" s="84"/>
      <c r="M22" s="84"/>
      <c r="N22" s="84"/>
      <c r="O22" s="82"/>
      <c r="P22" s="82"/>
      <c r="Q22" s="82"/>
      <c r="R22" s="82"/>
      <c r="S22" s="82"/>
      <c r="T22" s="82"/>
      <c r="U22" s="82"/>
    </row>
    <row r="23" spans="1:21" ht="15.75" customHeight="1" x14ac:dyDescent="0.2">
      <c r="A23" s="11"/>
      <c r="B23" s="7" t="s">
        <v>344</v>
      </c>
      <c r="C23" s="18">
        <v>4548</v>
      </c>
      <c r="D23" s="18">
        <v>4382.8999999999996</v>
      </c>
      <c r="E23" s="18">
        <v>5865</v>
      </c>
      <c r="F23" s="18">
        <v>5550</v>
      </c>
      <c r="G23" s="18">
        <v>6223</v>
      </c>
      <c r="H23" s="22">
        <v>5423</v>
      </c>
      <c r="I23" s="22">
        <v>4453</v>
      </c>
      <c r="J23" s="22">
        <v>4783</v>
      </c>
      <c r="K23" s="85"/>
      <c r="L23" s="85"/>
      <c r="M23" s="85"/>
      <c r="N23" s="85"/>
      <c r="O23" s="82"/>
      <c r="P23" s="82"/>
      <c r="Q23" s="82"/>
      <c r="R23" s="82"/>
      <c r="S23" s="82"/>
      <c r="T23" s="82"/>
      <c r="U23" s="82"/>
    </row>
    <row r="24" spans="1:21" ht="15.75" customHeight="1" x14ac:dyDescent="0.2">
      <c r="A24" s="11"/>
      <c r="B24" s="5" t="s">
        <v>345</v>
      </c>
      <c r="C24" s="22">
        <v>3745</v>
      </c>
      <c r="D24" s="22">
        <v>4540.7</v>
      </c>
      <c r="E24" s="22">
        <v>4727.3</v>
      </c>
      <c r="F24" s="22">
        <v>4596.3999999999996</v>
      </c>
      <c r="G24" s="22">
        <v>4933.3999999999996</v>
      </c>
      <c r="H24" s="22">
        <v>4353</v>
      </c>
      <c r="I24" s="22">
        <v>3606</v>
      </c>
      <c r="J24" s="22">
        <v>3955</v>
      </c>
      <c r="K24" s="84"/>
      <c r="L24" s="84"/>
      <c r="M24" s="84"/>
      <c r="N24" s="84"/>
      <c r="O24" s="82"/>
      <c r="P24" s="82"/>
      <c r="Q24" s="82"/>
      <c r="R24" s="82"/>
      <c r="S24" s="82"/>
      <c r="T24" s="82"/>
      <c r="U24" s="82"/>
    </row>
    <row r="25" spans="1:21" ht="15.75" customHeight="1" x14ac:dyDescent="0.2">
      <c r="A25" s="11"/>
      <c r="B25" s="7" t="s">
        <v>346</v>
      </c>
      <c r="C25" s="18">
        <v>7601</v>
      </c>
      <c r="D25" s="18">
        <v>17016</v>
      </c>
      <c r="E25" s="18">
        <v>20874</v>
      </c>
      <c r="F25" s="18">
        <v>20938</v>
      </c>
      <c r="G25" s="18">
        <v>22443</v>
      </c>
      <c r="H25" s="22">
        <v>18821</v>
      </c>
      <c r="I25" s="22">
        <v>16903</v>
      </c>
      <c r="J25" s="22">
        <v>17451</v>
      </c>
      <c r="K25" s="85"/>
      <c r="L25" s="85"/>
      <c r="M25" s="85"/>
      <c r="N25" s="85"/>
      <c r="O25" s="82"/>
      <c r="P25" s="82"/>
      <c r="Q25" s="82"/>
      <c r="R25" s="82"/>
      <c r="S25" s="82"/>
      <c r="T25" s="82"/>
      <c r="U25" s="82"/>
    </row>
    <row r="26" spans="1:21" ht="15.75" customHeight="1" x14ac:dyDescent="0.2">
      <c r="A26" s="11"/>
      <c r="B26" s="5" t="s">
        <v>347</v>
      </c>
      <c r="C26" s="22">
        <v>4676</v>
      </c>
      <c r="D26" s="22">
        <v>4260</v>
      </c>
      <c r="E26" s="22">
        <v>6824</v>
      </c>
      <c r="F26" s="22">
        <v>7130</v>
      </c>
      <c r="G26" s="22">
        <v>7937</v>
      </c>
      <c r="H26" s="22">
        <v>6907</v>
      </c>
      <c r="I26" s="22">
        <v>5651</v>
      </c>
      <c r="J26" s="22">
        <v>6770</v>
      </c>
      <c r="K26" s="84"/>
      <c r="L26" s="84"/>
      <c r="M26" s="84"/>
      <c r="N26" s="84"/>
      <c r="O26" s="82"/>
      <c r="P26" s="82"/>
      <c r="Q26" s="82"/>
      <c r="R26" s="82"/>
      <c r="S26" s="82"/>
      <c r="T26" s="82"/>
      <c r="U26" s="82"/>
    </row>
    <row r="27" spans="1:21" ht="15.75" customHeight="1" x14ac:dyDescent="0.2">
      <c r="A27" s="11"/>
      <c r="B27" s="7" t="s">
        <v>348</v>
      </c>
      <c r="C27" s="18">
        <v>42443</v>
      </c>
      <c r="D27" s="18">
        <v>46210</v>
      </c>
      <c r="E27" s="18">
        <v>67509</v>
      </c>
      <c r="F27" s="18">
        <v>52060</v>
      </c>
      <c r="G27" s="18">
        <v>55073.8</v>
      </c>
      <c r="H27" s="22">
        <v>50128</v>
      </c>
      <c r="I27" s="22">
        <v>39351</v>
      </c>
      <c r="J27" s="22">
        <v>44867</v>
      </c>
      <c r="K27" s="85"/>
      <c r="L27" s="85"/>
      <c r="M27" s="85"/>
      <c r="N27" s="85"/>
      <c r="O27" s="82"/>
      <c r="P27" s="82"/>
      <c r="Q27" s="82"/>
      <c r="R27" s="82"/>
      <c r="S27" s="82"/>
      <c r="T27" s="82"/>
      <c r="U27" s="82"/>
    </row>
    <row r="28" spans="1:21" ht="15.75" customHeight="1" x14ac:dyDescent="0.2">
      <c r="A28" s="11"/>
      <c r="B28" s="5" t="s">
        <v>349</v>
      </c>
      <c r="C28" s="22">
        <v>6117.6</v>
      </c>
      <c r="D28" s="22">
        <v>5871</v>
      </c>
      <c r="E28" s="22">
        <v>4996.3999999999996</v>
      </c>
      <c r="F28" s="22">
        <v>4764.5</v>
      </c>
      <c r="G28" s="22">
        <v>5081.5</v>
      </c>
      <c r="H28" s="22">
        <v>4463</v>
      </c>
      <c r="I28" s="22">
        <v>3711</v>
      </c>
      <c r="J28" s="22">
        <v>4045</v>
      </c>
      <c r="K28" s="84"/>
      <c r="L28" s="84"/>
      <c r="M28" s="84"/>
      <c r="N28" s="84"/>
      <c r="O28" s="82"/>
      <c r="P28" s="82"/>
      <c r="Q28" s="82"/>
      <c r="R28" s="82"/>
      <c r="S28" s="82"/>
      <c r="T28" s="82"/>
      <c r="U28" s="82"/>
    </row>
    <row r="29" spans="1:21" ht="15.75" customHeight="1" x14ac:dyDescent="0.2">
      <c r="A29" s="11"/>
      <c r="B29" s="7" t="s">
        <v>350</v>
      </c>
      <c r="C29" s="18">
        <v>3927</v>
      </c>
      <c r="D29" s="18">
        <v>4386.2</v>
      </c>
      <c r="E29" s="18">
        <v>4868.7</v>
      </c>
      <c r="F29" s="18">
        <v>4656.6000000000004</v>
      </c>
      <c r="G29" s="18">
        <v>5111.7</v>
      </c>
      <c r="H29" s="22">
        <v>3862</v>
      </c>
      <c r="I29" s="22">
        <v>3737</v>
      </c>
      <c r="J29" s="22">
        <v>3820</v>
      </c>
      <c r="K29" s="85"/>
      <c r="L29" s="85"/>
      <c r="M29" s="85"/>
      <c r="N29" s="85"/>
      <c r="O29" s="82"/>
      <c r="P29" s="82"/>
      <c r="Q29" s="82"/>
      <c r="R29" s="82"/>
      <c r="S29" s="82"/>
      <c r="T29" s="82"/>
      <c r="U29" s="82"/>
    </row>
    <row r="30" spans="1:21" ht="15.75" customHeight="1" x14ac:dyDescent="0.2">
      <c r="A30" s="11"/>
      <c r="B30" s="5" t="s">
        <v>351</v>
      </c>
      <c r="C30" s="22">
        <v>3495.1</v>
      </c>
      <c r="D30" s="22">
        <v>3680</v>
      </c>
      <c r="E30" s="22">
        <v>4946.3</v>
      </c>
      <c r="F30" s="22">
        <v>4825.6000000000004</v>
      </c>
      <c r="G30" s="22">
        <v>5312.2</v>
      </c>
      <c r="H30" s="22">
        <v>4705</v>
      </c>
      <c r="I30" s="22">
        <v>3820</v>
      </c>
      <c r="J30" s="22">
        <v>4047</v>
      </c>
      <c r="K30" s="84"/>
      <c r="L30" s="84"/>
      <c r="M30" s="84"/>
      <c r="N30" s="84"/>
      <c r="O30" s="82"/>
      <c r="P30" s="82"/>
      <c r="Q30" s="82"/>
      <c r="R30" s="82"/>
      <c r="S30" s="82"/>
      <c r="T30" s="82"/>
      <c r="U30" s="82"/>
    </row>
    <row r="31" spans="1:21" ht="15.75" customHeight="1" thickBot="1" x14ac:dyDescent="0.25">
      <c r="A31" s="11"/>
      <c r="B31" s="7" t="s">
        <v>352</v>
      </c>
      <c r="C31" s="18">
        <v>6592</v>
      </c>
      <c r="D31" s="18">
        <v>7325</v>
      </c>
      <c r="E31" s="18">
        <v>8503</v>
      </c>
      <c r="F31" s="18">
        <v>8722</v>
      </c>
      <c r="G31" s="18">
        <v>9067</v>
      </c>
      <c r="H31" s="22">
        <v>7923</v>
      </c>
      <c r="I31" s="22">
        <v>6493</v>
      </c>
      <c r="J31" s="22">
        <v>6643</v>
      </c>
      <c r="K31" s="85"/>
      <c r="L31" s="85"/>
      <c r="M31" s="85"/>
      <c r="N31" s="85"/>
      <c r="O31" s="82"/>
      <c r="P31" s="82"/>
      <c r="Q31" s="82"/>
      <c r="R31" s="82"/>
      <c r="S31" s="82"/>
      <c r="T31" s="82"/>
      <c r="U31" s="82"/>
    </row>
    <row r="32" spans="1:21" ht="19.5" customHeight="1" x14ac:dyDescent="0.2">
      <c r="A32" s="11"/>
      <c r="B32" s="9" t="s">
        <v>353</v>
      </c>
      <c r="C32" s="29">
        <f t="shared" ref="C32:N32" si="1">IF(COUNT(C22:C31)=0,"",SUM(C22:C31))</f>
        <v>95805.700000000012</v>
      </c>
      <c r="D32" s="29">
        <f t="shared" si="1"/>
        <v>119500.8</v>
      </c>
      <c r="E32" s="29">
        <f t="shared" si="1"/>
        <v>152604.70000000001</v>
      </c>
      <c r="F32" s="29">
        <f t="shared" si="1"/>
        <v>136018.1</v>
      </c>
      <c r="G32" s="29">
        <f t="shared" si="1"/>
        <v>145805.6</v>
      </c>
      <c r="H32" s="29">
        <f t="shared" si="1"/>
        <v>128018</v>
      </c>
      <c r="I32" s="29">
        <f t="shared" si="1"/>
        <v>100380</v>
      </c>
      <c r="J32" s="29">
        <f t="shared" si="1"/>
        <v>115911</v>
      </c>
      <c r="K32" s="29" t="str">
        <f t="shared" si="1"/>
        <v/>
      </c>
      <c r="L32" s="29" t="str">
        <f t="shared" si="1"/>
        <v/>
      </c>
      <c r="M32" s="29" t="str">
        <f t="shared" si="1"/>
        <v/>
      </c>
      <c r="N32" s="29" t="str">
        <f t="shared" si="1"/>
        <v/>
      </c>
      <c r="O32" s="82"/>
      <c r="P32" s="82"/>
      <c r="Q32" s="82"/>
      <c r="R32" s="82"/>
      <c r="S32" s="82"/>
      <c r="T32" s="82"/>
      <c r="U32" s="82"/>
    </row>
    <row r="33" spans="1:21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 ht="19.5" customHeight="1" thickBot="1" x14ac:dyDescent="0.25">
      <c r="A38" s="11"/>
      <c r="B38" s="475" t="s">
        <v>354</v>
      </c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11"/>
      <c r="P38" s="11"/>
      <c r="Q38" s="11"/>
      <c r="R38" s="11"/>
      <c r="S38" s="11"/>
      <c r="T38" s="11"/>
      <c r="U38" s="11"/>
    </row>
    <row r="39" spans="1:21" ht="20.100000000000001" customHeight="1" x14ac:dyDescent="0.2">
      <c r="A39" s="11"/>
      <c r="B39" s="4" t="s">
        <v>139</v>
      </c>
      <c r="C39" s="46">
        <v>46023</v>
      </c>
      <c r="D39" s="46">
        <v>46054</v>
      </c>
      <c r="E39" s="46">
        <v>46082</v>
      </c>
      <c r="F39" s="46">
        <v>46113</v>
      </c>
      <c r="G39" s="46">
        <v>46143</v>
      </c>
      <c r="H39" s="46">
        <v>46174</v>
      </c>
      <c r="I39" s="46">
        <v>46204</v>
      </c>
      <c r="J39" s="46">
        <v>46235</v>
      </c>
      <c r="K39" s="46">
        <v>46266</v>
      </c>
      <c r="L39" s="46">
        <v>46296</v>
      </c>
      <c r="M39" s="46">
        <v>46327</v>
      </c>
      <c r="N39" s="46">
        <v>46357</v>
      </c>
      <c r="O39" s="11"/>
      <c r="P39" s="11"/>
      <c r="Q39" s="11"/>
      <c r="R39" s="11"/>
      <c r="S39" s="11"/>
      <c r="T39" s="11"/>
      <c r="U39" s="11"/>
    </row>
    <row r="40" spans="1:21" ht="15" customHeight="1" x14ac:dyDescent="0.2">
      <c r="A40" s="11"/>
      <c r="B40" s="86">
        <v>85838.866666666698</v>
      </c>
      <c r="C40" s="37">
        <f t="shared" ref="C40:N40" si="2">C32</f>
        <v>95805.700000000012</v>
      </c>
      <c r="D40" s="37">
        <f t="shared" si="2"/>
        <v>119500.8</v>
      </c>
      <c r="E40" s="37">
        <f t="shared" si="2"/>
        <v>152604.70000000001</v>
      </c>
      <c r="F40" s="37">
        <f t="shared" si="2"/>
        <v>136018.1</v>
      </c>
      <c r="G40" s="37">
        <f t="shared" si="2"/>
        <v>145805.6</v>
      </c>
      <c r="H40" s="37">
        <f t="shared" si="2"/>
        <v>128018</v>
      </c>
      <c r="I40" s="37">
        <f t="shared" si="2"/>
        <v>100380</v>
      </c>
      <c r="J40" s="37">
        <f t="shared" si="2"/>
        <v>115911</v>
      </c>
      <c r="K40" s="37" t="str">
        <f t="shared" si="2"/>
        <v/>
      </c>
      <c r="L40" s="37" t="str">
        <f t="shared" si="2"/>
        <v/>
      </c>
      <c r="M40" s="37" t="str">
        <f t="shared" si="2"/>
        <v/>
      </c>
      <c r="N40" s="37" t="str">
        <f t="shared" si="2"/>
        <v/>
      </c>
      <c r="O40" s="11"/>
      <c r="P40" s="11"/>
      <c r="Q40" s="11"/>
      <c r="R40" s="11"/>
      <c r="S40" s="11"/>
      <c r="T40" s="11"/>
      <c r="U40" s="11"/>
    </row>
  </sheetData>
  <mergeCells count="3">
    <mergeCell ref="B1:N1"/>
    <mergeCell ref="B38:N38"/>
    <mergeCell ref="B3:D3"/>
  </mergeCells>
  <conditionalFormatting sqref="C22:N31">
    <cfRule type="expression" dxfId="7" priority="1">
      <formula>AND(ISNUMBER(C22),C22&gt;3*MEDIAN($C22:$N22))</formula>
    </cfRule>
  </conditionalFormatting>
  <printOptions horizontalCentered="1"/>
  <pageMargins left="0.4" right="0.4" top="0.5" bottom="0.5" header="0.3" footer="0.3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59E0B"/>
    <pageSetUpPr fitToPage="1"/>
  </sheetPr>
  <dimension ref="A1:T20"/>
  <sheetViews>
    <sheetView showGridLines="0" topLeftCell="C1" zoomScale="90" workbookViewId="0">
      <pane xSplit="2" ySplit="5" topLeftCell="E6" activePane="bottomRight" state="frozen"/>
      <selection pane="topRight"/>
      <selection pane="bottomLeft"/>
      <selection pane="bottomRight" activeCell="M18" sqref="M18"/>
    </sheetView>
  </sheetViews>
  <sheetFormatPr defaultRowHeight="14.25" x14ac:dyDescent="0.2"/>
  <cols>
    <col min="1" max="1" width="2" customWidth="1"/>
    <col min="2" max="2" width="13" customWidth="1"/>
    <col min="3" max="13" width="10" customWidth="1"/>
    <col min="14" max="14" width="12" customWidth="1"/>
    <col min="15" max="17" width="3" customWidth="1"/>
    <col min="18" max="18" width="14" customWidth="1"/>
    <col min="19" max="20" width="10" customWidth="1"/>
  </cols>
  <sheetData>
    <row r="1" spans="1:20" ht="33.950000000000003" customHeight="1" x14ac:dyDescent="0.2">
      <c r="A1" s="427" t="s">
        <v>355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11"/>
      <c r="P1" s="11"/>
      <c r="Q1" s="11"/>
      <c r="R1" s="11"/>
      <c r="S1" s="11"/>
      <c r="T1" s="11"/>
    </row>
    <row r="2" spans="1:20" ht="20.100000000000001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ht="20.100000000000001" customHeight="1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20.100000000000001" customHeight="1" x14ac:dyDescent="0.2">
      <c r="A4" s="11"/>
      <c r="B4" s="36" t="s">
        <v>356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 ht="30" customHeight="1" x14ac:dyDescent="0.2">
      <c r="A5" s="11"/>
      <c r="B5" s="4" t="s">
        <v>191</v>
      </c>
      <c r="C5" s="4" t="s">
        <v>357</v>
      </c>
      <c r="D5" s="4" t="s">
        <v>358</v>
      </c>
      <c r="E5" s="4" t="s">
        <v>359</v>
      </c>
      <c r="F5" s="4" t="s">
        <v>360</v>
      </c>
      <c r="G5" s="4" t="s">
        <v>361</v>
      </c>
      <c r="H5" s="4" t="s">
        <v>362</v>
      </c>
      <c r="I5" s="4" t="s">
        <v>363</v>
      </c>
      <c r="J5" s="4" t="s">
        <v>364</v>
      </c>
      <c r="K5" s="4" t="s">
        <v>365</v>
      </c>
      <c r="L5" s="4" t="s">
        <v>366</v>
      </c>
      <c r="M5" s="4" t="s">
        <v>246</v>
      </c>
      <c r="N5" s="4" t="s">
        <v>367</v>
      </c>
      <c r="O5" s="11"/>
      <c r="P5" s="11"/>
      <c r="Q5" s="11"/>
      <c r="R5" s="11"/>
      <c r="S5" s="11"/>
      <c r="T5" s="11"/>
    </row>
    <row r="6" spans="1:20" ht="21.95" customHeight="1" x14ac:dyDescent="0.2">
      <c r="A6" s="11"/>
      <c r="B6" s="12" t="s">
        <v>368</v>
      </c>
      <c r="C6" s="15">
        <v>12301.066999999901</v>
      </c>
      <c r="D6" s="15">
        <v>8812.0930769230708</v>
      </c>
      <c r="E6" s="15">
        <v>2204.9230769230699</v>
      </c>
      <c r="F6" s="15">
        <v>2221.0384615384601</v>
      </c>
      <c r="G6" s="15">
        <v>2547.6923076922999</v>
      </c>
      <c r="H6" s="15">
        <v>3862.6538461538398</v>
      </c>
      <c r="I6" s="15">
        <v>5883.2538461538397</v>
      </c>
      <c r="J6" s="15">
        <v>3588.1307692307701</v>
      </c>
      <c r="K6" s="15">
        <v>4764.0692307692198</v>
      </c>
      <c r="L6" s="15">
        <v>4377.9846153846202</v>
      </c>
      <c r="M6" s="15">
        <v>20637.73</v>
      </c>
      <c r="N6" s="48">
        <f t="shared" ref="N6:N19" si="0">IF(COUNT(C6:M6)=0,"",SUM(C6:M6))</f>
        <v>71200.636230769102</v>
      </c>
      <c r="O6" s="11"/>
      <c r="P6" s="11"/>
      <c r="Q6" s="11"/>
      <c r="R6" s="4"/>
      <c r="S6" s="46">
        <v>45689</v>
      </c>
      <c r="T6" s="46">
        <v>46054</v>
      </c>
    </row>
    <row r="7" spans="1:20" x14ac:dyDescent="0.2">
      <c r="A7" s="11"/>
      <c r="B7" s="12" t="s">
        <v>369</v>
      </c>
      <c r="C7" s="15">
        <v>2851.9090909090901</v>
      </c>
      <c r="D7" s="15">
        <v>2971.54545454545</v>
      </c>
      <c r="E7" s="15">
        <v>997.41666666666595</v>
      </c>
      <c r="F7" s="15">
        <v>1380.13333333333</v>
      </c>
      <c r="G7" s="15">
        <v>822.91666666666595</v>
      </c>
      <c r="H7" s="15">
        <v>777.76666666666597</v>
      </c>
      <c r="I7" s="15">
        <v>2576.11666666667</v>
      </c>
      <c r="J7" s="15">
        <v>2139.2083333333198</v>
      </c>
      <c r="K7" s="15">
        <v>1793.9749999999899</v>
      </c>
      <c r="L7" s="15">
        <v>1903.75833333333</v>
      </c>
      <c r="M7" s="15">
        <v>2724.3333333333198</v>
      </c>
      <c r="N7" s="48">
        <f t="shared" si="0"/>
        <v>20939.0795454545</v>
      </c>
      <c r="O7" s="11"/>
      <c r="P7" s="11"/>
      <c r="Q7" s="11"/>
      <c r="R7" s="5" t="s">
        <v>357</v>
      </c>
      <c r="S7" s="26" t="s">
        <v>370</v>
      </c>
      <c r="T7" s="37">
        <f>C9</f>
        <v>1730</v>
      </c>
    </row>
    <row r="8" spans="1:20" x14ac:dyDescent="0.2">
      <c r="A8" s="11"/>
      <c r="B8" s="21">
        <v>46023</v>
      </c>
      <c r="C8" s="22">
        <v>550</v>
      </c>
      <c r="D8" s="22">
        <v>830</v>
      </c>
      <c r="E8" s="22">
        <v>257</v>
      </c>
      <c r="F8" s="22">
        <v>358.3</v>
      </c>
      <c r="G8" s="22">
        <v>87</v>
      </c>
      <c r="H8" s="22">
        <v>95</v>
      </c>
      <c r="I8" s="22">
        <v>647.00000000000603</v>
      </c>
      <c r="J8" s="22">
        <v>376</v>
      </c>
      <c r="K8" s="22">
        <v>262.5</v>
      </c>
      <c r="L8" s="22">
        <v>733</v>
      </c>
      <c r="M8" s="22">
        <v>460</v>
      </c>
      <c r="N8" s="37">
        <f t="shared" si="0"/>
        <v>4655.8000000000065</v>
      </c>
      <c r="O8" s="11"/>
      <c r="P8" s="11"/>
      <c r="Q8" s="11"/>
      <c r="R8" s="7" t="s">
        <v>358</v>
      </c>
      <c r="S8" s="25" t="s">
        <v>371</v>
      </c>
      <c r="T8" s="38">
        <f>D9</f>
        <v>2740</v>
      </c>
    </row>
    <row r="9" spans="1:20" x14ac:dyDescent="0.2">
      <c r="A9" s="11"/>
      <c r="B9" s="17">
        <v>46054</v>
      </c>
      <c r="C9" s="18">
        <v>1730</v>
      </c>
      <c r="D9" s="18">
        <v>2740</v>
      </c>
      <c r="E9" s="18">
        <v>694</v>
      </c>
      <c r="F9" s="18">
        <v>732</v>
      </c>
      <c r="G9" s="18">
        <v>273</v>
      </c>
      <c r="H9" s="18">
        <v>478</v>
      </c>
      <c r="I9" s="18">
        <v>1267</v>
      </c>
      <c r="J9" s="18">
        <v>1505</v>
      </c>
      <c r="K9" s="18">
        <v>917</v>
      </c>
      <c r="L9" s="18">
        <v>1556</v>
      </c>
      <c r="M9" s="18">
        <v>930</v>
      </c>
      <c r="N9" s="38">
        <f t="shared" si="0"/>
        <v>12822</v>
      </c>
      <c r="O9" s="11"/>
      <c r="P9" s="11"/>
      <c r="Q9" s="11"/>
      <c r="R9" s="5" t="s">
        <v>359</v>
      </c>
      <c r="S9" s="26" t="s">
        <v>372</v>
      </c>
      <c r="T9" s="37">
        <f>E9</f>
        <v>694</v>
      </c>
    </row>
    <row r="10" spans="1:20" x14ac:dyDescent="0.2">
      <c r="A10" s="11"/>
      <c r="B10" s="21">
        <v>46082</v>
      </c>
      <c r="C10" s="26">
        <v>5630</v>
      </c>
      <c r="D10" s="26">
        <v>7080</v>
      </c>
      <c r="E10" s="26">
        <v>1918</v>
      </c>
      <c r="F10" s="26">
        <v>2624</v>
      </c>
      <c r="G10" s="26">
        <v>1078</v>
      </c>
      <c r="H10" s="26">
        <v>1879</v>
      </c>
      <c r="I10" s="26">
        <v>4920</v>
      </c>
      <c r="J10" s="26">
        <v>5267</v>
      </c>
      <c r="K10" s="26">
        <v>2639</v>
      </c>
      <c r="L10" s="26">
        <v>4099</v>
      </c>
      <c r="M10" s="26">
        <v>1016</v>
      </c>
      <c r="N10" s="37">
        <f t="shared" si="0"/>
        <v>38150</v>
      </c>
      <c r="O10" s="11"/>
      <c r="P10" s="11"/>
      <c r="Q10" s="11"/>
      <c r="R10" s="7" t="s">
        <v>360</v>
      </c>
      <c r="S10" s="25" t="s">
        <v>373</v>
      </c>
      <c r="T10" s="38">
        <f>F9</f>
        <v>732</v>
      </c>
    </row>
    <row r="11" spans="1:20" x14ac:dyDescent="0.2">
      <c r="A11" s="11"/>
      <c r="B11" s="17">
        <v>46113</v>
      </c>
      <c r="C11" s="25">
        <v>9640</v>
      </c>
      <c r="D11" s="25">
        <v>11590</v>
      </c>
      <c r="E11" s="25">
        <v>2771</v>
      </c>
      <c r="F11" s="25">
        <v>4027</v>
      </c>
      <c r="G11" s="25">
        <v>1640</v>
      </c>
      <c r="H11" s="25">
        <v>3058</v>
      </c>
      <c r="I11" s="25">
        <v>7895</v>
      </c>
      <c r="J11" s="25">
        <v>6713</v>
      </c>
      <c r="K11" s="25">
        <v>4819</v>
      </c>
      <c r="L11" s="25">
        <v>6261</v>
      </c>
      <c r="M11" s="25">
        <v>3960</v>
      </c>
      <c r="N11" s="38">
        <f t="shared" si="0"/>
        <v>62374</v>
      </c>
      <c r="O11" s="11"/>
      <c r="P11" s="11"/>
      <c r="Q11" s="11"/>
      <c r="R11" s="5" t="s">
        <v>361</v>
      </c>
      <c r="S11" s="26" t="s">
        <v>374</v>
      </c>
      <c r="T11" s="37">
        <f>G9</f>
        <v>273</v>
      </c>
    </row>
    <row r="12" spans="1:20" x14ac:dyDescent="0.2">
      <c r="A12" s="11"/>
      <c r="B12" s="21">
        <v>46143</v>
      </c>
      <c r="C12" s="26">
        <v>4250</v>
      </c>
      <c r="D12" s="26">
        <v>2890</v>
      </c>
      <c r="E12" s="26">
        <v>1351.4</v>
      </c>
      <c r="F12" s="26">
        <v>4427</v>
      </c>
      <c r="G12" s="26">
        <v>287</v>
      </c>
      <c r="H12" s="26">
        <v>1307</v>
      </c>
      <c r="I12" s="26">
        <v>3153</v>
      </c>
      <c r="J12" s="26">
        <v>1399</v>
      </c>
      <c r="K12" s="26">
        <v>1495</v>
      </c>
      <c r="L12" s="26">
        <v>2327</v>
      </c>
      <c r="M12" s="26">
        <v>1090</v>
      </c>
      <c r="N12" s="37">
        <f t="shared" si="0"/>
        <v>23976.400000000001</v>
      </c>
      <c r="O12" s="11"/>
      <c r="P12" s="11"/>
      <c r="Q12" s="11"/>
      <c r="R12" s="7" t="s">
        <v>362</v>
      </c>
      <c r="S12" s="25" t="s">
        <v>375</v>
      </c>
      <c r="T12" s="38">
        <f>H9</f>
        <v>478</v>
      </c>
    </row>
    <row r="13" spans="1:20" x14ac:dyDescent="0.2">
      <c r="A13" s="11"/>
      <c r="B13" s="17">
        <v>46174</v>
      </c>
      <c r="C13" s="25">
        <v>1280</v>
      </c>
      <c r="D13" s="25">
        <v>2160</v>
      </c>
      <c r="E13" s="25">
        <v>1300</v>
      </c>
      <c r="F13" s="25">
        <v>1552</v>
      </c>
      <c r="G13" s="25">
        <v>1506</v>
      </c>
      <c r="H13" s="25">
        <v>1300</v>
      </c>
      <c r="I13" s="25">
        <v>794</v>
      </c>
      <c r="J13" s="25">
        <v>243.4</v>
      </c>
      <c r="K13" s="25">
        <v>735.5</v>
      </c>
      <c r="L13" s="25">
        <v>1099.5</v>
      </c>
      <c r="M13" s="25">
        <v>0</v>
      </c>
      <c r="N13" s="38">
        <f t="shared" si="0"/>
        <v>11970.4</v>
      </c>
      <c r="O13" s="11"/>
      <c r="P13" s="11"/>
      <c r="Q13" s="11"/>
      <c r="R13" s="5" t="s">
        <v>363</v>
      </c>
      <c r="S13" s="26" t="s">
        <v>376</v>
      </c>
      <c r="T13" s="37">
        <f>I9</f>
        <v>1267</v>
      </c>
    </row>
    <row r="14" spans="1:20" x14ac:dyDescent="0.2">
      <c r="A14" s="11"/>
      <c r="B14" s="21">
        <v>46204</v>
      </c>
      <c r="C14" s="26">
        <v>3850</v>
      </c>
      <c r="D14" s="26">
        <v>4590</v>
      </c>
      <c r="E14" s="26">
        <v>1536</v>
      </c>
      <c r="F14" s="26">
        <v>1701.9</v>
      </c>
      <c r="G14" s="26">
        <v>1321</v>
      </c>
      <c r="H14" s="26">
        <v>1090.2</v>
      </c>
      <c r="I14" s="26">
        <v>3572</v>
      </c>
      <c r="J14" s="26">
        <v>3524.1</v>
      </c>
      <c r="K14" s="26">
        <v>1453.3</v>
      </c>
      <c r="L14" s="26">
        <v>3374.8</v>
      </c>
      <c r="M14" s="26">
        <v>2820</v>
      </c>
      <c r="N14" s="37">
        <f t="shared" si="0"/>
        <v>28833.299999999996</v>
      </c>
      <c r="O14" s="11"/>
      <c r="P14" s="11"/>
      <c r="Q14" s="11"/>
      <c r="R14" s="7" t="s">
        <v>364</v>
      </c>
      <c r="S14" s="25" t="s">
        <v>377</v>
      </c>
      <c r="T14" s="38">
        <f>J9</f>
        <v>1505</v>
      </c>
    </row>
    <row r="15" spans="1:20" x14ac:dyDescent="0.2">
      <c r="A15" s="11"/>
      <c r="B15" s="17">
        <v>46235</v>
      </c>
      <c r="C15" s="25">
        <v>2457</v>
      </c>
      <c r="D15" s="25">
        <v>4596</v>
      </c>
      <c r="E15" s="25">
        <v>1137</v>
      </c>
      <c r="F15" s="25">
        <v>1271</v>
      </c>
      <c r="G15" s="25">
        <v>485</v>
      </c>
      <c r="H15" s="25">
        <v>420.28</v>
      </c>
      <c r="I15" s="25">
        <v>2376</v>
      </c>
      <c r="J15" s="25">
        <v>2647</v>
      </c>
      <c r="K15" s="25">
        <v>1331.6</v>
      </c>
      <c r="L15" s="25">
        <v>2387</v>
      </c>
      <c r="M15" s="25">
        <v>2850</v>
      </c>
      <c r="N15" s="38">
        <f t="shared" si="0"/>
        <v>21957.88</v>
      </c>
      <c r="O15" s="11"/>
      <c r="P15" s="11"/>
      <c r="Q15" s="11"/>
      <c r="R15" s="5" t="s">
        <v>365</v>
      </c>
      <c r="S15" s="26" t="s">
        <v>378</v>
      </c>
      <c r="T15" s="37">
        <f>K9</f>
        <v>917</v>
      </c>
    </row>
    <row r="16" spans="1:20" x14ac:dyDescent="0.2">
      <c r="A16" s="11"/>
      <c r="B16" s="21">
        <v>46266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37" t="str">
        <f t="shared" si="0"/>
        <v/>
      </c>
      <c r="O16" s="11"/>
      <c r="P16" s="11"/>
      <c r="Q16" s="11"/>
      <c r="R16" s="7" t="s">
        <v>366</v>
      </c>
      <c r="S16" s="25" t="s">
        <v>379</v>
      </c>
      <c r="T16" s="38">
        <f>L9</f>
        <v>1556</v>
      </c>
    </row>
    <row r="17" spans="1:20" x14ac:dyDescent="0.2">
      <c r="A17" s="11"/>
      <c r="B17" s="17">
        <v>46296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38" t="str">
        <f t="shared" si="0"/>
        <v/>
      </c>
      <c r="O17" s="11"/>
      <c r="P17" s="11"/>
      <c r="Q17" s="11"/>
      <c r="R17" s="5" t="s">
        <v>246</v>
      </c>
      <c r="S17" s="26" t="s">
        <v>380</v>
      </c>
      <c r="T17" s="37">
        <f>M9</f>
        <v>930</v>
      </c>
    </row>
    <row r="18" spans="1:20" x14ac:dyDescent="0.2">
      <c r="A18" s="11"/>
      <c r="B18" s="21">
        <v>46327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37" t="str">
        <f t="shared" si="0"/>
        <v/>
      </c>
      <c r="O18" s="11"/>
      <c r="P18" s="11"/>
      <c r="Q18" s="11"/>
      <c r="R18" s="11"/>
      <c r="S18" s="11"/>
      <c r="T18" s="11"/>
    </row>
    <row r="19" spans="1:20" x14ac:dyDescent="0.2">
      <c r="A19" s="11"/>
      <c r="B19" s="17">
        <v>46357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38" t="str">
        <f t="shared" si="0"/>
        <v/>
      </c>
      <c r="O19" s="11"/>
      <c r="P19" s="11"/>
      <c r="Q19" s="11"/>
      <c r="R19" s="11"/>
      <c r="S19" s="11"/>
      <c r="T19" s="11"/>
    </row>
    <row r="20" spans="1:20" x14ac:dyDescent="0.2">
      <c r="A20" s="11"/>
      <c r="B20" s="9" t="s">
        <v>134</v>
      </c>
      <c r="C20" s="29">
        <f t="shared" ref="C20:N20" si="1">IFERROR(AVERAGE(C8:C19),"")</f>
        <v>3673.375</v>
      </c>
      <c r="D20" s="29">
        <f t="shared" si="1"/>
        <v>4559.5</v>
      </c>
      <c r="E20" s="29">
        <f t="shared" si="1"/>
        <v>1370.55</v>
      </c>
      <c r="F20" s="29">
        <f t="shared" si="1"/>
        <v>2086.6499999999996</v>
      </c>
      <c r="G20" s="29">
        <f t="shared" si="1"/>
        <v>834.625</v>
      </c>
      <c r="H20" s="29">
        <f t="shared" si="1"/>
        <v>1203.4350000000002</v>
      </c>
      <c r="I20" s="29">
        <f t="shared" si="1"/>
        <v>3078.0000000000009</v>
      </c>
      <c r="J20" s="29">
        <f t="shared" si="1"/>
        <v>2709.3125</v>
      </c>
      <c r="K20" s="29">
        <f t="shared" si="1"/>
        <v>1706.6125</v>
      </c>
      <c r="L20" s="29">
        <f t="shared" si="1"/>
        <v>2729.6624999999999</v>
      </c>
      <c r="M20" s="29">
        <f t="shared" si="1"/>
        <v>1640.75</v>
      </c>
      <c r="N20" s="29">
        <f t="shared" si="1"/>
        <v>25592.4725</v>
      </c>
      <c r="O20" s="11"/>
      <c r="P20" s="11"/>
      <c r="Q20" s="11"/>
      <c r="R20" s="11"/>
      <c r="S20" s="11"/>
      <c r="T20" s="11"/>
    </row>
  </sheetData>
  <mergeCells count="1">
    <mergeCell ref="A1:N1"/>
  </mergeCells>
  <printOptions horizontalCentered="1"/>
  <pageMargins left="0.4" right="0.4" top="0.5" bottom="0.5" header="0.3" footer="0.3"/>
  <pageSetup fitToHeight="0" orientation="landscape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8B5CF6"/>
    <pageSetUpPr fitToPage="1"/>
  </sheetPr>
  <dimension ref="A1:X108"/>
  <sheetViews>
    <sheetView showGridLines="0" topLeftCell="A46" zoomScale="90" workbookViewId="0">
      <pane ySplit="48" topLeftCell="A49" activePane="bottomLeft" state="frozen"/>
      <selection pane="bottomLeft" activeCell="E54" sqref="E54"/>
    </sheetView>
  </sheetViews>
  <sheetFormatPr defaultColWidth="7.875" defaultRowHeight="14.25" x14ac:dyDescent="0.2"/>
  <cols>
    <col min="1" max="1" width="2" customWidth="1"/>
    <col min="2" max="2" width="7" customWidth="1"/>
    <col min="3" max="3" width="34" customWidth="1"/>
    <col min="4" max="4" width="11" customWidth="1"/>
    <col min="5" max="5" width="14" customWidth="1"/>
    <col min="6" max="6" width="13" customWidth="1"/>
    <col min="7" max="7" width="14" customWidth="1"/>
    <col min="8" max="8" width="7" hidden="1" customWidth="1"/>
    <col min="9" max="9" width="14" hidden="1" customWidth="1"/>
    <col min="10" max="10" width="11" hidden="1" customWidth="1"/>
    <col min="11" max="13" width="12" hidden="1" customWidth="1"/>
    <col min="14" max="14" width="3" hidden="1" customWidth="1"/>
    <col min="15" max="15" width="7" hidden="1" customWidth="1"/>
    <col min="16" max="16" width="16" hidden="1" customWidth="1"/>
    <col min="17" max="17" width="11" hidden="1" customWidth="1"/>
    <col min="18" max="20" width="12" hidden="1" customWidth="1"/>
    <col min="21" max="21" width="12" customWidth="1"/>
    <col min="22" max="23" width="11" customWidth="1"/>
    <col min="24" max="24" width="16" customWidth="1"/>
  </cols>
  <sheetData>
    <row r="1" spans="1:24" hidden="1" x14ac:dyDescent="0.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idden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hidden="1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16.5" hidden="1" customHeight="1" thickBot="1" x14ac:dyDescent="0.25">
      <c r="A4" s="11"/>
      <c r="B4" s="476" t="s">
        <v>381</v>
      </c>
      <c r="C4" s="477"/>
      <c r="D4" s="477"/>
      <c r="E4" s="477"/>
      <c r="F4" s="477"/>
      <c r="G4" s="11"/>
      <c r="H4" s="476" t="s">
        <v>382</v>
      </c>
      <c r="I4" s="477"/>
      <c r="J4" s="477"/>
      <c r="K4" s="477"/>
      <c r="L4" s="11"/>
      <c r="M4" s="11"/>
      <c r="N4" s="11"/>
      <c r="O4" s="476" t="s">
        <v>383</v>
      </c>
      <c r="P4" s="477"/>
      <c r="Q4" s="477"/>
      <c r="R4" s="477"/>
      <c r="S4" s="11"/>
      <c r="T4" s="11"/>
      <c r="U4" s="11"/>
      <c r="V4" s="11"/>
      <c r="W4" s="11"/>
      <c r="X4" s="11"/>
    </row>
    <row r="5" spans="1:24" ht="30" hidden="1" customHeight="1" thickBot="1" x14ac:dyDescent="0.25">
      <c r="A5" s="11"/>
      <c r="B5" s="4" t="s">
        <v>214</v>
      </c>
      <c r="C5" s="4" t="s">
        <v>384</v>
      </c>
      <c r="D5" s="4" t="s">
        <v>191</v>
      </c>
      <c r="E5" s="4" t="s">
        <v>385</v>
      </c>
      <c r="F5" s="4" t="s">
        <v>386</v>
      </c>
      <c r="G5" s="11"/>
      <c r="H5" s="4" t="s">
        <v>214</v>
      </c>
      <c r="I5" s="4" t="s">
        <v>384</v>
      </c>
      <c r="J5" s="4" t="s">
        <v>191</v>
      </c>
      <c r="K5" s="4" t="s">
        <v>303</v>
      </c>
      <c r="L5" s="4" t="s">
        <v>385</v>
      </c>
      <c r="M5" s="4" t="s">
        <v>386</v>
      </c>
      <c r="N5" s="11"/>
      <c r="O5" s="4" t="s">
        <v>214</v>
      </c>
      <c r="P5" s="4" t="s">
        <v>384</v>
      </c>
      <c r="Q5" s="4" t="s">
        <v>191</v>
      </c>
      <c r="R5" s="4" t="s">
        <v>303</v>
      </c>
      <c r="S5" s="4" t="s">
        <v>385</v>
      </c>
      <c r="T5" s="4" t="s">
        <v>386</v>
      </c>
      <c r="U5" s="11"/>
      <c r="V5" s="11"/>
      <c r="W5" s="11" t="s">
        <v>387</v>
      </c>
      <c r="X5" s="11" t="s">
        <v>388</v>
      </c>
    </row>
    <row r="6" spans="1:24" ht="18.75" hidden="1" customHeight="1" x14ac:dyDescent="0.2">
      <c r="A6" s="11"/>
      <c r="B6" s="40">
        <v>1</v>
      </c>
      <c r="C6" s="42" t="s">
        <v>389</v>
      </c>
      <c r="D6" s="89">
        <v>44501</v>
      </c>
      <c r="E6" s="87"/>
      <c r="F6" s="24">
        <f t="shared" ref="F6:F20" si="0">1505470/1000</f>
        <v>1505.47</v>
      </c>
      <c r="G6" s="11"/>
      <c r="H6" s="40">
        <v>1</v>
      </c>
      <c r="I6" s="42" t="s">
        <v>390</v>
      </c>
      <c r="J6" s="89">
        <v>44501</v>
      </c>
      <c r="K6" s="87"/>
      <c r="L6" s="87"/>
      <c r="M6" s="24">
        <f t="shared" ref="M6:M20" si="1">1505470/1000</f>
        <v>1505.47</v>
      </c>
      <c r="N6" s="11"/>
      <c r="O6" s="40">
        <v>1</v>
      </c>
      <c r="P6" s="42" t="s">
        <v>391</v>
      </c>
      <c r="Q6" s="89">
        <v>44501</v>
      </c>
      <c r="R6" s="87"/>
      <c r="S6" s="87"/>
      <c r="T6" s="24">
        <f t="shared" ref="T6:T20" si="2">1505470/1000</f>
        <v>1505.47</v>
      </c>
      <c r="U6" s="11"/>
      <c r="V6" s="11"/>
      <c r="W6" s="11" t="s">
        <v>392</v>
      </c>
      <c r="X6" s="11"/>
    </row>
    <row r="7" spans="1:24" ht="30.75" hidden="1" customHeight="1" thickBot="1" x14ac:dyDescent="0.25">
      <c r="A7" s="11"/>
      <c r="B7" s="43">
        <v>2</v>
      </c>
      <c r="C7" s="45" t="s">
        <v>393</v>
      </c>
      <c r="D7" s="92">
        <v>44501</v>
      </c>
      <c r="E7" s="93"/>
      <c r="F7" s="20">
        <f t="shared" si="0"/>
        <v>1505.47</v>
      </c>
      <c r="G7" s="11"/>
      <c r="H7" s="43">
        <v>2</v>
      </c>
      <c r="I7" s="45" t="s">
        <v>390</v>
      </c>
      <c r="J7" s="92">
        <v>44501</v>
      </c>
      <c r="K7" s="93"/>
      <c r="L7" s="93"/>
      <c r="M7" s="20">
        <f t="shared" si="1"/>
        <v>1505.47</v>
      </c>
      <c r="N7" s="11"/>
      <c r="O7" s="43">
        <v>2</v>
      </c>
      <c r="P7" s="45" t="s">
        <v>391</v>
      </c>
      <c r="Q7" s="92">
        <v>44501</v>
      </c>
      <c r="R7" s="93"/>
      <c r="S7" s="93"/>
      <c r="T7" s="20">
        <f t="shared" si="2"/>
        <v>1505.47</v>
      </c>
      <c r="U7" s="11"/>
      <c r="V7" s="11"/>
      <c r="W7" s="11" t="s">
        <v>394</v>
      </c>
      <c r="X7" s="11"/>
    </row>
    <row r="8" spans="1:24" ht="20.25" hidden="1" customHeight="1" x14ac:dyDescent="0.2">
      <c r="A8" s="11"/>
      <c r="B8" s="40">
        <v>2</v>
      </c>
      <c r="C8" s="42" t="s">
        <v>389</v>
      </c>
      <c r="D8" s="89">
        <v>44531</v>
      </c>
      <c r="E8" s="87"/>
      <c r="F8" s="24">
        <f t="shared" si="0"/>
        <v>1505.47</v>
      </c>
      <c r="G8" s="11"/>
      <c r="H8" s="40">
        <v>2</v>
      </c>
      <c r="I8" s="42" t="s">
        <v>390</v>
      </c>
      <c r="J8" s="89">
        <v>44531</v>
      </c>
      <c r="K8" s="87"/>
      <c r="L8" s="87"/>
      <c r="M8" s="24">
        <f t="shared" si="1"/>
        <v>1505.47</v>
      </c>
      <c r="N8" s="11"/>
      <c r="O8" s="40">
        <v>2</v>
      </c>
      <c r="P8" s="42" t="s">
        <v>391</v>
      </c>
      <c r="Q8" s="89">
        <v>44531</v>
      </c>
      <c r="R8" s="87"/>
      <c r="S8" s="87"/>
      <c r="T8" s="24">
        <f t="shared" si="2"/>
        <v>1505.47</v>
      </c>
      <c r="U8" s="11"/>
      <c r="V8" s="11"/>
      <c r="W8" s="11" t="s">
        <v>395</v>
      </c>
      <c r="X8" s="11"/>
    </row>
    <row r="9" spans="1:24" ht="23.25" hidden="1" customHeight="1" x14ac:dyDescent="0.2">
      <c r="A9" s="11"/>
      <c r="B9" s="43">
        <v>3</v>
      </c>
      <c r="C9" s="45" t="s">
        <v>389</v>
      </c>
      <c r="D9" s="92">
        <v>44562</v>
      </c>
      <c r="E9" s="93"/>
      <c r="F9" s="20">
        <f t="shared" si="0"/>
        <v>1505.47</v>
      </c>
      <c r="G9" s="11"/>
      <c r="H9" s="43">
        <v>3</v>
      </c>
      <c r="I9" s="45" t="s">
        <v>390</v>
      </c>
      <c r="J9" s="92">
        <v>44562</v>
      </c>
      <c r="K9" s="93"/>
      <c r="L9" s="93"/>
      <c r="M9" s="20">
        <f t="shared" si="1"/>
        <v>1505.47</v>
      </c>
      <c r="N9" s="11"/>
      <c r="O9" s="43">
        <v>3</v>
      </c>
      <c r="P9" s="45" t="s">
        <v>391</v>
      </c>
      <c r="Q9" s="92">
        <v>44562</v>
      </c>
      <c r="R9" s="93"/>
      <c r="S9" s="93"/>
      <c r="T9" s="20">
        <f t="shared" si="2"/>
        <v>1505.47</v>
      </c>
      <c r="U9" s="11"/>
      <c r="V9" s="11"/>
      <c r="W9" s="11" t="s">
        <v>396</v>
      </c>
      <c r="X9" s="11"/>
    </row>
    <row r="10" spans="1:24" ht="15.75" hidden="1" customHeight="1" thickBot="1" x14ac:dyDescent="0.25">
      <c r="A10" s="11"/>
      <c r="B10" s="40">
        <v>4</v>
      </c>
      <c r="C10" s="42" t="s">
        <v>389</v>
      </c>
      <c r="D10" s="89">
        <v>44593</v>
      </c>
      <c r="E10" s="87"/>
      <c r="F10" s="24">
        <f t="shared" si="0"/>
        <v>1505.47</v>
      </c>
      <c r="G10" s="11"/>
      <c r="H10" s="40">
        <v>4</v>
      </c>
      <c r="I10" s="42" t="s">
        <v>390</v>
      </c>
      <c r="J10" s="89">
        <v>44593</v>
      </c>
      <c r="K10" s="87"/>
      <c r="L10" s="87"/>
      <c r="M10" s="24">
        <f t="shared" si="1"/>
        <v>1505.47</v>
      </c>
      <c r="N10" s="11"/>
      <c r="O10" s="40">
        <v>4</v>
      </c>
      <c r="P10" s="42" t="s">
        <v>391</v>
      </c>
      <c r="Q10" s="89">
        <v>44593</v>
      </c>
      <c r="R10" s="87"/>
      <c r="S10" s="87"/>
      <c r="T10" s="24">
        <f t="shared" si="2"/>
        <v>1505.47</v>
      </c>
      <c r="U10" s="11"/>
      <c r="V10" s="11"/>
      <c r="W10" s="11" t="s">
        <v>397</v>
      </c>
      <c r="X10" s="11"/>
    </row>
    <row r="11" spans="1:24" ht="15.75" hidden="1" customHeight="1" thickBot="1" x14ac:dyDescent="0.25">
      <c r="A11" s="11"/>
      <c r="B11" s="43">
        <v>5</v>
      </c>
      <c r="C11" s="45" t="s">
        <v>389</v>
      </c>
      <c r="D11" s="92">
        <v>44621</v>
      </c>
      <c r="E11" s="93"/>
      <c r="F11" s="20">
        <f t="shared" si="0"/>
        <v>1505.47</v>
      </c>
      <c r="G11" s="11"/>
      <c r="H11" s="43">
        <v>5</v>
      </c>
      <c r="I11" s="45" t="s">
        <v>390</v>
      </c>
      <c r="J11" s="92">
        <v>44621</v>
      </c>
      <c r="K11" s="93"/>
      <c r="L11" s="93"/>
      <c r="M11" s="20">
        <f t="shared" si="1"/>
        <v>1505.47</v>
      </c>
      <c r="N11" s="11"/>
      <c r="O11" s="43">
        <v>5</v>
      </c>
      <c r="P11" s="45" t="s">
        <v>391</v>
      </c>
      <c r="Q11" s="92">
        <v>44621</v>
      </c>
      <c r="R11" s="93"/>
      <c r="S11" s="93"/>
      <c r="T11" s="20">
        <f t="shared" si="2"/>
        <v>1505.47</v>
      </c>
      <c r="U11" s="11"/>
      <c r="V11" s="11"/>
      <c r="W11" s="11"/>
      <c r="X11" s="11"/>
    </row>
    <row r="12" spans="1:24" ht="15.75" hidden="1" customHeight="1" thickBot="1" x14ac:dyDescent="0.25">
      <c r="A12" s="11"/>
      <c r="B12" s="40">
        <v>6</v>
      </c>
      <c r="C12" s="42" t="s">
        <v>389</v>
      </c>
      <c r="D12" s="89">
        <v>44652</v>
      </c>
      <c r="E12" s="87"/>
      <c r="F12" s="24">
        <f t="shared" si="0"/>
        <v>1505.47</v>
      </c>
      <c r="G12" s="11"/>
      <c r="H12" s="40">
        <v>6</v>
      </c>
      <c r="I12" s="42" t="s">
        <v>390</v>
      </c>
      <c r="J12" s="89">
        <v>44652</v>
      </c>
      <c r="K12" s="87"/>
      <c r="L12" s="87"/>
      <c r="M12" s="24">
        <f t="shared" si="1"/>
        <v>1505.47</v>
      </c>
      <c r="N12" s="11"/>
      <c r="O12" s="40">
        <v>6</v>
      </c>
      <c r="P12" s="42" t="s">
        <v>391</v>
      </c>
      <c r="Q12" s="89">
        <v>44652</v>
      </c>
      <c r="R12" s="87"/>
      <c r="S12" s="87"/>
      <c r="T12" s="24">
        <f t="shared" si="2"/>
        <v>1505.47</v>
      </c>
      <c r="U12" s="11"/>
      <c r="V12" s="11"/>
      <c r="W12" s="11"/>
      <c r="X12" s="11"/>
    </row>
    <row r="13" spans="1:24" ht="15.75" hidden="1" customHeight="1" thickBot="1" x14ac:dyDescent="0.25">
      <c r="A13" s="11"/>
      <c r="B13" s="43">
        <v>7</v>
      </c>
      <c r="C13" s="45" t="s">
        <v>389</v>
      </c>
      <c r="D13" s="92">
        <v>44682</v>
      </c>
      <c r="E13" s="93"/>
      <c r="F13" s="20">
        <f t="shared" si="0"/>
        <v>1505.47</v>
      </c>
      <c r="G13" s="11"/>
      <c r="H13" s="43">
        <v>7</v>
      </c>
      <c r="I13" s="45" t="s">
        <v>390</v>
      </c>
      <c r="J13" s="92">
        <v>44682</v>
      </c>
      <c r="K13" s="93"/>
      <c r="L13" s="93"/>
      <c r="M13" s="20">
        <f t="shared" si="1"/>
        <v>1505.47</v>
      </c>
      <c r="N13" s="11"/>
      <c r="O13" s="43">
        <v>7</v>
      </c>
      <c r="P13" s="45" t="s">
        <v>391</v>
      </c>
      <c r="Q13" s="92">
        <v>44682</v>
      </c>
      <c r="R13" s="93"/>
      <c r="S13" s="93"/>
      <c r="T13" s="20">
        <f t="shared" si="2"/>
        <v>1505.47</v>
      </c>
      <c r="U13" s="11"/>
      <c r="V13" s="11"/>
      <c r="W13" s="11"/>
      <c r="X13" s="11"/>
    </row>
    <row r="14" spans="1:24" ht="15.75" hidden="1" customHeight="1" thickBot="1" x14ac:dyDescent="0.25">
      <c r="A14" s="11"/>
      <c r="B14" s="40">
        <v>8</v>
      </c>
      <c r="C14" s="42" t="s">
        <v>389</v>
      </c>
      <c r="D14" s="89">
        <v>44713</v>
      </c>
      <c r="E14" s="87"/>
      <c r="F14" s="24">
        <f t="shared" si="0"/>
        <v>1505.47</v>
      </c>
      <c r="G14" s="11"/>
      <c r="H14" s="40">
        <v>8</v>
      </c>
      <c r="I14" s="42" t="s">
        <v>390</v>
      </c>
      <c r="J14" s="89">
        <v>44713</v>
      </c>
      <c r="K14" s="87"/>
      <c r="L14" s="87"/>
      <c r="M14" s="24">
        <f t="shared" si="1"/>
        <v>1505.47</v>
      </c>
      <c r="N14" s="11"/>
      <c r="O14" s="40">
        <v>8</v>
      </c>
      <c r="P14" s="42" t="s">
        <v>391</v>
      </c>
      <c r="Q14" s="89">
        <v>44713</v>
      </c>
      <c r="R14" s="87"/>
      <c r="S14" s="87"/>
      <c r="T14" s="24">
        <f t="shared" si="2"/>
        <v>1505.47</v>
      </c>
      <c r="U14" s="11"/>
      <c r="V14" s="11"/>
      <c r="W14" s="11"/>
      <c r="X14" s="11"/>
    </row>
    <row r="15" spans="1:24" ht="15.75" hidden="1" customHeight="1" thickBot="1" x14ac:dyDescent="0.25">
      <c r="A15" s="11"/>
      <c r="B15" s="43">
        <v>9</v>
      </c>
      <c r="C15" s="45" t="s">
        <v>389</v>
      </c>
      <c r="D15" s="92">
        <v>44743</v>
      </c>
      <c r="E15" s="93"/>
      <c r="F15" s="20">
        <f t="shared" si="0"/>
        <v>1505.47</v>
      </c>
      <c r="G15" s="11"/>
      <c r="H15" s="43">
        <v>9</v>
      </c>
      <c r="I15" s="45" t="s">
        <v>390</v>
      </c>
      <c r="J15" s="92">
        <v>44743</v>
      </c>
      <c r="K15" s="93"/>
      <c r="L15" s="93"/>
      <c r="M15" s="20">
        <f t="shared" si="1"/>
        <v>1505.47</v>
      </c>
      <c r="N15" s="11"/>
      <c r="O15" s="43">
        <v>9</v>
      </c>
      <c r="P15" s="45" t="s">
        <v>391</v>
      </c>
      <c r="Q15" s="92">
        <v>44743</v>
      </c>
      <c r="R15" s="93"/>
      <c r="S15" s="93"/>
      <c r="T15" s="20">
        <f t="shared" si="2"/>
        <v>1505.47</v>
      </c>
      <c r="U15" s="11"/>
      <c r="V15" s="11"/>
      <c r="W15" s="11"/>
      <c r="X15" s="11"/>
    </row>
    <row r="16" spans="1:24" ht="15.75" hidden="1" customHeight="1" thickBot="1" x14ac:dyDescent="0.25">
      <c r="A16" s="11"/>
      <c r="B16" s="40">
        <v>10</v>
      </c>
      <c r="C16" s="42" t="s">
        <v>389</v>
      </c>
      <c r="D16" s="89">
        <v>44774</v>
      </c>
      <c r="E16" s="63">
        <v>569.09299999999996</v>
      </c>
      <c r="F16" s="24">
        <f t="shared" si="0"/>
        <v>1505.47</v>
      </c>
      <c r="G16" s="11"/>
      <c r="H16" s="40">
        <v>10</v>
      </c>
      <c r="I16" s="42" t="s">
        <v>390</v>
      </c>
      <c r="J16" s="89">
        <v>44774</v>
      </c>
      <c r="K16" s="87"/>
      <c r="L16" s="87"/>
      <c r="M16" s="24">
        <f t="shared" si="1"/>
        <v>1505.47</v>
      </c>
      <c r="N16" s="11"/>
      <c r="O16" s="40">
        <v>10</v>
      </c>
      <c r="P16" s="42" t="s">
        <v>391</v>
      </c>
      <c r="Q16" s="89">
        <v>44774</v>
      </c>
      <c r="R16" s="87"/>
      <c r="S16" s="87"/>
      <c r="T16" s="24">
        <f t="shared" si="2"/>
        <v>1505.47</v>
      </c>
      <c r="U16" s="11"/>
      <c r="V16" s="11"/>
      <c r="W16" s="11"/>
      <c r="X16" s="11"/>
    </row>
    <row r="17" spans="1:24" ht="15.75" hidden="1" customHeight="1" thickBot="1" x14ac:dyDescent="0.25">
      <c r="A17" s="11"/>
      <c r="B17" s="43">
        <v>11</v>
      </c>
      <c r="C17" s="45" t="s">
        <v>389</v>
      </c>
      <c r="D17" s="92">
        <v>44805</v>
      </c>
      <c r="E17" s="94">
        <v>551.68299999999999</v>
      </c>
      <c r="F17" s="20">
        <f t="shared" si="0"/>
        <v>1505.47</v>
      </c>
      <c r="G17" s="11"/>
      <c r="H17" s="43">
        <v>11</v>
      </c>
      <c r="I17" s="45" t="s">
        <v>390</v>
      </c>
      <c r="J17" s="92">
        <v>44805</v>
      </c>
      <c r="K17" s="93"/>
      <c r="L17" s="93"/>
      <c r="M17" s="20">
        <f t="shared" si="1"/>
        <v>1505.47</v>
      </c>
      <c r="N17" s="11"/>
      <c r="O17" s="43">
        <v>11</v>
      </c>
      <c r="P17" s="45" t="s">
        <v>391</v>
      </c>
      <c r="Q17" s="92">
        <v>44805</v>
      </c>
      <c r="R17" s="93"/>
      <c r="S17" s="93"/>
      <c r="T17" s="20">
        <f t="shared" si="2"/>
        <v>1505.47</v>
      </c>
      <c r="U17" s="11"/>
      <c r="V17" s="11"/>
      <c r="W17" s="11"/>
      <c r="X17" s="11"/>
    </row>
    <row r="18" spans="1:24" ht="15.75" hidden="1" customHeight="1" thickBot="1" x14ac:dyDescent="0.25">
      <c r="A18" s="11"/>
      <c r="B18" s="40">
        <v>12</v>
      </c>
      <c r="C18" s="42" t="s">
        <v>389</v>
      </c>
      <c r="D18" s="89">
        <v>44835</v>
      </c>
      <c r="E18" s="63">
        <v>672.94100000000003</v>
      </c>
      <c r="F18" s="24">
        <f t="shared" si="0"/>
        <v>1505.47</v>
      </c>
      <c r="G18" s="11" t="s">
        <v>398</v>
      </c>
      <c r="H18" s="40">
        <v>12</v>
      </c>
      <c r="I18" s="42" t="s">
        <v>390</v>
      </c>
      <c r="J18" s="89">
        <v>44835</v>
      </c>
      <c r="K18" s="87"/>
      <c r="L18" s="87"/>
      <c r="M18" s="24">
        <f t="shared" si="1"/>
        <v>1505.47</v>
      </c>
      <c r="N18" s="11"/>
      <c r="O18" s="40">
        <v>12</v>
      </c>
      <c r="P18" s="42" t="s">
        <v>391</v>
      </c>
      <c r="Q18" s="89">
        <v>44835</v>
      </c>
      <c r="R18" s="87"/>
      <c r="S18" s="87"/>
      <c r="T18" s="24">
        <f t="shared" si="2"/>
        <v>1505.47</v>
      </c>
      <c r="U18" s="11"/>
      <c r="V18" s="11"/>
      <c r="W18" s="11"/>
      <c r="X18" s="11"/>
    </row>
    <row r="19" spans="1:24" ht="15.75" hidden="1" customHeight="1" thickBot="1" x14ac:dyDescent="0.25">
      <c r="A19" s="11"/>
      <c r="B19" s="43">
        <v>13</v>
      </c>
      <c r="C19" s="45" t="s">
        <v>389</v>
      </c>
      <c r="D19" s="92">
        <v>44866</v>
      </c>
      <c r="E19" s="94">
        <v>631.90099999999995</v>
      </c>
      <c r="F19" s="20">
        <f t="shared" si="0"/>
        <v>1505.47</v>
      </c>
      <c r="G19" s="11" t="s">
        <v>399</v>
      </c>
      <c r="H19" s="43">
        <v>13</v>
      </c>
      <c r="I19" s="45" t="s">
        <v>390</v>
      </c>
      <c r="J19" s="92">
        <v>44866</v>
      </c>
      <c r="K19" s="93"/>
      <c r="L19" s="93"/>
      <c r="M19" s="20">
        <f t="shared" si="1"/>
        <v>1505.47</v>
      </c>
      <c r="N19" s="11"/>
      <c r="O19" s="43">
        <v>13</v>
      </c>
      <c r="P19" s="45" t="s">
        <v>391</v>
      </c>
      <c r="Q19" s="92">
        <v>44866</v>
      </c>
      <c r="R19" s="93"/>
      <c r="S19" s="93"/>
      <c r="T19" s="20">
        <f t="shared" si="2"/>
        <v>1505.47</v>
      </c>
      <c r="U19" s="11"/>
      <c r="V19" s="11"/>
      <c r="W19" s="11"/>
      <c r="X19" s="11"/>
    </row>
    <row r="20" spans="1:24" ht="15.75" hidden="1" customHeight="1" thickBot="1" x14ac:dyDescent="0.25">
      <c r="A20" s="11"/>
      <c r="B20" s="40">
        <v>14</v>
      </c>
      <c r="C20" s="42" t="s">
        <v>389</v>
      </c>
      <c r="D20" s="89">
        <v>44896</v>
      </c>
      <c r="E20" s="63">
        <v>705</v>
      </c>
      <c r="F20" s="24">
        <f t="shared" si="0"/>
        <v>1505.47</v>
      </c>
      <c r="G20" s="11" t="s">
        <v>400</v>
      </c>
      <c r="H20" s="40">
        <v>14</v>
      </c>
      <c r="I20" s="42" t="s">
        <v>390</v>
      </c>
      <c r="J20" s="89">
        <v>44896</v>
      </c>
      <c r="K20" s="87"/>
      <c r="L20" s="87"/>
      <c r="M20" s="24">
        <f t="shared" si="1"/>
        <v>1505.47</v>
      </c>
      <c r="N20" s="11"/>
      <c r="O20" s="40">
        <v>14</v>
      </c>
      <c r="P20" s="42" t="s">
        <v>391</v>
      </c>
      <c r="Q20" s="89">
        <v>44896</v>
      </c>
      <c r="R20" s="87"/>
      <c r="S20" s="87"/>
      <c r="T20" s="24">
        <f t="shared" si="2"/>
        <v>1505.47</v>
      </c>
      <c r="U20" s="11"/>
      <c r="V20" s="11"/>
      <c r="W20" s="11"/>
      <c r="X20" s="11"/>
    </row>
    <row r="21" spans="1:24" ht="15" hidden="1" customHeight="1" thickBot="1" x14ac:dyDescent="0.25">
      <c r="A21" s="11"/>
      <c r="B21" s="9"/>
      <c r="C21" s="9"/>
      <c r="D21" s="9" t="s">
        <v>401</v>
      </c>
      <c r="E21" s="30">
        <f>AVERAGE(E9:E20)</f>
        <v>626.12360000000001</v>
      </c>
      <c r="F21" s="32"/>
      <c r="G21" s="11"/>
      <c r="H21" s="9"/>
      <c r="I21" s="9"/>
      <c r="J21" s="9" t="s">
        <v>401</v>
      </c>
      <c r="K21" s="32"/>
      <c r="L21" s="30" t="str">
        <f>IFERROR(AVERAGE(L6:L20),"")</f>
        <v/>
      </c>
      <c r="M21" s="32"/>
      <c r="N21" s="11"/>
      <c r="O21" s="9"/>
      <c r="P21" s="9"/>
      <c r="Q21" s="9" t="s">
        <v>401</v>
      </c>
      <c r="R21" s="32"/>
      <c r="S21" s="30" t="str">
        <f>IFERROR(AVERAGE(S6:S20),"")</f>
        <v/>
      </c>
      <c r="T21" s="32"/>
      <c r="U21" s="11"/>
      <c r="V21" s="11"/>
      <c r="W21" s="11"/>
      <c r="X21" s="11"/>
    </row>
    <row r="22" spans="1:24" hidden="1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hidden="1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hidden="1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hidden="1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hidden="1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hidden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hidden="1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hidden="1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hidden="1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hidden="1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hidden="1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hidden="1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hidden="1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hidden="1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hidden="1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hidden="1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hidden="1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hidden="1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hidden="1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hidden="1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hidden="1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hidden="1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hidden="1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hidden="1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ht="33.950000000000003" customHeight="1" thickBot="1" x14ac:dyDescent="0.25">
      <c r="A46" s="11"/>
      <c r="B46" s="427" t="s">
        <v>402</v>
      </c>
      <c r="C46" s="428"/>
      <c r="D46" s="428"/>
      <c r="E46" s="428"/>
      <c r="F46" s="428"/>
      <c r="G46" s="428"/>
      <c r="H46" s="428"/>
      <c r="I46" s="428"/>
      <c r="J46" s="428"/>
      <c r="K46" s="428"/>
      <c r="L46" s="428"/>
      <c r="M46" s="428"/>
      <c r="N46" s="428"/>
      <c r="O46" s="428"/>
      <c r="P46" s="428"/>
      <c r="Q46" s="428"/>
      <c r="R46" s="428"/>
      <c r="S46" s="428"/>
      <c r="T46" s="428"/>
      <c r="U46" s="428"/>
      <c r="V46" s="428"/>
      <c r="W46" s="428"/>
      <c r="X46" s="11"/>
    </row>
    <row r="47" spans="1:24" ht="21.95" customHeight="1" thickBot="1" x14ac:dyDescent="0.25">
      <c r="A47" s="11"/>
      <c r="B47" s="476" t="s">
        <v>381</v>
      </c>
      <c r="C47" s="477"/>
      <c r="D47" s="477"/>
      <c r="E47" s="477"/>
      <c r="F47" s="477"/>
      <c r="G47" s="477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4" t="s">
        <v>403</v>
      </c>
      <c r="V47" s="46">
        <v>45689</v>
      </c>
      <c r="W47" s="46">
        <v>46054</v>
      </c>
      <c r="X47" s="11"/>
    </row>
    <row r="48" spans="1:24" ht="30" customHeight="1" thickBot="1" x14ac:dyDescent="0.25">
      <c r="A48" s="11"/>
      <c r="B48" s="4" t="s">
        <v>214</v>
      </c>
      <c r="C48" s="4" t="s">
        <v>384</v>
      </c>
      <c r="D48" s="4" t="s">
        <v>191</v>
      </c>
      <c r="E48" s="4" t="s">
        <v>385</v>
      </c>
      <c r="F48" s="4" t="s">
        <v>404</v>
      </c>
      <c r="G48" s="4" t="s">
        <v>405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5" t="s">
        <v>303</v>
      </c>
      <c r="V48" s="63">
        <v>797.92700000000002</v>
      </c>
      <c r="W48" s="24">
        <f>E53</f>
        <v>747.92</v>
      </c>
      <c r="X48" s="11"/>
    </row>
    <row r="49" spans="1:24" ht="15.75" customHeight="1" thickBot="1" x14ac:dyDescent="0.25">
      <c r="A49" s="11"/>
      <c r="B49" s="74">
        <v>1</v>
      </c>
      <c r="C49" s="95" t="s">
        <v>389</v>
      </c>
      <c r="D49" s="96" t="s">
        <v>406</v>
      </c>
      <c r="E49" s="16">
        <v>691.52</v>
      </c>
      <c r="F49" s="16">
        <v>850</v>
      </c>
      <c r="G49" s="14">
        <f t="shared" ref="G49:G63" si="3">IF(OR(E49="",F49="",F49=0),"",E49/F49)</f>
        <v>0.81355294117647059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7" t="s">
        <v>386</v>
      </c>
      <c r="V49" s="94">
        <v>1084.72</v>
      </c>
      <c r="W49" s="20">
        <f>F53</f>
        <v>1079.5316666666699</v>
      </c>
      <c r="X49" s="11"/>
    </row>
    <row r="50" spans="1:24" ht="15.75" customHeight="1" thickBot="1" x14ac:dyDescent="0.25">
      <c r="A50" s="11"/>
      <c r="B50" s="74">
        <v>2</v>
      </c>
      <c r="C50" s="95" t="s">
        <v>389</v>
      </c>
      <c r="D50" s="96" t="s">
        <v>407</v>
      </c>
      <c r="E50" s="16">
        <v>784.24</v>
      </c>
      <c r="F50" s="16">
        <v>1022.46</v>
      </c>
      <c r="G50" s="14">
        <f t="shared" si="3"/>
        <v>0.76701289047982313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ht="15.75" customHeight="1" thickBot="1" x14ac:dyDescent="0.25">
      <c r="A51" s="11"/>
      <c r="B51" s="74">
        <v>3</v>
      </c>
      <c r="C51" s="95" t="s">
        <v>389</v>
      </c>
      <c r="D51" s="96" t="s">
        <v>408</v>
      </c>
      <c r="E51" s="16">
        <v>750.08924999999999</v>
      </c>
      <c r="F51" s="16">
        <v>1079.5316666666699</v>
      </c>
      <c r="G51" s="14">
        <f t="shared" si="3"/>
        <v>0.69482839008890995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ht="15.75" customHeight="1" thickBot="1" x14ac:dyDescent="0.25">
      <c r="A52" s="11"/>
      <c r="B52" s="43">
        <v>4</v>
      </c>
      <c r="C52" s="45" t="s">
        <v>389</v>
      </c>
      <c r="D52" s="92">
        <v>46023</v>
      </c>
      <c r="E52" s="94">
        <v>728.279</v>
      </c>
      <c r="F52" s="94">
        <v>1079.5316666666699</v>
      </c>
      <c r="G52" s="19">
        <f t="shared" si="3"/>
        <v>0.6746249531046622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ht="15.75" customHeight="1" thickBot="1" x14ac:dyDescent="0.25">
      <c r="A53" s="11"/>
      <c r="B53" s="40">
        <v>5</v>
      </c>
      <c r="C53" s="42" t="s">
        <v>389</v>
      </c>
      <c r="D53" s="89">
        <v>46054</v>
      </c>
      <c r="E53" s="63">
        <v>747.92</v>
      </c>
      <c r="F53" s="63">
        <v>1079.5316666666699</v>
      </c>
      <c r="G53" s="23">
        <f t="shared" si="3"/>
        <v>0.69281895389821613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ht="15.75" customHeight="1" thickBot="1" x14ac:dyDescent="0.25">
      <c r="A54" s="11"/>
      <c r="B54" s="43">
        <v>6</v>
      </c>
      <c r="C54" s="45" t="s">
        <v>389</v>
      </c>
      <c r="D54" s="92">
        <v>46082</v>
      </c>
      <c r="E54" s="93"/>
      <c r="F54" s="93"/>
      <c r="G54" s="19" t="str">
        <f t="shared" si="3"/>
        <v/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ht="15.75" customHeight="1" thickBot="1" x14ac:dyDescent="0.25">
      <c r="A55" s="11"/>
      <c r="B55" s="40">
        <v>7</v>
      </c>
      <c r="C55" s="42" t="s">
        <v>389</v>
      </c>
      <c r="D55" s="89">
        <v>46113</v>
      </c>
      <c r="E55" s="87"/>
      <c r="F55" s="87"/>
      <c r="G55" s="23" t="str">
        <f t="shared" si="3"/>
        <v/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ht="15.75" customHeight="1" thickBot="1" x14ac:dyDescent="0.25">
      <c r="A56" s="11"/>
      <c r="B56" s="43">
        <v>8</v>
      </c>
      <c r="C56" s="45" t="s">
        <v>389</v>
      </c>
      <c r="D56" s="92">
        <v>46143</v>
      </c>
      <c r="E56" s="93"/>
      <c r="F56" s="93"/>
      <c r="G56" s="19" t="str">
        <f t="shared" si="3"/>
        <v/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ht="15.75" customHeight="1" thickBot="1" x14ac:dyDescent="0.25">
      <c r="A57" s="11"/>
      <c r="B57" s="40">
        <v>9</v>
      </c>
      <c r="C57" s="42" t="s">
        <v>389</v>
      </c>
      <c r="D57" s="89">
        <v>46174</v>
      </c>
      <c r="E57" s="87"/>
      <c r="F57" s="87"/>
      <c r="G57" s="23" t="str">
        <f t="shared" si="3"/>
        <v/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ht="15.75" customHeight="1" thickBot="1" x14ac:dyDescent="0.25">
      <c r="A58" s="11"/>
      <c r="B58" s="43">
        <v>10</v>
      </c>
      <c r="C58" s="45" t="s">
        <v>389</v>
      </c>
      <c r="D58" s="92">
        <v>46204</v>
      </c>
      <c r="E58" s="93"/>
      <c r="F58" s="93"/>
      <c r="G58" s="19" t="str">
        <f t="shared" si="3"/>
        <v/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ht="15.75" customHeight="1" thickBot="1" x14ac:dyDescent="0.25">
      <c r="A59" s="11"/>
      <c r="B59" s="40">
        <v>11</v>
      </c>
      <c r="C59" s="42" t="s">
        <v>389</v>
      </c>
      <c r="D59" s="89">
        <v>46235</v>
      </c>
      <c r="E59" s="87"/>
      <c r="F59" s="87"/>
      <c r="G59" s="23" t="str">
        <f t="shared" si="3"/>
        <v/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ht="15.75" customHeight="1" thickBot="1" x14ac:dyDescent="0.25">
      <c r="A60" s="11"/>
      <c r="B60" s="43">
        <v>12</v>
      </c>
      <c r="C60" s="45" t="s">
        <v>389</v>
      </c>
      <c r="D60" s="92">
        <v>46266</v>
      </c>
      <c r="E60" s="93"/>
      <c r="F60" s="93"/>
      <c r="G60" s="19" t="str">
        <f t="shared" si="3"/>
        <v/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ht="15.75" customHeight="1" thickBot="1" x14ac:dyDescent="0.25">
      <c r="A61" s="11"/>
      <c r="B61" s="40">
        <v>13</v>
      </c>
      <c r="C61" s="42" t="s">
        <v>389</v>
      </c>
      <c r="D61" s="89">
        <v>46296</v>
      </c>
      <c r="E61" s="87"/>
      <c r="F61" s="87"/>
      <c r="G61" s="23" t="str">
        <f t="shared" si="3"/>
        <v/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ht="15.75" customHeight="1" thickBot="1" x14ac:dyDescent="0.25">
      <c r="A62" s="11"/>
      <c r="B62" s="43">
        <v>14</v>
      </c>
      <c r="C62" s="45" t="s">
        <v>389</v>
      </c>
      <c r="D62" s="92">
        <v>46327</v>
      </c>
      <c r="E62" s="93"/>
      <c r="F62" s="93"/>
      <c r="G62" s="19" t="str">
        <f t="shared" si="3"/>
        <v/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ht="15.75" customHeight="1" thickBot="1" x14ac:dyDescent="0.25">
      <c r="A63" s="11"/>
      <c r="B63" s="40">
        <v>15</v>
      </c>
      <c r="C63" s="42" t="s">
        <v>389</v>
      </c>
      <c r="D63" s="89">
        <v>46357</v>
      </c>
      <c r="E63" s="87"/>
      <c r="F63" s="87"/>
      <c r="G63" s="23" t="str">
        <f t="shared" si="3"/>
        <v/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ht="16.5" customHeight="1" thickBot="1" x14ac:dyDescent="0.25">
      <c r="A64" s="11"/>
      <c r="B64" s="9"/>
      <c r="C64" s="9" t="s">
        <v>389</v>
      </c>
      <c r="D64" s="97" t="s">
        <v>409</v>
      </c>
      <c r="E64" s="30">
        <f>IFERROR(AVERAGE(E52:E63),"")</f>
        <v>738.09950000000003</v>
      </c>
      <c r="F64" s="30">
        <f>IFERROR(AVERAGE(F52:F63),"")</f>
        <v>1079.5316666666699</v>
      </c>
      <c r="G64" s="28">
        <f>IFERROR(E64/F64,"")</f>
        <v>0.68372195350143916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ht="15.75" customHeight="1" thickBot="1" x14ac:dyDescent="0.25">
      <c r="A65" s="11"/>
      <c r="B65" s="9"/>
      <c r="C65" s="478" t="s">
        <v>410</v>
      </c>
      <c r="D65" s="479"/>
      <c r="E65" s="30">
        <f>SUM(E52:E63)</f>
        <v>1476.1990000000001</v>
      </c>
      <c r="F65" s="30">
        <f>SUMPRODUCT((E52:E63&lt;&gt;"")*F52:F63)</f>
        <v>2159.0633333333399</v>
      </c>
      <c r="G65" s="28">
        <f>IFERROR(E65/F65,"")</f>
        <v>0.68372195350143916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ht="15" customHeight="1" thickBot="1" x14ac:dyDescent="0.25">
      <c r="A66" s="11"/>
      <c r="B66" s="11"/>
      <c r="C66" s="11"/>
      <c r="D66" s="11" t="s">
        <v>401</v>
      </c>
      <c r="E66" s="35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ht="16.5" hidden="1" customHeight="1" thickBot="1" x14ac:dyDescent="0.25">
      <c r="A91" s="11"/>
      <c r="B91" s="476" t="s">
        <v>411</v>
      </c>
      <c r="C91" s="477"/>
      <c r="D91" s="477"/>
      <c r="E91" s="477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 ht="16.5" hidden="1" customHeight="1" thickBo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ht="26.1" hidden="1" customHeight="1" thickBot="1" x14ac:dyDescent="0.25">
      <c r="A93" s="11"/>
      <c r="B93" s="4" t="s">
        <v>214</v>
      </c>
      <c r="C93" s="4" t="s">
        <v>384</v>
      </c>
      <c r="D93" s="4" t="s">
        <v>191</v>
      </c>
      <c r="E93" s="4" t="s">
        <v>385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ht="15.75" hidden="1" customHeight="1" thickBot="1" x14ac:dyDescent="0.25">
      <c r="A94" s="11"/>
      <c r="B94" s="40">
        <v>1</v>
      </c>
      <c r="C94" s="42" t="s">
        <v>412</v>
      </c>
      <c r="D94" s="98" t="s">
        <v>413</v>
      </c>
      <c r="E94" s="24">
        <f>E49</f>
        <v>691.52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 ht="15.75" hidden="1" customHeight="1" thickBot="1" x14ac:dyDescent="0.25">
      <c r="A95" s="11"/>
      <c r="B95" s="43">
        <v>2</v>
      </c>
      <c r="C95" s="45" t="s">
        <v>412</v>
      </c>
      <c r="D95" s="92">
        <v>44927</v>
      </c>
      <c r="E95" s="94">
        <v>251.34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 ht="15.75" hidden="1" customHeight="1" thickBot="1" x14ac:dyDescent="0.25">
      <c r="A96" s="11"/>
      <c r="B96" s="40">
        <v>3</v>
      </c>
      <c r="C96" s="42" t="s">
        <v>412</v>
      </c>
      <c r="D96" s="89">
        <v>44958</v>
      </c>
      <c r="E96" s="63">
        <v>255.4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ht="15.75" hidden="1" customHeight="1" thickBot="1" x14ac:dyDescent="0.25">
      <c r="A97" s="11"/>
      <c r="B97" s="43">
        <v>4</v>
      </c>
      <c r="C97" s="45" t="s">
        <v>412</v>
      </c>
      <c r="D97" s="92">
        <v>44986</v>
      </c>
      <c r="E97" s="94">
        <v>237.03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 ht="15.75" hidden="1" customHeight="1" thickBot="1" x14ac:dyDescent="0.25">
      <c r="A98" s="11"/>
      <c r="B98" s="40">
        <v>5</v>
      </c>
      <c r="C98" s="42" t="s">
        <v>412</v>
      </c>
      <c r="D98" s="89">
        <v>45017</v>
      </c>
      <c r="E98" s="87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 ht="15.75" hidden="1" customHeight="1" thickBot="1" x14ac:dyDescent="0.25">
      <c r="A99" s="11"/>
      <c r="B99" s="43">
        <v>6</v>
      </c>
      <c r="C99" s="45" t="s">
        <v>412</v>
      </c>
      <c r="D99" s="92">
        <v>45047</v>
      </c>
      <c r="E99" s="93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 ht="15.75" hidden="1" customHeight="1" thickBot="1" x14ac:dyDescent="0.25">
      <c r="A100" s="11"/>
      <c r="B100" s="40">
        <v>7</v>
      </c>
      <c r="C100" s="42" t="s">
        <v>412</v>
      </c>
      <c r="D100" s="89">
        <v>45078</v>
      </c>
      <c r="E100" s="87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 ht="15.75" hidden="1" customHeight="1" thickBot="1" x14ac:dyDescent="0.25">
      <c r="A101" s="11"/>
      <c r="B101" s="43">
        <v>8</v>
      </c>
      <c r="C101" s="45" t="s">
        <v>412</v>
      </c>
      <c r="D101" s="92">
        <v>45108</v>
      </c>
      <c r="E101" s="93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ht="15.75" hidden="1" customHeight="1" thickBot="1" x14ac:dyDescent="0.25">
      <c r="A102" s="11"/>
      <c r="B102" s="40">
        <v>9</v>
      </c>
      <c r="C102" s="42" t="s">
        <v>412</v>
      </c>
      <c r="D102" s="89">
        <v>45139</v>
      </c>
      <c r="E102" s="87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ht="15.75" hidden="1" customHeight="1" thickBot="1" x14ac:dyDescent="0.25">
      <c r="A103" s="11"/>
      <c r="B103" s="43">
        <v>10</v>
      </c>
      <c r="C103" s="45" t="s">
        <v>412</v>
      </c>
      <c r="D103" s="92">
        <v>45170</v>
      </c>
      <c r="E103" s="93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 ht="15.75" hidden="1" customHeight="1" thickBot="1" x14ac:dyDescent="0.25">
      <c r="A104" s="11"/>
      <c r="B104" s="40">
        <v>11</v>
      </c>
      <c r="C104" s="42" t="s">
        <v>412</v>
      </c>
      <c r="D104" s="89">
        <v>45200</v>
      </c>
      <c r="E104" s="63">
        <v>574.96199999999999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 ht="15.75" hidden="1" customHeight="1" thickBot="1" x14ac:dyDescent="0.25">
      <c r="A105" s="11"/>
      <c r="B105" s="43">
        <v>12</v>
      </c>
      <c r="C105" s="45" t="s">
        <v>412</v>
      </c>
      <c r="D105" s="92">
        <v>45231</v>
      </c>
      <c r="E105" s="9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ht="15.75" hidden="1" customHeight="1" thickBot="1" x14ac:dyDescent="0.25">
      <c r="A106" s="11"/>
      <c r="B106" s="40">
        <v>13</v>
      </c>
      <c r="C106" s="42" t="s">
        <v>412</v>
      </c>
      <c r="D106" s="89">
        <v>45261</v>
      </c>
      <c r="E106" s="87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ht="15.75" hidden="1" customHeight="1" thickBot="1" x14ac:dyDescent="0.25">
      <c r="A107" s="11"/>
      <c r="B107" s="99">
        <v>14</v>
      </c>
      <c r="C107" s="478" t="s">
        <v>353</v>
      </c>
      <c r="D107" s="479"/>
      <c r="E107" s="30">
        <f>SUM(E94:E106)</f>
        <v>2010.252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 ht="15" hidden="1" customHeight="1" thickBot="1" x14ac:dyDescent="0.25">
      <c r="A108" s="11"/>
      <c r="B108" s="9"/>
      <c r="C108" s="9"/>
      <c r="D108" s="9" t="s">
        <v>401</v>
      </c>
      <c r="E108" s="30">
        <f>IFERROR(AVERAGE(E95:E106),"")</f>
        <v>329.68299999999999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</sheetData>
  <mergeCells count="8">
    <mergeCell ref="C107:D107"/>
    <mergeCell ref="B4:F4"/>
    <mergeCell ref="H4:K4"/>
    <mergeCell ref="B47:G47"/>
    <mergeCell ref="O4:R4"/>
    <mergeCell ref="B91:E91"/>
    <mergeCell ref="C65:D65"/>
    <mergeCell ref="B46:W46"/>
  </mergeCells>
  <printOptions horizontalCentered="1"/>
  <pageMargins left="0.4" right="0.4" top="0.5" bottom="0.5" header="0.3" footer="0.3"/>
  <pageSetup fitToHeight="0" orientation="landscape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8B5CF6"/>
    <pageSetUpPr fitToPage="1"/>
  </sheetPr>
  <dimension ref="A1:W21"/>
  <sheetViews>
    <sheetView showGridLines="0" topLeftCell="A4" zoomScale="90" workbookViewId="0">
      <pane xSplit="2" ySplit="4" topLeftCell="C8" activePane="bottomRight" state="frozen"/>
      <selection pane="topRight"/>
      <selection pane="bottomLeft"/>
      <selection pane="bottomRight" activeCell="F16" sqref="F16"/>
    </sheetView>
  </sheetViews>
  <sheetFormatPr defaultRowHeight="14.25" x14ac:dyDescent="0.2"/>
  <cols>
    <col min="1" max="1" width="2" customWidth="1"/>
    <col min="2" max="2" width="14" customWidth="1"/>
    <col min="3" max="7" width="12" customWidth="1"/>
    <col min="8" max="8" width="26" customWidth="1"/>
    <col min="9" max="10" width="11" customWidth="1"/>
    <col min="11" max="12" width="3" customWidth="1"/>
    <col min="13" max="13" width="15" customWidth="1"/>
    <col min="14" max="15" width="11" customWidth="1"/>
    <col min="22" max="22" width="10" customWidth="1"/>
    <col min="23" max="23" width="12" customWidth="1"/>
  </cols>
  <sheetData>
    <row r="1" spans="1:23" ht="33.950000000000003" customHeight="1" x14ac:dyDescent="0.2">
      <c r="A1" s="427" t="s">
        <v>414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11"/>
      <c r="Q1" s="11"/>
      <c r="R1" s="11"/>
      <c r="S1" s="11"/>
      <c r="T1" s="11"/>
      <c r="U1" s="11"/>
      <c r="V1" s="11"/>
      <c r="W1" s="11"/>
    </row>
    <row r="2" spans="1:23" ht="20.100000000000001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ht="21.95" customHeight="1" x14ac:dyDescent="0.2">
      <c r="A3" s="11"/>
      <c r="B3" s="36" t="s">
        <v>415</v>
      </c>
      <c r="C3" s="11"/>
      <c r="D3" s="11"/>
      <c r="E3" s="11"/>
      <c r="F3" s="11"/>
      <c r="G3" s="11"/>
      <c r="H3" s="11"/>
      <c r="I3" s="11"/>
      <c r="M3" s="4"/>
      <c r="N3" s="46">
        <v>45658</v>
      </c>
      <c r="O3" s="46">
        <v>46054</v>
      </c>
      <c r="P3" s="11"/>
      <c r="Q3" s="11"/>
      <c r="R3" s="11"/>
      <c r="S3" s="11"/>
      <c r="T3" s="11"/>
      <c r="U3" s="11"/>
      <c r="V3" s="11"/>
      <c r="W3" s="11"/>
    </row>
    <row r="4" spans="1:23" ht="30" customHeight="1" x14ac:dyDescent="0.2">
      <c r="A4" s="11"/>
      <c r="B4" s="4" t="s">
        <v>191</v>
      </c>
      <c r="C4" s="4" t="s">
        <v>416</v>
      </c>
      <c r="D4" s="4" t="s">
        <v>417</v>
      </c>
      <c r="E4" s="4" t="s">
        <v>418</v>
      </c>
      <c r="F4" s="4" t="s">
        <v>419</v>
      </c>
      <c r="G4" s="4" t="s">
        <v>420</v>
      </c>
      <c r="H4" s="4" t="s">
        <v>421</v>
      </c>
      <c r="I4" s="4" t="s">
        <v>422</v>
      </c>
      <c r="J4" s="4" t="s">
        <v>423</v>
      </c>
      <c r="M4" s="5" t="s">
        <v>418</v>
      </c>
      <c r="N4" s="73">
        <v>0.89659999999999895</v>
      </c>
      <c r="O4" s="23">
        <f>E9</f>
        <v>0.82015503875968987</v>
      </c>
      <c r="P4" s="11"/>
      <c r="Q4" s="11"/>
      <c r="R4" s="11"/>
      <c r="S4" s="11"/>
      <c r="T4" s="11"/>
      <c r="U4" s="11"/>
      <c r="V4" s="11"/>
      <c r="W4" s="11"/>
    </row>
    <row r="5" spans="1:23" ht="20.100000000000001" customHeight="1" x14ac:dyDescent="0.2">
      <c r="A5" s="11"/>
      <c r="B5" s="12" t="s">
        <v>201</v>
      </c>
      <c r="C5" s="15">
        <v>529</v>
      </c>
      <c r="D5" s="48">
        <f>(31-7)*24</f>
        <v>576</v>
      </c>
      <c r="E5" s="14">
        <f>C5/D5</f>
        <v>0.91840277777777779</v>
      </c>
      <c r="F5" s="15">
        <v>120</v>
      </c>
      <c r="G5" s="100">
        <v>23760.23</v>
      </c>
      <c r="H5" s="95"/>
      <c r="I5" s="101"/>
      <c r="J5" s="10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x14ac:dyDescent="0.2">
      <c r="A6" s="11"/>
      <c r="B6" s="12" t="s">
        <v>145</v>
      </c>
      <c r="C6" s="15">
        <v>629</v>
      </c>
      <c r="D6" s="48">
        <f>(31-4)*27</f>
        <v>729</v>
      </c>
      <c r="E6" s="14">
        <f>C6/D6</f>
        <v>0.86282578875171467</v>
      </c>
      <c r="F6" s="15">
        <v>220</v>
      </c>
      <c r="G6" s="100">
        <v>48902</v>
      </c>
      <c r="H6" s="95" t="s">
        <v>424</v>
      </c>
      <c r="I6" s="101"/>
      <c r="J6" s="10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x14ac:dyDescent="0.2">
      <c r="A7" s="11"/>
      <c r="B7" s="12" t="s">
        <v>139</v>
      </c>
      <c r="C7" s="15">
        <v>583.58333333333303</v>
      </c>
      <c r="D7" s="15">
        <v>702.16666666666595</v>
      </c>
      <c r="E7" s="14">
        <f>IFERROR(C7/D7,"")</f>
        <v>0.83111796819368666</v>
      </c>
      <c r="F7" s="15">
        <v>129.45454545454501</v>
      </c>
      <c r="G7" s="100">
        <v>25749.5454545455</v>
      </c>
      <c r="H7" s="95" t="s">
        <v>425</v>
      </c>
      <c r="I7" s="101"/>
      <c r="J7" s="10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 x14ac:dyDescent="0.2">
      <c r="A8" s="11"/>
      <c r="B8" s="17">
        <v>46023</v>
      </c>
      <c r="C8" s="18">
        <v>551</v>
      </c>
      <c r="D8" s="38">
        <v>633</v>
      </c>
      <c r="E8" s="14">
        <f t="shared" ref="E8:E19" si="0">IF(OR(C8="",D8=""),"",IFERROR(C8/D8,""))</f>
        <v>0.87045813586097942</v>
      </c>
      <c r="F8" s="18">
        <v>120</v>
      </c>
      <c r="G8" s="102">
        <v>48043</v>
      </c>
      <c r="H8" s="45" t="s">
        <v>426</v>
      </c>
      <c r="I8" s="103">
        <v>27</v>
      </c>
      <c r="J8" s="103">
        <v>4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x14ac:dyDescent="0.2">
      <c r="A9" s="11"/>
      <c r="B9" s="21">
        <v>46054</v>
      </c>
      <c r="C9" s="22">
        <v>529</v>
      </c>
      <c r="D9" s="37">
        <v>645</v>
      </c>
      <c r="E9" s="14">
        <f t="shared" si="0"/>
        <v>0.82015503875968987</v>
      </c>
      <c r="F9" s="26">
        <v>200</v>
      </c>
      <c r="G9" s="102">
        <v>48043</v>
      </c>
      <c r="H9" s="42" t="s">
        <v>427</v>
      </c>
      <c r="I9" s="103">
        <v>27</v>
      </c>
      <c r="J9" s="103">
        <v>4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 x14ac:dyDescent="0.2">
      <c r="A10" s="11"/>
      <c r="B10" s="17">
        <v>46082</v>
      </c>
      <c r="C10" s="22">
        <v>545</v>
      </c>
      <c r="D10" s="38">
        <v>653</v>
      </c>
      <c r="E10" s="14">
        <f t="shared" si="0"/>
        <v>0.83460949464012246</v>
      </c>
      <c r="F10" s="25">
        <v>120</v>
      </c>
      <c r="G10" s="105"/>
      <c r="H10" s="45"/>
      <c r="I10" s="103">
        <v>27</v>
      </c>
      <c r="J10" s="103">
        <v>4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 x14ac:dyDescent="0.2">
      <c r="A11" s="11"/>
      <c r="B11" s="21">
        <v>46113</v>
      </c>
      <c r="C11" s="22">
        <v>530</v>
      </c>
      <c r="D11" s="37">
        <f>IF(OR(I11="",J11=""),"",(DAY(EOMONTH(B11,0))-J11)*I11)</f>
        <v>676</v>
      </c>
      <c r="E11" s="14">
        <f t="shared" si="0"/>
        <v>0.78402366863905326</v>
      </c>
      <c r="F11" s="26"/>
      <c r="G11" s="104"/>
      <c r="H11" s="42" t="s">
        <v>428</v>
      </c>
      <c r="I11" s="103">
        <v>26</v>
      </c>
      <c r="J11" s="103">
        <v>4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x14ac:dyDescent="0.2">
      <c r="A12" s="11"/>
      <c r="B12" s="17">
        <v>46143</v>
      </c>
      <c r="C12" s="22">
        <v>550</v>
      </c>
      <c r="D12" s="38">
        <v>655</v>
      </c>
      <c r="E12" s="14">
        <f t="shared" si="0"/>
        <v>0.83969465648854957</v>
      </c>
      <c r="F12" s="25"/>
      <c r="G12" s="105"/>
      <c r="H12" s="45" t="s">
        <v>429</v>
      </c>
      <c r="I12" s="103">
        <v>26</v>
      </c>
      <c r="J12" s="103">
        <v>4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x14ac:dyDescent="0.2">
      <c r="A13" s="11"/>
      <c r="B13" s="21">
        <v>46174</v>
      </c>
      <c r="C13" s="22">
        <v>580</v>
      </c>
      <c r="D13" s="37">
        <v>663</v>
      </c>
      <c r="E13" s="14">
        <f t="shared" si="0"/>
        <v>0.87481146304675717</v>
      </c>
      <c r="F13" s="26"/>
      <c r="G13" s="104"/>
      <c r="H13" s="42"/>
      <c r="I13" s="103">
        <v>27</v>
      </c>
      <c r="J13" s="103">
        <v>4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x14ac:dyDescent="0.2">
      <c r="A14" s="11"/>
      <c r="B14" s="17">
        <v>46204</v>
      </c>
      <c r="C14" s="22">
        <v>595</v>
      </c>
      <c r="D14" s="38">
        <v>634</v>
      </c>
      <c r="E14" s="14">
        <f t="shared" si="0"/>
        <v>0.93848580441640383</v>
      </c>
      <c r="F14" s="25"/>
      <c r="G14" s="105"/>
      <c r="H14" s="45" t="s">
        <v>430</v>
      </c>
      <c r="I14" s="103">
        <v>27</v>
      </c>
      <c r="J14" s="103">
        <v>4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x14ac:dyDescent="0.2">
      <c r="A15" s="11"/>
      <c r="B15" s="21">
        <v>46235</v>
      </c>
      <c r="C15" s="22">
        <v>543</v>
      </c>
      <c r="D15" s="37">
        <v>640</v>
      </c>
      <c r="E15" s="14">
        <f t="shared" si="0"/>
        <v>0.84843749999999996</v>
      </c>
      <c r="F15" s="26"/>
      <c r="G15" s="104"/>
      <c r="H15" s="42"/>
      <c r="I15" s="103">
        <v>27</v>
      </c>
      <c r="J15" s="103">
        <v>4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x14ac:dyDescent="0.2">
      <c r="A16" s="11"/>
      <c r="B16" s="17">
        <v>46266</v>
      </c>
      <c r="C16" s="25"/>
      <c r="D16" s="38">
        <f>IF(OR(I16="",J16=""),"",(DAY(EOMONTH(B16,0))-J16)*I16)</f>
        <v>702</v>
      </c>
      <c r="E16" s="19" t="str">
        <f t="shared" si="0"/>
        <v/>
      </c>
      <c r="F16" s="25"/>
      <c r="G16" s="105"/>
      <c r="H16" s="45" t="s">
        <v>431</v>
      </c>
      <c r="I16" s="103">
        <v>27</v>
      </c>
      <c r="J16" s="103">
        <v>4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x14ac:dyDescent="0.2">
      <c r="A17" s="11"/>
      <c r="B17" s="21">
        <v>46296</v>
      </c>
      <c r="C17" s="26"/>
      <c r="D17" s="37">
        <f>IF(OR(I17="",J17=""),"",(DAY(EOMONTH(B17,0))-J17)*I17)</f>
        <v>702</v>
      </c>
      <c r="E17" s="23" t="str">
        <f t="shared" si="0"/>
        <v/>
      </c>
      <c r="F17" s="26"/>
      <c r="G17" s="104"/>
      <c r="H17" s="42"/>
      <c r="I17" s="103">
        <v>26</v>
      </c>
      <c r="J17" s="103">
        <v>4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x14ac:dyDescent="0.2">
      <c r="A18" s="11"/>
      <c r="B18" s="17">
        <v>46327</v>
      </c>
      <c r="C18" s="25"/>
      <c r="D18" s="38" t="str">
        <f>IF(OR(I18="",J18=""),"",(DAY(EOMONTH(B18,0))-J18)*I18)</f>
        <v/>
      </c>
      <c r="E18" s="19" t="str">
        <f t="shared" si="0"/>
        <v/>
      </c>
      <c r="F18" s="25"/>
      <c r="G18" s="105"/>
      <c r="H18" s="45"/>
      <c r="I18" s="106"/>
      <c r="J18" s="106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x14ac:dyDescent="0.2">
      <c r="A19" s="11"/>
      <c r="B19" s="21">
        <v>46357</v>
      </c>
      <c r="C19" s="26"/>
      <c r="D19" s="37">
        <f>IF(OR(I19="",J19=""),"",(DAY(EOMONTH(B19,0))-J19)*I19)</f>
        <v>729</v>
      </c>
      <c r="E19" s="23" t="str">
        <f t="shared" si="0"/>
        <v/>
      </c>
      <c r="F19" s="26"/>
      <c r="G19" s="104"/>
      <c r="H19" s="42"/>
      <c r="I19" s="103">
        <v>27</v>
      </c>
      <c r="J19" s="103">
        <v>4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x14ac:dyDescent="0.2">
      <c r="A20" s="11"/>
      <c r="B20" s="9" t="s">
        <v>134</v>
      </c>
      <c r="C20" s="29">
        <f>IFERROR(AVERAGE(C8:C19),"")</f>
        <v>552.875</v>
      </c>
      <c r="D20" s="29">
        <f>IFERROR(AVERAGE(D8:D19),"")</f>
        <v>666.5454545454545</v>
      </c>
      <c r="E20" s="28">
        <f>IFERROR(AVERAGE(E8:E19),"")</f>
        <v>0.8513344702314446</v>
      </c>
      <c r="F20" s="29">
        <f>IFERROR(AVERAGE(F8:F19),"")</f>
        <v>146.66666666666666</v>
      </c>
      <c r="G20" s="81">
        <f>IFERROR(AVERAGE(G8:G19),"")</f>
        <v>48043</v>
      </c>
      <c r="H20" s="9"/>
      <c r="I20" s="107"/>
      <c r="J20" s="107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</sheetData>
  <mergeCells count="1">
    <mergeCell ref="A1:O1"/>
  </mergeCells>
  <printOptions horizontalCentered="1"/>
  <pageMargins left="0.4" right="0.4" top="0.5" bottom="0.5" header="0.3" footer="0.3"/>
  <pageSetup fitToHeight="0" orientation="landscape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59E0B"/>
    <pageSetUpPr fitToPage="1"/>
  </sheetPr>
  <dimension ref="A1:P49"/>
  <sheetViews>
    <sheetView showGridLines="0" topLeftCell="A3" zoomScale="90" workbookViewId="0">
      <pane xSplit="2" ySplit="4" topLeftCell="C7" activePane="bottomRight" state="frozen"/>
      <selection pane="topRight"/>
      <selection pane="bottomLeft"/>
      <selection pane="bottomRight" activeCell="E13" sqref="E13"/>
    </sheetView>
  </sheetViews>
  <sheetFormatPr defaultRowHeight="14.25" x14ac:dyDescent="0.2"/>
  <cols>
    <col min="1" max="1" width="2" customWidth="1"/>
    <col min="2" max="2" width="26" customWidth="1"/>
    <col min="3" max="4" width="12" customWidth="1"/>
    <col min="5" max="8" width="16" customWidth="1"/>
  </cols>
  <sheetData>
    <row r="1" spans="1:16" ht="33.950000000000003" customHeight="1" x14ac:dyDescent="0.2">
      <c r="A1" s="427" t="s">
        <v>432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</row>
    <row r="2" spans="1:16" ht="20.100000000000001" customHeight="1" x14ac:dyDescent="0.2">
      <c r="A2" s="11"/>
      <c r="B2" s="11"/>
      <c r="C2" s="11"/>
      <c r="D2" s="11"/>
      <c r="E2" s="11"/>
      <c r="F2" s="11"/>
      <c r="G2" s="11"/>
      <c r="H2" s="11"/>
    </row>
    <row r="3" spans="1:16" ht="26.1" customHeight="1" x14ac:dyDescent="0.2">
      <c r="A3" s="11"/>
      <c r="B3" s="4" t="s">
        <v>191</v>
      </c>
      <c r="C3" s="4" t="s">
        <v>433</v>
      </c>
      <c r="D3" s="4"/>
      <c r="E3" s="4"/>
      <c r="F3" s="4" t="s">
        <v>434</v>
      </c>
      <c r="G3" s="4" t="s">
        <v>435</v>
      </c>
      <c r="H3" s="4" t="s">
        <v>436</v>
      </c>
    </row>
    <row r="4" spans="1:16" ht="30" customHeight="1" x14ac:dyDescent="0.2">
      <c r="A4" s="11"/>
      <c r="B4" s="4" t="s">
        <v>191</v>
      </c>
      <c r="C4" s="4" t="s">
        <v>437</v>
      </c>
      <c r="D4" s="4" t="s">
        <v>438</v>
      </c>
      <c r="E4" s="4" t="s">
        <v>439</v>
      </c>
      <c r="F4" s="4" t="s">
        <v>440</v>
      </c>
      <c r="G4" s="4" t="s">
        <v>441</v>
      </c>
      <c r="H4" s="4" t="s">
        <v>442</v>
      </c>
    </row>
    <row r="5" spans="1:16" ht="20.100000000000001" customHeight="1" x14ac:dyDescent="0.2">
      <c r="A5" s="11"/>
      <c r="B5" s="12" t="s">
        <v>201</v>
      </c>
      <c r="C5" s="13">
        <v>469</v>
      </c>
      <c r="D5" s="13">
        <v>515</v>
      </c>
      <c r="E5" s="50">
        <f>C5+D5</f>
        <v>984</v>
      </c>
      <c r="F5" s="13">
        <v>322</v>
      </c>
      <c r="G5" s="50">
        <f>50/12</f>
        <v>4.166666666666667</v>
      </c>
      <c r="H5" s="65">
        <f>66/12</f>
        <v>5.5</v>
      </c>
    </row>
    <row r="6" spans="1:16" x14ac:dyDescent="0.2">
      <c r="A6" s="11"/>
      <c r="B6" s="12" t="s">
        <v>145</v>
      </c>
      <c r="C6" s="13">
        <v>678.81799999999896</v>
      </c>
      <c r="D6" s="13">
        <v>309.81799999999902</v>
      </c>
      <c r="E6" s="50">
        <f>C6+D6</f>
        <v>988.63599999999792</v>
      </c>
      <c r="F6" s="13">
        <v>333</v>
      </c>
      <c r="G6" s="13">
        <v>42</v>
      </c>
      <c r="H6" s="16">
        <v>37</v>
      </c>
    </row>
    <row r="7" spans="1:16" x14ac:dyDescent="0.2">
      <c r="A7" s="11"/>
      <c r="B7" s="12" t="s">
        <v>139</v>
      </c>
      <c r="C7" s="13">
        <v>352.27272727272702</v>
      </c>
      <c r="D7" s="13">
        <v>142</v>
      </c>
      <c r="E7" s="50">
        <f>C7+D7</f>
        <v>494.27272727272702</v>
      </c>
      <c r="F7" s="13">
        <v>178</v>
      </c>
      <c r="G7" s="13">
        <v>21</v>
      </c>
      <c r="H7" s="16">
        <v>27.25</v>
      </c>
    </row>
    <row r="8" spans="1:16" x14ac:dyDescent="0.2">
      <c r="A8" s="11"/>
      <c r="B8" s="17">
        <v>46023</v>
      </c>
      <c r="C8" s="55">
        <v>4325</v>
      </c>
      <c r="D8" s="55">
        <v>0</v>
      </c>
      <c r="E8" s="51">
        <f>IF(COUNT(C8:D8)=0,"",SUM(C8:D8))</f>
        <v>4325</v>
      </c>
      <c r="F8" s="55">
        <v>1523</v>
      </c>
      <c r="G8" s="55">
        <v>10</v>
      </c>
      <c r="H8" s="94">
        <v>1.0729166666666701</v>
      </c>
    </row>
    <row r="9" spans="1:16" x14ac:dyDescent="0.2">
      <c r="A9" s="11"/>
      <c r="B9" s="21">
        <v>46054</v>
      </c>
      <c r="C9" s="90">
        <v>770</v>
      </c>
      <c r="D9" s="90">
        <v>0</v>
      </c>
      <c r="E9" s="52">
        <f>IF(COUNT(C9:D9)=0,"",SUM(C9:D9))</f>
        <v>770</v>
      </c>
      <c r="F9" s="90">
        <v>266</v>
      </c>
      <c r="G9" s="90">
        <v>7</v>
      </c>
      <c r="H9" s="63">
        <v>0.22222222222222099</v>
      </c>
    </row>
    <row r="10" spans="1:16" x14ac:dyDescent="0.2">
      <c r="A10" s="11"/>
      <c r="B10" s="17">
        <v>46082</v>
      </c>
      <c r="C10" s="90">
        <v>44</v>
      </c>
      <c r="D10" s="90">
        <v>0</v>
      </c>
      <c r="E10" s="90">
        <v>17</v>
      </c>
      <c r="F10" s="90">
        <v>8735</v>
      </c>
      <c r="G10" s="90">
        <v>11</v>
      </c>
      <c r="H10" s="90">
        <v>8.3000000000000007</v>
      </c>
    </row>
    <row r="11" spans="1:16" x14ac:dyDescent="0.2">
      <c r="A11" s="11"/>
      <c r="B11" s="21">
        <v>46113</v>
      </c>
      <c r="C11" s="90">
        <v>86</v>
      </c>
      <c r="D11" s="90">
        <v>45</v>
      </c>
      <c r="E11" s="90">
        <v>22</v>
      </c>
      <c r="F11" s="90">
        <v>17490</v>
      </c>
      <c r="G11" s="90">
        <v>4</v>
      </c>
      <c r="H11" s="90">
        <v>0.55000000000000004</v>
      </c>
    </row>
    <row r="12" spans="1:16" x14ac:dyDescent="0.2">
      <c r="A12" s="11"/>
      <c r="B12" s="17">
        <v>46143</v>
      </c>
      <c r="C12" s="90">
        <v>88</v>
      </c>
      <c r="D12" s="90">
        <v>0</v>
      </c>
      <c r="E12" s="90">
        <v>44</v>
      </c>
      <c r="F12" s="90">
        <v>17820</v>
      </c>
      <c r="G12" s="90">
        <v>2</v>
      </c>
      <c r="H12" s="90">
        <v>6.25</v>
      </c>
    </row>
    <row r="13" spans="1:16" x14ac:dyDescent="0.2">
      <c r="A13" s="11"/>
      <c r="B13" s="21">
        <v>46174</v>
      </c>
      <c r="C13" s="90">
        <v>60</v>
      </c>
      <c r="D13" s="90">
        <v>0</v>
      </c>
      <c r="E13" s="90">
        <v>26</v>
      </c>
      <c r="F13" s="90">
        <v>12010</v>
      </c>
      <c r="G13" s="90">
        <v>5</v>
      </c>
      <c r="H13" s="90">
        <v>1.45</v>
      </c>
    </row>
    <row r="14" spans="1:16" x14ac:dyDescent="0.2">
      <c r="A14" s="11"/>
      <c r="B14" s="17">
        <v>46204</v>
      </c>
      <c r="C14" s="90">
        <v>78</v>
      </c>
      <c r="D14" s="90">
        <v>0</v>
      </c>
      <c r="E14" s="90">
        <v>56</v>
      </c>
      <c r="F14" s="90">
        <v>16390</v>
      </c>
      <c r="G14" s="90">
        <v>1</v>
      </c>
      <c r="H14" s="90">
        <v>0.15</v>
      </c>
    </row>
    <row r="15" spans="1:16" x14ac:dyDescent="0.2">
      <c r="A15" s="11"/>
      <c r="B15" s="21">
        <v>46235</v>
      </c>
      <c r="C15" s="90">
        <v>50</v>
      </c>
      <c r="D15" s="90">
        <v>100</v>
      </c>
      <c r="E15" s="90">
        <v>11</v>
      </c>
      <c r="F15" s="90">
        <v>11435</v>
      </c>
      <c r="G15" s="90">
        <v>1</v>
      </c>
      <c r="H15" s="90">
        <v>0.15</v>
      </c>
    </row>
    <row r="16" spans="1:16" x14ac:dyDescent="0.2">
      <c r="A16" s="11"/>
      <c r="B16" s="17">
        <v>46266</v>
      </c>
      <c r="C16" s="91"/>
      <c r="D16" s="91"/>
      <c r="E16" s="51" t="str">
        <f>IF(COUNT(C16:D16)=0,"",SUM(C16:D16))</f>
        <v/>
      </c>
      <c r="F16" s="91"/>
      <c r="G16" s="91"/>
      <c r="H16" s="93"/>
    </row>
    <row r="17" spans="1:8" x14ac:dyDescent="0.2">
      <c r="A17" s="11"/>
      <c r="B17" s="21">
        <v>46296</v>
      </c>
      <c r="C17" s="88"/>
      <c r="D17" s="88"/>
      <c r="E17" s="52" t="str">
        <f>IF(COUNT(C17:D17)=0,"",SUM(C17:D17))</f>
        <v/>
      </c>
      <c r="F17" s="88"/>
      <c r="G17" s="88"/>
      <c r="H17" s="87"/>
    </row>
    <row r="18" spans="1:8" x14ac:dyDescent="0.2">
      <c r="A18" s="11"/>
      <c r="B18" s="17">
        <v>46327</v>
      </c>
      <c r="C18" s="91"/>
      <c r="D18" s="91"/>
      <c r="E18" s="51" t="str">
        <f>IF(COUNT(C18:D18)=0,"",SUM(C18:D18))</f>
        <v/>
      </c>
      <c r="F18" s="91"/>
      <c r="G18" s="91"/>
      <c r="H18" s="93"/>
    </row>
    <row r="19" spans="1:8" x14ac:dyDescent="0.2">
      <c r="A19" s="11"/>
      <c r="B19" s="21">
        <v>46357</v>
      </c>
      <c r="C19" s="88"/>
      <c r="D19" s="88"/>
      <c r="E19" s="52" t="str">
        <f>IF(COUNT(C19:D19)=0,"",SUM(C19:D19))</f>
        <v/>
      </c>
      <c r="F19" s="88"/>
      <c r="G19" s="88"/>
      <c r="H19" s="87"/>
    </row>
    <row r="20" spans="1:8" x14ac:dyDescent="0.2">
      <c r="A20" s="11"/>
      <c r="B20" s="9" t="s">
        <v>134</v>
      </c>
      <c r="C20" s="27">
        <f t="shared" ref="C20:H20" si="0">IFERROR(AVERAGE(C8:C19),"")</f>
        <v>687.625</v>
      </c>
      <c r="D20" s="27">
        <f t="shared" si="0"/>
        <v>18.125</v>
      </c>
      <c r="E20" s="27">
        <f t="shared" si="0"/>
        <v>658.875</v>
      </c>
      <c r="F20" s="27">
        <f t="shared" si="0"/>
        <v>10708.625</v>
      </c>
      <c r="G20" s="27">
        <f t="shared" si="0"/>
        <v>5.125</v>
      </c>
      <c r="H20" s="30">
        <f t="shared" si="0"/>
        <v>2.2681423611111113</v>
      </c>
    </row>
    <row r="21" spans="1:8" x14ac:dyDescent="0.2">
      <c r="A21" s="11"/>
      <c r="B21" s="9" t="s">
        <v>307</v>
      </c>
      <c r="C21" s="27">
        <f t="shared" ref="C21:H21" si="1">SUM(C8:C19)</f>
        <v>5501</v>
      </c>
      <c r="D21" s="27">
        <f t="shared" si="1"/>
        <v>145</v>
      </c>
      <c r="E21" s="27">
        <f t="shared" si="1"/>
        <v>5271</v>
      </c>
      <c r="F21" s="27">
        <f t="shared" si="1"/>
        <v>85669</v>
      </c>
      <c r="G21" s="27">
        <f t="shared" si="1"/>
        <v>41</v>
      </c>
      <c r="H21" s="30">
        <f t="shared" si="1"/>
        <v>18.145138888888891</v>
      </c>
    </row>
    <row r="22" spans="1:8" x14ac:dyDescent="0.2">
      <c r="A22" s="11"/>
      <c r="B22" s="11"/>
      <c r="C22" s="11"/>
      <c r="D22" s="11"/>
      <c r="E22" s="11"/>
      <c r="F22" s="11"/>
      <c r="G22" s="11"/>
      <c r="H22" s="11"/>
    </row>
    <row r="23" spans="1:8" x14ac:dyDescent="0.2">
      <c r="A23" s="11"/>
      <c r="B23" s="11"/>
      <c r="C23" s="11"/>
      <c r="D23" s="11"/>
      <c r="E23" s="11"/>
      <c r="F23" s="11"/>
      <c r="G23" s="11"/>
      <c r="H23" s="11"/>
    </row>
    <row r="24" spans="1:8" x14ac:dyDescent="0.2">
      <c r="A24" s="11"/>
      <c r="B24" s="11"/>
      <c r="C24" s="11"/>
      <c r="D24" s="11"/>
      <c r="E24" s="11"/>
      <c r="F24" s="11"/>
      <c r="G24" s="11"/>
      <c r="H24" s="11"/>
    </row>
    <row r="25" spans="1:8" x14ac:dyDescent="0.2">
      <c r="A25" s="11"/>
      <c r="B25" s="11"/>
      <c r="C25" s="11"/>
      <c r="D25" s="11"/>
      <c r="E25" s="11"/>
      <c r="F25" s="11"/>
      <c r="G25" s="11"/>
      <c r="H25" s="11"/>
    </row>
    <row r="26" spans="1:8" x14ac:dyDescent="0.2">
      <c r="A26" s="11"/>
      <c r="B26" s="11"/>
      <c r="C26" s="11"/>
      <c r="D26" s="11"/>
      <c r="E26" s="11"/>
      <c r="F26" s="11"/>
      <c r="G26" s="11"/>
      <c r="H26" s="11"/>
    </row>
    <row r="27" spans="1:8" x14ac:dyDescent="0.2">
      <c r="A27" s="11"/>
      <c r="B27" s="11"/>
      <c r="C27" s="11"/>
      <c r="D27" s="11"/>
      <c r="E27" s="11"/>
      <c r="F27" s="11"/>
      <c r="G27" s="11"/>
      <c r="H27" s="11"/>
    </row>
    <row r="28" spans="1:8" x14ac:dyDescent="0.2">
      <c r="A28" s="11"/>
      <c r="B28" s="11"/>
      <c r="C28" s="11"/>
      <c r="D28" s="11"/>
      <c r="E28" s="11"/>
      <c r="F28" s="11"/>
      <c r="G28" s="11"/>
      <c r="H28" s="11"/>
    </row>
    <row r="29" spans="1:8" x14ac:dyDescent="0.2">
      <c r="A29" s="11"/>
      <c r="B29" s="11"/>
      <c r="C29" s="11"/>
      <c r="D29" s="11"/>
      <c r="E29" s="11"/>
      <c r="F29" s="11"/>
      <c r="G29" s="11"/>
      <c r="H29" s="11"/>
    </row>
    <row r="30" spans="1:8" x14ac:dyDescent="0.2">
      <c r="A30" s="11"/>
      <c r="B30" s="11"/>
      <c r="C30" s="11"/>
      <c r="D30" s="11"/>
      <c r="E30" s="11"/>
      <c r="F30" s="11"/>
      <c r="G30" s="11"/>
      <c r="H30" s="11"/>
    </row>
    <row r="31" spans="1:8" x14ac:dyDescent="0.2">
      <c r="A31" s="11"/>
      <c r="B31" s="11"/>
      <c r="C31" s="11"/>
      <c r="D31" s="11"/>
      <c r="E31" s="11"/>
      <c r="F31" s="11"/>
      <c r="G31" s="11"/>
      <c r="H31" s="11"/>
    </row>
    <row r="32" spans="1:8" x14ac:dyDescent="0.2">
      <c r="A32" s="11"/>
      <c r="B32" s="11"/>
      <c r="C32" s="11"/>
      <c r="D32" s="11"/>
      <c r="E32" s="11"/>
      <c r="F32" s="11"/>
      <c r="G32" s="11"/>
      <c r="H32" s="11"/>
    </row>
    <row r="33" spans="1:8" x14ac:dyDescent="0.2">
      <c r="A33" s="11"/>
      <c r="B33" s="11"/>
      <c r="C33" s="11"/>
      <c r="D33" s="11"/>
      <c r="E33" s="11"/>
      <c r="F33" s="11"/>
      <c r="G33" s="11"/>
      <c r="H33" s="11"/>
    </row>
    <row r="34" spans="1:8" x14ac:dyDescent="0.2">
      <c r="A34" s="11"/>
      <c r="B34" s="11"/>
      <c r="C34" s="11"/>
      <c r="D34" s="11"/>
      <c r="E34" s="11"/>
      <c r="F34" s="11"/>
      <c r="G34" s="11"/>
      <c r="H34" s="11"/>
    </row>
    <row r="35" spans="1:8" x14ac:dyDescent="0.2">
      <c r="A35" s="11"/>
      <c r="B35" s="11"/>
      <c r="C35" s="11"/>
      <c r="D35" s="11"/>
      <c r="E35" s="11"/>
      <c r="F35" s="11"/>
      <c r="G35" s="11"/>
      <c r="H35" s="11"/>
    </row>
    <row r="36" spans="1:8" x14ac:dyDescent="0.2">
      <c r="A36" s="11"/>
      <c r="B36" s="11"/>
      <c r="C36" s="11"/>
      <c r="D36" s="11"/>
      <c r="E36" s="11"/>
      <c r="F36" s="11"/>
      <c r="G36" s="11"/>
      <c r="H36" s="11"/>
    </row>
    <row r="37" spans="1:8" x14ac:dyDescent="0.2">
      <c r="A37" s="11"/>
      <c r="B37" s="11"/>
      <c r="C37" s="11"/>
      <c r="D37" s="11"/>
      <c r="E37" s="11"/>
      <c r="F37" s="11"/>
      <c r="G37" s="11"/>
      <c r="H37" s="11"/>
    </row>
    <row r="38" spans="1:8" x14ac:dyDescent="0.2">
      <c r="A38" s="11"/>
      <c r="B38" s="11"/>
      <c r="C38" s="11"/>
      <c r="D38" s="11"/>
      <c r="E38" s="11"/>
      <c r="F38" s="11"/>
      <c r="G38" s="11"/>
      <c r="H38" s="11"/>
    </row>
    <row r="39" spans="1:8" x14ac:dyDescent="0.2">
      <c r="A39" s="11"/>
      <c r="B39" s="11"/>
      <c r="C39" s="11"/>
      <c r="D39" s="11"/>
      <c r="E39" s="11"/>
      <c r="F39" s="11"/>
      <c r="G39" s="11"/>
      <c r="H39" s="11"/>
    </row>
    <row r="40" spans="1:8" x14ac:dyDescent="0.2">
      <c r="A40" s="11"/>
      <c r="B40" s="11"/>
      <c r="C40" s="11"/>
      <c r="D40" s="11"/>
      <c r="E40" s="11"/>
      <c r="F40" s="11"/>
      <c r="G40" s="11"/>
      <c r="H40" s="11"/>
    </row>
    <row r="41" spans="1:8" x14ac:dyDescent="0.2">
      <c r="A41" s="11"/>
      <c r="B41" s="11"/>
      <c r="C41" s="11"/>
      <c r="D41" s="11"/>
      <c r="E41" s="11"/>
      <c r="F41" s="11"/>
      <c r="G41" s="11"/>
      <c r="H41" s="11"/>
    </row>
    <row r="42" spans="1:8" x14ac:dyDescent="0.2">
      <c r="A42" s="11"/>
      <c r="B42" s="11"/>
      <c r="C42" s="11"/>
      <c r="D42" s="11"/>
      <c r="E42" s="11"/>
      <c r="F42" s="11"/>
      <c r="G42" s="11"/>
      <c r="H42" s="11"/>
    </row>
    <row r="43" spans="1:8" ht="21.95" customHeight="1" x14ac:dyDescent="0.2">
      <c r="A43" s="11"/>
      <c r="B43" s="4"/>
      <c r="C43" s="46">
        <v>45689</v>
      </c>
      <c r="D43" s="46">
        <v>46054</v>
      </c>
      <c r="E43" s="11"/>
      <c r="F43" s="11"/>
      <c r="G43" s="11"/>
      <c r="H43" s="11"/>
    </row>
    <row r="44" spans="1:8" x14ac:dyDescent="0.2">
      <c r="A44" s="11"/>
      <c r="B44" s="5" t="s">
        <v>437</v>
      </c>
      <c r="C44" s="90">
        <v>34</v>
      </c>
      <c r="D44" s="52">
        <f>C9</f>
        <v>770</v>
      </c>
      <c r="E44" s="11"/>
      <c r="F44" s="11"/>
      <c r="G44" s="11"/>
      <c r="H44" s="11"/>
    </row>
    <row r="45" spans="1:8" x14ac:dyDescent="0.2">
      <c r="A45" s="11"/>
      <c r="B45" s="7" t="s">
        <v>438</v>
      </c>
      <c r="C45" s="55">
        <v>0</v>
      </c>
      <c r="D45" s="51">
        <f>D9</f>
        <v>0</v>
      </c>
      <c r="E45" s="11"/>
      <c r="F45" s="11"/>
      <c r="G45" s="11"/>
      <c r="H45" s="11"/>
    </row>
    <row r="46" spans="1:8" ht="38.25" customHeight="1" x14ac:dyDescent="0.2">
      <c r="A46" s="11"/>
      <c r="B46" s="5" t="s">
        <v>443</v>
      </c>
      <c r="C46" s="52">
        <f>C44+C45</f>
        <v>34</v>
      </c>
      <c r="D46" s="52">
        <f>D45+D44</f>
        <v>770</v>
      </c>
      <c r="E46" s="11"/>
      <c r="F46" s="11"/>
      <c r="G46" s="11"/>
      <c r="H46" s="11"/>
    </row>
    <row r="47" spans="1:8" ht="51" customHeight="1" x14ac:dyDescent="0.2">
      <c r="A47" s="11"/>
      <c r="B47" s="7" t="s">
        <v>434</v>
      </c>
      <c r="C47" s="55">
        <v>25</v>
      </c>
      <c r="D47" s="51">
        <f>F9</f>
        <v>266</v>
      </c>
      <c r="E47" s="11"/>
      <c r="F47" s="11"/>
      <c r="G47" s="11"/>
      <c r="H47" s="11"/>
    </row>
    <row r="48" spans="1:8" x14ac:dyDescent="0.2">
      <c r="A48" s="11"/>
      <c r="B48" s="11"/>
      <c r="C48" s="11"/>
      <c r="D48" s="11"/>
      <c r="E48" s="11"/>
      <c r="F48" s="11"/>
      <c r="G48" s="11"/>
      <c r="H48" s="11"/>
    </row>
    <row r="49" spans="1:8" x14ac:dyDescent="0.2">
      <c r="A49" s="11"/>
      <c r="B49" s="11"/>
      <c r="C49" s="11"/>
      <c r="D49" s="11"/>
      <c r="E49" s="11"/>
      <c r="F49" s="11"/>
      <c r="G49" s="11"/>
      <c r="H49" s="11"/>
    </row>
  </sheetData>
  <mergeCells count="1">
    <mergeCell ref="A1:P1"/>
  </mergeCells>
  <printOptions horizontalCentered="1"/>
  <pageMargins left="0.4" right="0.4" top="0.5" bottom="0.5" header="0.3" footer="0.3"/>
  <pageSetup fitToHeight="0" orientation="landscape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4B8A6"/>
    <pageSetUpPr fitToPage="1"/>
  </sheetPr>
  <dimension ref="A1:M60"/>
  <sheetViews>
    <sheetView showGridLines="0" zoomScale="90" workbookViewId="0">
      <pane xSplit="3" ySplit="1" topLeftCell="D30" activePane="bottomRight" state="frozen"/>
      <selection pane="topRight"/>
      <selection pane="bottomLeft"/>
      <selection pane="bottomRight" activeCell="A43" sqref="A43"/>
    </sheetView>
  </sheetViews>
  <sheetFormatPr defaultColWidth="7.875" defaultRowHeight="14.25" x14ac:dyDescent="0.2"/>
  <cols>
    <col min="1" max="1" width="34" customWidth="1"/>
    <col min="2" max="2" width="12" style="2" customWidth="1"/>
    <col min="3" max="3" width="16" style="2" customWidth="1"/>
    <col min="4" max="4" width="11" style="2" customWidth="1"/>
    <col min="5" max="13" width="11" customWidth="1"/>
    <col min="14" max="14" width="10" customWidth="1"/>
    <col min="1003" max="1003" width="11" customWidth="1"/>
    <col min="10003" max="10003" width="12" customWidth="1"/>
  </cols>
  <sheetData>
    <row r="1" spans="1:13" ht="30" customHeight="1" x14ac:dyDescent="0.2">
      <c r="A1" s="4" t="s">
        <v>444</v>
      </c>
      <c r="B1" s="4" t="s">
        <v>445</v>
      </c>
      <c r="C1" s="4" t="s">
        <v>446</v>
      </c>
      <c r="D1" s="4" t="s">
        <v>447</v>
      </c>
      <c r="E1" s="4" t="s">
        <v>448</v>
      </c>
      <c r="F1" s="4" t="s">
        <v>449</v>
      </c>
      <c r="G1" s="4" t="s">
        <v>450</v>
      </c>
      <c r="H1" s="4" t="s">
        <v>451</v>
      </c>
      <c r="I1" s="4" t="s">
        <v>452</v>
      </c>
      <c r="J1" s="4" t="s">
        <v>453</v>
      </c>
      <c r="K1" s="4" t="s">
        <v>454</v>
      </c>
      <c r="L1" s="4" t="s">
        <v>455</v>
      </c>
      <c r="M1" s="4" t="s">
        <v>456</v>
      </c>
    </row>
    <row r="2" spans="1:13" s="11" customFormat="1" ht="15" customHeight="1" x14ac:dyDescent="0.2">
      <c r="A2" s="5"/>
      <c r="B2" s="42"/>
      <c r="C2" s="42"/>
      <c r="D2" s="89">
        <v>46235</v>
      </c>
      <c r="E2" s="89">
        <v>46235</v>
      </c>
      <c r="F2" s="89">
        <v>46235</v>
      </c>
      <c r="G2" s="89">
        <v>46235</v>
      </c>
      <c r="H2" s="89">
        <v>46235</v>
      </c>
      <c r="I2" s="89">
        <v>46235</v>
      </c>
      <c r="J2" s="89">
        <v>46235</v>
      </c>
      <c r="K2" s="89">
        <v>46235</v>
      </c>
      <c r="L2" s="89">
        <v>46235</v>
      </c>
      <c r="M2" s="89">
        <v>46235</v>
      </c>
    </row>
    <row r="3" spans="1:13" s="11" customFormat="1" ht="15" customHeight="1" x14ac:dyDescent="0.2">
      <c r="A3" s="108" t="s">
        <v>457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</row>
    <row r="4" spans="1:13" s="11" customFormat="1" ht="12.75" customHeight="1" x14ac:dyDescent="0.2">
      <c r="A4" s="5" t="s">
        <v>458</v>
      </c>
      <c r="B4" s="42" t="s">
        <v>459</v>
      </c>
      <c r="C4" s="109">
        <v>5</v>
      </c>
      <c r="D4" s="42" t="s">
        <v>460</v>
      </c>
      <c r="E4" s="42" t="s">
        <v>460</v>
      </c>
      <c r="F4" s="42" t="s">
        <v>460</v>
      </c>
      <c r="G4" s="42" t="s">
        <v>460</v>
      </c>
      <c r="H4" s="42" t="s">
        <v>460</v>
      </c>
      <c r="I4" s="42" t="s">
        <v>460</v>
      </c>
      <c r="J4" s="42" t="s">
        <v>460</v>
      </c>
      <c r="K4" s="42" t="s">
        <v>460</v>
      </c>
      <c r="L4" s="42" t="s">
        <v>460</v>
      </c>
      <c r="M4" s="42" t="s">
        <v>460</v>
      </c>
    </row>
    <row r="5" spans="1:13" s="11" customFormat="1" ht="12.75" customHeight="1" x14ac:dyDescent="0.2">
      <c r="A5" s="7" t="s">
        <v>461</v>
      </c>
      <c r="B5" s="45" t="s">
        <v>462</v>
      </c>
      <c r="C5" s="110">
        <v>1</v>
      </c>
      <c r="D5" s="110"/>
      <c r="E5" s="110"/>
      <c r="F5" s="45"/>
      <c r="G5" s="110"/>
      <c r="H5" s="110"/>
      <c r="I5" s="110"/>
      <c r="J5" s="110"/>
      <c r="K5" s="110">
        <v>912</v>
      </c>
      <c r="L5" s="110"/>
      <c r="M5" s="11">
        <v>840</v>
      </c>
    </row>
    <row r="6" spans="1:13" s="11" customFormat="1" ht="12.75" customHeight="1" x14ac:dyDescent="0.2">
      <c r="A6" s="5" t="s">
        <v>463</v>
      </c>
      <c r="B6" s="42"/>
      <c r="C6" s="42" t="s">
        <v>464</v>
      </c>
      <c r="D6" s="109"/>
      <c r="E6" s="109"/>
      <c r="F6" s="109"/>
      <c r="G6" s="109"/>
      <c r="H6" s="109"/>
      <c r="I6" s="109"/>
      <c r="J6" s="109"/>
      <c r="K6" s="109">
        <v>360</v>
      </c>
      <c r="L6" s="109"/>
      <c r="M6" s="109">
        <v>150</v>
      </c>
    </row>
    <row r="7" spans="1:13" s="11" customFormat="1" ht="12.75" customHeight="1" x14ac:dyDescent="0.2">
      <c r="A7" s="7" t="s">
        <v>465</v>
      </c>
      <c r="B7" s="45" t="s">
        <v>466</v>
      </c>
      <c r="C7" s="45" t="s">
        <v>467</v>
      </c>
      <c r="D7" s="110"/>
      <c r="E7" s="110"/>
      <c r="F7" s="110"/>
      <c r="G7" s="110"/>
      <c r="H7" s="110"/>
      <c r="I7" s="110"/>
      <c r="J7" s="110"/>
      <c r="K7" s="110">
        <v>380</v>
      </c>
      <c r="L7" s="110"/>
      <c r="M7" s="110">
        <v>180</v>
      </c>
    </row>
    <row r="8" spans="1:13" s="11" customFormat="1" ht="15" customHeight="1" x14ac:dyDescent="0.2">
      <c r="A8" s="108" t="s">
        <v>468</v>
      </c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</row>
    <row r="9" spans="1:13" s="11" customFormat="1" ht="12.75" customHeight="1" x14ac:dyDescent="0.2">
      <c r="A9" s="7" t="s">
        <v>469</v>
      </c>
      <c r="B9" s="45" t="s">
        <v>470</v>
      </c>
      <c r="C9" s="110">
        <v>500</v>
      </c>
      <c r="D9" s="110"/>
      <c r="E9" s="110"/>
      <c r="F9" s="110"/>
      <c r="G9" s="110"/>
      <c r="H9" s="110"/>
      <c r="I9" s="110"/>
      <c r="J9" s="110"/>
      <c r="K9" s="110">
        <v>86.4</v>
      </c>
      <c r="L9" s="110"/>
      <c r="M9" s="110">
        <v>36</v>
      </c>
    </row>
    <row r="10" spans="1:13" s="11" customFormat="1" ht="12.75" customHeight="1" x14ac:dyDescent="0.2">
      <c r="A10" s="5" t="s">
        <v>471</v>
      </c>
      <c r="B10" s="42" t="s">
        <v>470</v>
      </c>
      <c r="C10" s="109">
        <v>200</v>
      </c>
      <c r="D10" s="109"/>
      <c r="E10" s="109"/>
      <c r="F10" s="109"/>
      <c r="G10" s="109"/>
      <c r="H10" s="109"/>
      <c r="I10" s="109"/>
      <c r="J10" s="109"/>
      <c r="K10" s="109">
        <v>34.6</v>
      </c>
      <c r="L10" s="109"/>
      <c r="M10" s="109">
        <v>14.4</v>
      </c>
    </row>
    <row r="11" spans="1:13" s="11" customFormat="1" ht="12.75" customHeight="1" x14ac:dyDescent="0.2">
      <c r="A11" s="7" t="s">
        <v>472</v>
      </c>
      <c r="B11" s="45" t="s">
        <v>470</v>
      </c>
      <c r="C11" s="45" t="s">
        <v>467</v>
      </c>
      <c r="D11" s="45"/>
      <c r="E11" s="45"/>
      <c r="F11" s="45"/>
      <c r="G11" s="45"/>
      <c r="H11" s="45"/>
      <c r="I11" s="45"/>
      <c r="J11" s="45"/>
      <c r="K11" s="45">
        <v>62.3</v>
      </c>
      <c r="L11" s="45"/>
      <c r="M11" s="45">
        <v>56.8</v>
      </c>
    </row>
    <row r="12" spans="1:13" s="11" customFormat="1" ht="12.75" customHeight="1" x14ac:dyDescent="0.2">
      <c r="A12" s="5" t="s">
        <v>473</v>
      </c>
      <c r="B12" s="42" t="s">
        <v>470</v>
      </c>
      <c r="C12" s="109">
        <v>200</v>
      </c>
      <c r="D12" s="109"/>
      <c r="E12" s="109"/>
      <c r="F12" s="109"/>
      <c r="G12" s="109"/>
      <c r="H12" s="109"/>
      <c r="I12" s="109"/>
      <c r="J12" s="109"/>
      <c r="K12" s="109">
        <v>20.3</v>
      </c>
      <c r="L12" s="109"/>
      <c r="M12" s="109">
        <v>19.2</v>
      </c>
    </row>
    <row r="13" spans="1:13" s="11" customFormat="1" ht="12.75" customHeight="1" x14ac:dyDescent="0.2">
      <c r="A13" s="7" t="s">
        <v>474</v>
      </c>
      <c r="B13" s="45" t="s">
        <v>470</v>
      </c>
      <c r="C13" s="110">
        <v>75</v>
      </c>
      <c r="D13" s="110"/>
      <c r="E13" s="110"/>
      <c r="F13" s="110"/>
      <c r="G13" s="110"/>
      <c r="H13" s="110"/>
      <c r="I13" s="110"/>
      <c r="J13" s="110"/>
      <c r="K13" s="110">
        <v>190</v>
      </c>
      <c r="L13" s="110"/>
      <c r="M13" s="110">
        <v>140</v>
      </c>
    </row>
    <row r="14" spans="1:13" s="11" customFormat="1" ht="12.75" customHeight="1" x14ac:dyDescent="0.2">
      <c r="A14" s="5" t="s">
        <v>475</v>
      </c>
      <c r="B14" s="42" t="s">
        <v>470</v>
      </c>
      <c r="C14" s="109">
        <v>30</v>
      </c>
      <c r="D14" s="109"/>
      <c r="E14" s="109"/>
      <c r="F14" s="109"/>
      <c r="G14" s="109"/>
      <c r="H14" s="109"/>
      <c r="I14" s="109"/>
      <c r="J14" s="109"/>
      <c r="K14" s="109">
        <v>52.7</v>
      </c>
      <c r="L14" s="109"/>
      <c r="M14" s="109">
        <v>42.3</v>
      </c>
    </row>
    <row r="15" spans="1:13" s="11" customFormat="1" ht="12.75" customHeight="1" x14ac:dyDescent="0.2">
      <c r="A15" s="7" t="s">
        <v>476</v>
      </c>
      <c r="B15" s="45" t="s">
        <v>470</v>
      </c>
      <c r="C15" s="45" t="s">
        <v>467</v>
      </c>
      <c r="D15" s="110"/>
      <c r="E15" s="110"/>
      <c r="F15" s="110"/>
      <c r="G15" s="110"/>
      <c r="H15" s="110"/>
      <c r="I15" s="110"/>
      <c r="J15" s="110"/>
      <c r="K15" s="110">
        <v>29.8</v>
      </c>
      <c r="L15" s="110"/>
      <c r="M15" s="110">
        <v>26.8</v>
      </c>
    </row>
    <row r="16" spans="1:13" s="11" customFormat="1" ht="12.75" customHeight="1" x14ac:dyDescent="0.2">
      <c r="A16" s="5" t="s">
        <v>477</v>
      </c>
      <c r="B16" s="42" t="s">
        <v>470</v>
      </c>
      <c r="C16" s="42" t="s">
        <v>467</v>
      </c>
      <c r="D16" s="109"/>
      <c r="E16" s="109"/>
      <c r="F16" s="109"/>
      <c r="G16" s="109"/>
      <c r="H16" s="109"/>
      <c r="I16" s="109"/>
      <c r="J16" s="109"/>
      <c r="K16" s="109">
        <v>0.6</v>
      </c>
      <c r="L16" s="109"/>
      <c r="M16" s="109" t="s">
        <v>478</v>
      </c>
    </row>
    <row r="17" spans="1:13" s="11" customFormat="1" ht="12.75" customHeight="1" x14ac:dyDescent="0.2">
      <c r="A17" s="7" t="s">
        <v>479</v>
      </c>
      <c r="B17" s="45" t="s">
        <v>470</v>
      </c>
      <c r="C17" s="110">
        <v>250</v>
      </c>
      <c r="D17" s="110"/>
      <c r="E17" s="110"/>
      <c r="F17" s="110"/>
      <c r="G17" s="110"/>
      <c r="H17" s="110"/>
      <c r="I17" s="110"/>
      <c r="J17" s="110"/>
      <c r="K17" s="110">
        <v>7.0000000000000007E-2</v>
      </c>
      <c r="L17" s="110"/>
      <c r="M17" s="110">
        <v>0.04</v>
      </c>
    </row>
    <row r="18" spans="1:13" s="11" customFormat="1" ht="12.75" customHeight="1" x14ac:dyDescent="0.2">
      <c r="A18" s="5" t="s">
        <v>480</v>
      </c>
      <c r="B18" s="42" t="s">
        <v>470</v>
      </c>
      <c r="C18" s="109">
        <v>200</v>
      </c>
      <c r="D18" s="109"/>
      <c r="E18" s="109"/>
      <c r="F18" s="109"/>
      <c r="G18" s="109"/>
      <c r="H18" s="109"/>
      <c r="I18" s="109"/>
      <c r="J18" s="109"/>
      <c r="K18" s="109">
        <v>1</v>
      </c>
      <c r="L18" s="109"/>
      <c r="M18" s="109">
        <v>1</v>
      </c>
    </row>
    <row r="19" spans="1:13" s="11" customFormat="1" ht="12.75" customHeight="1" x14ac:dyDescent="0.2">
      <c r="A19" s="7" t="s">
        <v>481</v>
      </c>
      <c r="B19" s="45" t="s">
        <v>470</v>
      </c>
      <c r="C19" s="110">
        <v>45</v>
      </c>
      <c r="D19" s="110"/>
      <c r="E19" s="110"/>
      <c r="F19" s="110"/>
      <c r="G19" s="110"/>
      <c r="H19" s="110"/>
      <c r="I19" s="110"/>
      <c r="J19" s="110"/>
      <c r="K19" s="110">
        <v>2.44</v>
      </c>
      <c r="L19" s="110"/>
      <c r="M19" s="110">
        <v>3.11</v>
      </c>
    </row>
    <row r="20" spans="1:13" s="11" customFormat="1" ht="12.75" customHeight="1" x14ac:dyDescent="0.2">
      <c r="A20" s="5" t="s">
        <v>482</v>
      </c>
      <c r="B20" s="42" t="s">
        <v>470</v>
      </c>
      <c r="C20" s="111">
        <v>1</v>
      </c>
      <c r="D20" s="109"/>
      <c r="E20" s="109"/>
      <c r="F20" s="109"/>
      <c r="G20" s="109"/>
      <c r="H20" s="109"/>
      <c r="I20" s="109"/>
      <c r="J20" s="109"/>
      <c r="K20" s="109">
        <v>1.38</v>
      </c>
      <c r="L20" s="109"/>
      <c r="M20" s="109">
        <v>1.35</v>
      </c>
    </row>
    <row r="21" spans="1:13" s="11" customFormat="1" ht="12.75" customHeight="1" x14ac:dyDescent="0.2">
      <c r="A21" s="7" t="s">
        <v>483</v>
      </c>
      <c r="B21" s="45" t="s">
        <v>470</v>
      </c>
      <c r="C21" s="110">
        <v>0.3</v>
      </c>
      <c r="D21" s="110"/>
      <c r="E21" s="110"/>
      <c r="F21" s="110"/>
      <c r="G21" s="110"/>
      <c r="H21" s="110"/>
      <c r="I21" s="110"/>
      <c r="J21" s="110"/>
      <c r="K21" s="110">
        <v>0.02</v>
      </c>
      <c r="L21" s="110"/>
      <c r="M21" s="110">
        <v>0.02</v>
      </c>
    </row>
    <row r="22" spans="1:13" s="11" customFormat="1" ht="12.75" customHeight="1" x14ac:dyDescent="0.2">
      <c r="A22" s="5" t="s">
        <v>484</v>
      </c>
      <c r="B22" s="42" t="s">
        <v>470</v>
      </c>
      <c r="C22" s="42" t="s">
        <v>467</v>
      </c>
      <c r="D22" s="109"/>
      <c r="E22" s="109"/>
      <c r="F22" s="109"/>
      <c r="G22" s="109"/>
      <c r="H22" s="109"/>
      <c r="I22" s="109"/>
      <c r="J22" s="109"/>
      <c r="K22" s="109">
        <v>21.55</v>
      </c>
      <c r="L22" s="109"/>
      <c r="M22" s="109">
        <v>18.14</v>
      </c>
    </row>
    <row r="23" spans="1:13" s="11" customFormat="1" ht="15" customHeight="1" x14ac:dyDescent="0.2">
      <c r="A23" s="108" t="s">
        <v>485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</row>
    <row r="24" spans="1:13" s="11" customFormat="1" ht="12.75" customHeight="1" x14ac:dyDescent="0.2">
      <c r="A24" s="5" t="s">
        <v>486</v>
      </c>
      <c r="B24" s="42" t="s">
        <v>487</v>
      </c>
      <c r="C24" s="42" t="s">
        <v>467</v>
      </c>
      <c r="D24" s="42" t="s">
        <v>488</v>
      </c>
      <c r="E24" s="42" t="s">
        <v>489</v>
      </c>
      <c r="F24" s="42" t="s">
        <v>490</v>
      </c>
      <c r="G24" s="42" t="s">
        <v>488</v>
      </c>
      <c r="H24" s="42" t="s">
        <v>491</v>
      </c>
      <c r="I24" s="42" t="s">
        <v>492</v>
      </c>
      <c r="J24" s="42" t="s">
        <v>493</v>
      </c>
      <c r="K24" s="42" t="s">
        <v>494</v>
      </c>
      <c r="L24" s="42" t="s">
        <v>495</v>
      </c>
      <c r="M24" s="42" t="s">
        <v>496</v>
      </c>
    </row>
    <row r="25" spans="1:13" s="11" customFormat="1" ht="12.75" customHeight="1" x14ac:dyDescent="0.2">
      <c r="A25" s="7" t="s">
        <v>497</v>
      </c>
      <c r="B25" s="45" t="s">
        <v>498</v>
      </c>
      <c r="C25" s="45" t="s">
        <v>499</v>
      </c>
      <c r="D25" s="110">
        <v>3</v>
      </c>
      <c r="E25" s="110">
        <v>2</v>
      </c>
      <c r="F25" s="110">
        <v>2</v>
      </c>
      <c r="G25" s="110">
        <v>2</v>
      </c>
      <c r="H25" s="110">
        <v>6</v>
      </c>
      <c r="I25" s="110">
        <v>2</v>
      </c>
      <c r="J25" s="110">
        <v>2</v>
      </c>
      <c r="K25" s="45" t="s">
        <v>499</v>
      </c>
      <c r="L25" s="110">
        <v>2</v>
      </c>
      <c r="M25" s="110">
        <v>2</v>
      </c>
    </row>
    <row r="26" spans="1:13" s="11" customFormat="1" ht="12.75" customHeight="1" x14ac:dyDescent="0.2">
      <c r="A26" s="5" t="s">
        <v>500</v>
      </c>
      <c r="B26" s="42"/>
      <c r="C26" s="42" t="s">
        <v>501</v>
      </c>
      <c r="D26" s="42" t="s">
        <v>502</v>
      </c>
      <c r="E26" s="42" t="s">
        <v>502</v>
      </c>
      <c r="F26" s="109">
        <v>2</v>
      </c>
      <c r="G26" s="42" t="s">
        <v>502</v>
      </c>
      <c r="H26" s="42" t="s">
        <v>502</v>
      </c>
      <c r="I26" s="42" t="s">
        <v>502</v>
      </c>
      <c r="J26" s="42" t="s">
        <v>502</v>
      </c>
      <c r="K26" s="42" t="s">
        <v>502</v>
      </c>
      <c r="L26" s="42" t="s">
        <v>502</v>
      </c>
      <c r="M26" s="42" t="s">
        <v>502</v>
      </c>
    </row>
    <row r="27" spans="1:13" s="11" customFormat="1" ht="12.75" customHeight="1" x14ac:dyDescent="0.2">
      <c r="A27" s="7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</row>
    <row r="28" spans="1:13" s="11" customFormat="1" ht="15" customHeight="1" x14ac:dyDescent="0.2">
      <c r="A28" s="108" t="s">
        <v>503</v>
      </c>
      <c r="B28" s="108"/>
      <c r="C28" s="112">
        <v>46023</v>
      </c>
      <c r="D28" s="112">
        <v>46054</v>
      </c>
      <c r="E28" s="112">
        <v>46082</v>
      </c>
      <c r="F28" s="112">
        <v>46113</v>
      </c>
      <c r="G28" s="112">
        <v>46143</v>
      </c>
      <c r="H28" s="112">
        <v>46174</v>
      </c>
      <c r="I28" s="112">
        <v>46204</v>
      </c>
      <c r="J28" s="112">
        <v>46235</v>
      </c>
      <c r="K28" s="112">
        <v>46266</v>
      </c>
      <c r="L28" s="112">
        <v>46296</v>
      </c>
      <c r="M28" s="112">
        <v>46327</v>
      </c>
    </row>
    <row r="29" spans="1:13" s="11" customFormat="1" ht="12.75" customHeight="1" x14ac:dyDescent="0.2">
      <c r="A29" s="7" t="s">
        <v>463</v>
      </c>
      <c r="B29" s="45" t="s">
        <v>467</v>
      </c>
      <c r="C29" s="110">
        <v>7.76</v>
      </c>
      <c r="D29" s="45"/>
      <c r="E29" s="110">
        <v>7.8</v>
      </c>
      <c r="F29" s="45"/>
      <c r="G29" s="110">
        <v>7.49</v>
      </c>
      <c r="H29" s="110">
        <v>7.78</v>
      </c>
      <c r="I29" s="110">
        <v>8.6</v>
      </c>
      <c r="J29" s="45">
        <v>8</v>
      </c>
      <c r="K29" s="45"/>
      <c r="L29" s="45"/>
      <c r="M29" s="45"/>
    </row>
    <row r="30" spans="1:13" s="11" customFormat="1" ht="12.75" customHeight="1" x14ac:dyDescent="0.2">
      <c r="A30" s="5" t="s">
        <v>504</v>
      </c>
      <c r="B30" s="42" t="s">
        <v>470</v>
      </c>
      <c r="C30" s="109">
        <v>124.32</v>
      </c>
      <c r="D30" s="42"/>
      <c r="E30" s="109">
        <v>247.52</v>
      </c>
      <c r="F30" s="42"/>
      <c r="G30" s="109">
        <v>155.4</v>
      </c>
      <c r="H30" s="109">
        <v>152.88999999999999</v>
      </c>
      <c r="I30" s="109">
        <v>276</v>
      </c>
      <c r="J30" s="42">
        <v>260</v>
      </c>
      <c r="K30" s="42"/>
      <c r="L30" s="42"/>
      <c r="M30" s="42"/>
    </row>
    <row r="31" spans="1:13" s="11" customFormat="1" ht="12.75" customHeight="1" x14ac:dyDescent="0.2">
      <c r="A31" s="7" t="s">
        <v>505</v>
      </c>
      <c r="B31" s="45" t="s">
        <v>470</v>
      </c>
      <c r="C31" s="45" t="s">
        <v>506</v>
      </c>
      <c r="D31" s="45"/>
      <c r="E31" s="45" t="s">
        <v>507</v>
      </c>
      <c r="F31" s="45"/>
      <c r="G31" s="45" t="s">
        <v>507</v>
      </c>
      <c r="H31" s="45" t="s">
        <v>507</v>
      </c>
      <c r="I31" s="45" t="s">
        <v>507</v>
      </c>
      <c r="J31" s="45"/>
      <c r="K31" s="45"/>
      <c r="L31" s="45"/>
      <c r="M31" s="45"/>
    </row>
    <row r="32" spans="1:13" s="11" customFormat="1" ht="12.75" customHeight="1" x14ac:dyDescent="0.2">
      <c r="A32" s="5" t="s">
        <v>508</v>
      </c>
      <c r="B32" s="42" t="s">
        <v>470</v>
      </c>
      <c r="C32" s="109">
        <v>0.3</v>
      </c>
      <c r="D32" s="42"/>
      <c r="E32" s="109">
        <v>0.2</v>
      </c>
      <c r="F32" s="42"/>
      <c r="G32" s="109">
        <v>0.4</v>
      </c>
      <c r="H32" s="109">
        <v>0.5</v>
      </c>
      <c r="I32" s="109">
        <v>0.5</v>
      </c>
      <c r="J32" s="42"/>
      <c r="K32" s="42"/>
      <c r="L32" s="42"/>
      <c r="M32" s="42"/>
    </row>
    <row r="33" spans="1:13" s="11" customFormat="1" ht="12.75" customHeight="1" x14ac:dyDescent="0.2">
      <c r="A33" s="7" t="s">
        <v>509</v>
      </c>
      <c r="B33" s="45" t="s">
        <v>470</v>
      </c>
      <c r="C33" s="110">
        <v>0.8</v>
      </c>
      <c r="D33" s="45"/>
      <c r="E33" s="110">
        <v>0.7</v>
      </c>
      <c r="F33" s="45"/>
      <c r="G33" s="110">
        <v>0.2</v>
      </c>
      <c r="H33" s="110">
        <v>0.5</v>
      </c>
      <c r="I33" s="110">
        <v>0.5</v>
      </c>
      <c r="J33" s="45"/>
      <c r="K33" s="45"/>
      <c r="L33" s="45"/>
      <c r="M33" s="45"/>
    </row>
    <row r="34" spans="1:13" s="11" customFormat="1" ht="12.75" customHeight="1" x14ac:dyDescent="0.2">
      <c r="A34" s="5" t="s">
        <v>510</v>
      </c>
      <c r="B34" s="42" t="s">
        <v>470</v>
      </c>
      <c r="C34" s="109">
        <v>1689</v>
      </c>
      <c r="D34" s="42"/>
      <c r="E34" s="109">
        <v>1779</v>
      </c>
      <c r="F34" s="42"/>
      <c r="G34" s="109">
        <v>1839</v>
      </c>
      <c r="H34" s="109">
        <v>1176</v>
      </c>
      <c r="I34" s="109">
        <v>771</v>
      </c>
      <c r="J34" s="42">
        <v>980</v>
      </c>
      <c r="K34" s="42"/>
      <c r="L34" s="42"/>
      <c r="M34" s="42"/>
    </row>
    <row r="35" spans="1:13" s="11" customFormat="1" ht="12.75" customHeight="1" x14ac:dyDescent="0.2">
      <c r="A35" s="7" t="s">
        <v>511</v>
      </c>
      <c r="B35" s="45" t="s">
        <v>470</v>
      </c>
      <c r="C35" s="110">
        <v>919.7</v>
      </c>
      <c r="D35" s="45"/>
      <c r="E35" s="110">
        <v>885.45</v>
      </c>
      <c r="F35" s="45"/>
      <c r="G35" s="110">
        <v>958.83</v>
      </c>
      <c r="H35" s="110">
        <v>543</v>
      </c>
      <c r="I35" s="110">
        <v>320</v>
      </c>
      <c r="J35" s="45">
        <v>260</v>
      </c>
      <c r="K35" s="45"/>
      <c r="L35" s="45"/>
      <c r="M35" s="45"/>
    </row>
    <row r="36" spans="1:13" s="11" customFormat="1" ht="12.75" customHeight="1" x14ac:dyDescent="0.2">
      <c r="A36" s="5" t="s">
        <v>512</v>
      </c>
      <c r="B36" s="42" t="s">
        <v>513</v>
      </c>
      <c r="C36" s="109">
        <v>0.02</v>
      </c>
      <c r="D36" s="42"/>
      <c r="E36" s="109">
        <v>0.02</v>
      </c>
      <c r="F36" s="42"/>
      <c r="G36" s="109">
        <v>0.02</v>
      </c>
      <c r="H36" s="109">
        <v>0.02</v>
      </c>
      <c r="I36" s="109">
        <v>0.02</v>
      </c>
      <c r="J36" s="42">
        <v>0.06</v>
      </c>
      <c r="K36" s="42"/>
      <c r="L36" s="42"/>
      <c r="M36" s="42"/>
    </row>
    <row r="37" spans="1:13" s="11" customFormat="1" ht="12.75" customHeight="1" x14ac:dyDescent="0.2">
      <c r="A37" s="7" t="s">
        <v>514</v>
      </c>
      <c r="B37" s="45" t="s">
        <v>462</v>
      </c>
      <c r="C37" s="45" t="s">
        <v>515</v>
      </c>
      <c r="D37" s="45"/>
      <c r="E37" s="45" t="s">
        <v>516</v>
      </c>
      <c r="F37" s="45"/>
      <c r="G37" s="45" t="s">
        <v>516</v>
      </c>
      <c r="H37" s="45" t="s">
        <v>516</v>
      </c>
      <c r="I37" s="45" t="s">
        <v>516</v>
      </c>
      <c r="J37" s="45"/>
      <c r="K37" s="45"/>
      <c r="L37" s="45"/>
      <c r="M37" s="45"/>
    </row>
    <row r="38" spans="1:13" s="11" customFormat="1" ht="12.75" customHeight="1" x14ac:dyDescent="0.2">
      <c r="A38" s="5" t="s">
        <v>517</v>
      </c>
      <c r="B38" s="42" t="s">
        <v>467</v>
      </c>
      <c r="C38" s="42" t="s">
        <v>460</v>
      </c>
      <c r="D38" s="42"/>
      <c r="E38" s="42" t="s">
        <v>460</v>
      </c>
      <c r="F38" s="42"/>
      <c r="G38" s="42" t="s">
        <v>460</v>
      </c>
      <c r="H38" s="42" t="s">
        <v>460</v>
      </c>
      <c r="I38" s="42" t="s">
        <v>460</v>
      </c>
      <c r="J38" s="42"/>
      <c r="K38" s="42"/>
      <c r="L38" s="42"/>
      <c r="M38" s="42"/>
    </row>
    <row r="39" spans="1:13" s="11" customFormat="1" ht="12.75" customHeight="1" x14ac:dyDescent="0.2">
      <c r="A39" s="7" t="s">
        <v>461</v>
      </c>
      <c r="B39" s="45" t="s">
        <v>467</v>
      </c>
      <c r="C39" s="110">
        <v>1.37</v>
      </c>
      <c r="D39" s="45"/>
      <c r="E39" s="110">
        <v>1.41</v>
      </c>
      <c r="F39" s="45"/>
      <c r="G39" s="110">
        <v>1.0900000000000001</v>
      </c>
      <c r="H39" s="110">
        <v>1.39</v>
      </c>
      <c r="I39" s="110">
        <v>1</v>
      </c>
      <c r="J39" s="45">
        <v>0.5</v>
      </c>
      <c r="K39" s="45"/>
      <c r="L39" s="45"/>
      <c r="M39" s="45"/>
    </row>
    <row r="40" spans="1:13" s="11" customFormat="1" ht="12.75" customHeight="1" x14ac:dyDescent="0.2">
      <c r="A40" s="5" t="s">
        <v>518</v>
      </c>
      <c r="B40" s="42"/>
      <c r="C40" s="42" t="s">
        <v>519</v>
      </c>
      <c r="D40" s="42"/>
      <c r="E40" s="42" t="s">
        <v>519</v>
      </c>
      <c r="F40" s="42"/>
      <c r="G40" s="42" t="s">
        <v>519</v>
      </c>
      <c r="H40" s="42" t="s">
        <v>519</v>
      </c>
      <c r="I40" s="42" t="s">
        <v>519</v>
      </c>
      <c r="J40" s="42" t="s">
        <v>519</v>
      </c>
      <c r="K40" s="42"/>
      <c r="L40" s="42"/>
      <c r="M40" s="42"/>
    </row>
    <row r="41" spans="1:13" s="11" customFormat="1" ht="12.75" customHeight="1" x14ac:dyDescent="0.2">
      <c r="A41" s="7" t="s">
        <v>520</v>
      </c>
      <c r="B41" s="45"/>
      <c r="C41" s="45" t="s">
        <v>521</v>
      </c>
      <c r="D41" s="45"/>
      <c r="E41" s="45" t="s">
        <v>521</v>
      </c>
      <c r="F41" s="45"/>
      <c r="G41" s="45" t="s">
        <v>521</v>
      </c>
      <c r="H41" s="45" t="s">
        <v>521</v>
      </c>
      <c r="I41" s="45" t="s">
        <v>521</v>
      </c>
      <c r="J41" s="45" t="s">
        <v>521</v>
      </c>
      <c r="K41" s="45"/>
      <c r="L41" s="45"/>
      <c r="M41" s="45"/>
    </row>
    <row r="42" spans="1:13" s="11" customFormat="1" ht="12.75" customHeight="1" x14ac:dyDescent="0.2">
      <c r="A42" s="5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spans="1:13" s="11" customFormat="1" ht="15" customHeight="1" x14ac:dyDescent="0.2">
      <c r="A43" s="108" t="s">
        <v>522</v>
      </c>
      <c r="B43" s="108"/>
      <c r="C43" s="112"/>
      <c r="D43" s="112"/>
      <c r="E43" s="113">
        <v>45413</v>
      </c>
      <c r="F43" s="113">
        <v>46054</v>
      </c>
      <c r="G43" s="113">
        <v>46174</v>
      </c>
      <c r="H43" s="112"/>
      <c r="I43" s="112"/>
      <c r="J43" s="112"/>
      <c r="K43" s="112"/>
      <c r="L43" s="112"/>
      <c r="M43" s="112"/>
    </row>
    <row r="44" spans="1:13" s="11" customFormat="1" ht="12.75" customHeight="1" x14ac:dyDescent="0.2">
      <c r="A44" s="5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s="11" customFormat="1" ht="12.75" customHeight="1" x14ac:dyDescent="0.2">
      <c r="A45" s="7" t="s">
        <v>463</v>
      </c>
      <c r="B45" s="45"/>
      <c r="C45" s="45" t="s">
        <v>523</v>
      </c>
      <c r="D45" s="45"/>
      <c r="E45" s="110">
        <v>7.29</v>
      </c>
      <c r="F45" s="110">
        <v>7.42</v>
      </c>
      <c r="G45" s="110">
        <v>7.5</v>
      </c>
      <c r="H45" s="45"/>
      <c r="I45" s="45"/>
      <c r="J45" s="45"/>
      <c r="K45" s="45"/>
      <c r="L45" s="45"/>
      <c r="M45" s="45"/>
    </row>
    <row r="46" spans="1:13" s="11" customFormat="1" ht="12.75" customHeight="1" x14ac:dyDescent="0.2">
      <c r="A46" s="5" t="s">
        <v>524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s="11" customFormat="1" ht="12.75" customHeight="1" x14ac:dyDescent="0.2">
      <c r="A47" s="7" t="s">
        <v>525</v>
      </c>
      <c r="B47" s="45" t="s">
        <v>470</v>
      </c>
      <c r="C47" s="110">
        <v>2200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</row>
    <row r="48" spans="1:13" s="11" customFormat="1" ht="12.75" customHeight="1" x14ac:dyDescent="0.2">
      <c r="A48" s="5" t="s">
        <v>526</v>
      </c>
      <c r="B48" s="42" t="s">
        <v>470</v>
      </c>
      <c r="C48" s="109">
        <v>2100</v>
      </c>
      <c r="D48" s="42"/>
      <c r="E48" s="109">
        <v>4071</v>
      </c>
      <c r="F48" s="109">
        <v>3079</v>
      </c>
      <c r="G48" s="109">
        <v>724</v>
      </c>
      <c r="H48" s="42"/>
      <c r="I48" s="42"/>
      <c r="J48" s="42"/>
      <c r="K48" s="42"/>
      <c r="L48" s="42"/>
      <c r="M48" s="42"/>
    </row>
    <row r="49" spans="1:13" s="11" customFormat="1" ht="12.75" customHeight="1" x14ac:dyDescent="0.2">
      <c r="A49" s="7" t="s">
        <v>527</v>
      </c>
      <c r="B49" s="45" t="s">
        <v>470</v>
      </c>
      <c r="C49" s="45" t="s">
        <v>528</v>
      </c>
      <c r="D49" s="45"/>
      <c r="E49" s="110">
        <v>18</v>
      </c>
      <c r="F49" s="110">
        <v>18</v>
      </c>
      <c r="G49" s="110">
        <v>20</v>
      </c>
      <c r="H49" s="45"/>
      <c r="I49" s="45"/>
      <c r="J49" s="45"/>
      <c r="K49" s="45"/>
      <c r="L49" s="45"/>
      <c r="M49" s="45"/>
    </row>
    <row r="50" spans="1:13" s="11" customFormat="1" ht="12.75" customHeight="1" x14ac:dyDescent="0.2">
      <c r="A50" s="5" t="s">
        <v>529</v>
      </c>
      <c r="B50" s="42" t="s">
        <v>470</v>
      </c>
      <c r="C50" s="42" t="s">
        <v>530</v>
      </c>
      <c r="D50" s="42"/>
      <c r="E50" s="109">
        <v>110.4</v>
      </c>
      <c r="F50" s="109">
        <v>214</v>
      </c>
      <c r="G50" s="109">
        <v>50</v>
      </c>
      <c r="H50" s="42"/>
      <c r="I50" s="42"/>
      <c r="J50" s="42"/>
      <c r="K50" s="42"/>
      <c r="L50" s="42"/>
      <c r="M50" s="42"/>
    </row>
    <row r="51" spans="1:13" s="11" customFormat="1" ht="12.75" customHeight="1" x14ac:dyDescent="0.2">
      <c r="A51" s="7" t="s">
        <v>531</v>
      </c>
      <c r="B51" s="45" t="s">
        <v>470</v>
      </c>
      <c r="C51" s="45" t="s">
        <v>532</v>
      </c>
      <c r="D51" s="45"/>
      <c r="E51" s="110">
        <v>19</v>
      </c>
      <c r="F51" s="110">
        <v>26</v>
      </c>
      <c r="G51" s="110">
        <v>10</v>
      </c>
      <c r="H51" s="45"/>
      <c r="I51" s="45"/>
      <c r="J51" s="45"/>
      <c r="K51" s="45"/>
      <c r="L51" s="45"/>
      <c r="M51" s="45"/>
    </row>
    <row r="52" spans="1:13" s="11" customFormat="1" ht="12.75" customHeight="1" x14ac:dyDescent="0.2">
      <c r="A52" s="5" t="s">
        <v>533</v>
      </c>
      <c r="B52" s="42" t="s">
        <v>534</v>
      </c>
      <c r="C52" s="42" t="s">
        <v>535</v>
      </c>
      <c r="D52" s="42"/>
      <c r="E52" s="42"/>
      <c r="F52" s="42"/>
      <c r="G52" s="42"/>
      <c r="H52" s="42"/>
      <c r="I52" s="42"/>
      <c r="J52" s="42"/>
      <c r="K52" s="42"/>
      <c r="L52" s="42"/>
      <c r="M52" s="42"/>
    </row>
    <row r="53" spans="1:13" s="11" customFormat="1" ht="12.75" customHeight="1" x14ac:dyDescent="0.2">
      <c r="A53" s="7" t="s">
        <v>458</v>
      </c>
      <c r="B53" s="45" t="s">
        <v>470</v>
      </c>
      <c r="C53" s="45" t="s">
        <v>536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</row>
    <row r="54" spans="1:13" s="11" customFormat="1" ht="12.75" customHeight="1" x14ac:dyDescent="0.2">
      <c r="A54" s="5" t="s">
        <v>537</v>
      </c>
      <c r="B54" s="42" t="s">
        <v>470</v>
      </c>
      <c r="C54" s="114" t="s">
        <v>538</v>
      </c>
      <c r="D54" s="42"/>
      <c r="E54" s="42" t="s">
        <v>539</v>
      </c>
      <c r="F54" s="109">
        <v>1044</v>
      </c>
      <c r="G54" s="42" t="s">
        <v>540</v>
      </c>
      <c r="H54" s="42"/>
      <c r="I54" s="42"/>
      <c r="J54" s="42"/>
      <c r="K54" s="42"/>
      <c r="L54" s="42"/>
      <c r="M54" s="42"/>
    </row>
    <row r="55" spans="1:13" s="11" customFormat="1" ht="12.75" customHeight="1" x14ac:dyDescent="0.2">
      <c r="A55" s="7" t="s">
        <v>541</v>
      </c>
      <c r="B55" s="45" t="s">
        <v>470</v>
      </c>
      <c r="C55" s="115">
        <v>2</v>
      </c>
      <c r="D55" s="45"/>
      <c r="E55" s="110">
        <v>786.4</v>
      </c>
      <c r="F55" s="110">
        <v>855</v>
      </c>
      <c r="G55" s="110">
        <v>42.6</v>
      </c>
      <c r="H55" s="45"/>
      <c r="I55" s="45"/>
      <c r="J55" s="45"/>
      <c r="K55" s="45"/>
      <c r="L55" s="45"/>
      <c r="M55" s="45"/>
    </row>
    <row r="56" spans="1:13" s="11" customFormat="1" ht="12.75" customHeight="1" x14ac:dyDescent="0.2">
      <c r="A56" s="5" t="s">
        <v>542</v>
      </c>
      <c r="B56" s="42" t="s">
        <v>470</v>
      </c>
      <c r="C56" s="111">
        <v>2</v>
      </c>
      <c r="D56" s="42"/>
      <c r="E56" s="42"/>
      <c r="F56" s="42"/>
      <c r="G56" s="42"/>
      <c r="H56" s="42"/>
      <c r="I56" s="42"/>
      <c r="J56" s="42"/>
      <c r="K56" s="42"/>
      <c r="L56" s="42"/>
      <c r="M56" s="42"/>
    </row>
    <row r="57" spans="1:13" s="11" customFormat="1" ht="12.75" customHeight="1" x14ac:dyDescent="0.2">
      <c r="A57" s="7" t="s">
        <v>543</v>
      </c>
      <c r="B57" s="45" t="s">
        <v>470</v>
      </c>
      <c r="C57" s="110">
        <v>1000</v>
      </c>
      <c r="D57" s="45"/>
      <c r="E57" s="110">
        <v>2289.5</v>
      </c>
      <c r="F57" s="45" t="s">
        <v>544</v>
      </c>
      <c r="G57" s="110">
        <v>150</v>
      </c>
      <c r="H57" s="45"/>
      <c r="I57" s="45"/>
      <c r="J57" s="45"/>
      <c r="K57" s="45"/>
      <c r="L57" s="45"/>
      <c r="M57" s="45"/>
    </row>
    <row r="58" spans="1:13" s="11" customFormat="1" ht="12.75" customHeight="1" x14ac:dyDescent="0.2">
      <c r="A58" s="5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</row>
    <row r="60" spans="1:13" x14ac:dyDescent="0.2">
      <c r="A60" s="9" t="s">
        <v>545</v>
      </c>
      <c r="B60" s="9"/>
      <c r="C60" s="9" t="s">
        <v>546</v>
      </c>
      <c r="D60" s="10">
        <f t="shared" ref="D60:M60" si="0">SUMPRODUCT(ISNUMBER(D4:D22)*ISNUMBER($C$4:$C$22)*(D4:D22&gt;$C$4:$C$22))</f>
        <v>0</v>
      </c>
      <c r="E60" s="10">
        <f t="shared" si="0"/>
        <v>0</v>
      </c>
      <c r="F60" s="10">
        <f t="shared" si="0"/>
        <v>0</v>
      </c>
      <c r="G60" s="10">
        <f t="shared" si="0"/>
        <v>0</v>
      </c>
      <c r="H60" s="10">
        <f t="shared" si="0"/>
        <v>0</v>
      </c>
      <c r="I60" s="10">
        <f t="shared" si="0"/>
        <v>0</v>
      </c>
      <c r="J60" s="10">
        <f t="shared" si="0"/>
        <v>0</v>
      </c>
      <c r="K60" s="10">
        <f t="shared" si="0"/>
        <v>4</v>
      </c>
      <c r="L60" s="10">
        <f t="shared" si="0"/>
        <v>0</v>
      </c>
      <c r="M60" s="10">
        <f t="shared" si="0"/>
        <v>4</v>
      </c>
    </row>
  </sheetData>
  <conditionalFormatting sqref="D28 F28 H28 J28 L28 D29:M58">
    <cfRule type="expression" dxfId="6" priority="3">
      <formula>OR(D28="NG",D28="FAIL")</formula>
    </cfRule>
  </conditionalFormatting>
  <conditionalFormatting sqref="D4:M22">
    <cfRule type="expression" dxfId="5" priority="2">
      <formula>AND(ISNUMBER(D4),ISNUMBER($C4),D4&gt;$C4)</formula>
    </cfRule>
  </conditionalFormatting>
  <conditionalFormatting sqref="D4:M27">
    <cfRule type="expression" dxfId="4" priority="1">
      <formula>OR(D4="NG",D4="FAIL")</formula>
    </cfRule>
  </conditionalFormatting>
  <conditionalFormatting sqref="D60:M60">
    <cfRule type="cellIs" dxfId="3" priority="5" operator="greaterThan">
      <formula>0</formula>
    </cfRule>
  </conditionalFormatting>
  <printOptions horizontalCentered="1"/>
  <pageMargins left="0.4" right="0.4" top="0.5" bottom="0.5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64748B"/>
    <pageSetUpPr fitToPage="1"/>
  </sheetPr>
  <dimension ref="A1:S21"/>
  <sheetViews>
    <sheetView showGridLines="0" zoomScale="9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4.25" x14ac:dyDescent="0.2"/>
  <cols>
    <col min="1" max="1" width="14" customWidth="1"/>
    <col min="2" max="17" width="11.5" customWidth="1"/>
    <col min="18" max="18" width="12" customWidth="1"/>
    <col min="19" max="19" width="11" customWidth="1"/>
  </cols>
  <sheetData>
    <row r="1" spans="1:19" ht="33.950000000000003" customHeight="1" x14ac:dyDescent="0.2">
      <c r="A1" s="427" t="s">
        <v>547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  <c r="Q1" s="428"/>
      <c r="R1" s="428"/>
      <c r="S1" s="428"/>
    </row>
    <row r="2" spans="1:19" ht="42" customHeight="1" x14ac:dyDescent="0.2">
      <c r="A2" s="4" t="s">
        <v>191</v>
      </c>
      <c r="B2" s="4" t="s">
        <v>548</v>
      </c>
      <c r="C2" s="4" t="s">
        <v>549</v>
      </c>
      <c r="D2" s="4" t="s">
        <v>550</v>
      </c>
      <c r="E2" s="4" t="s">
        <v>50</v>
      </c>
      <c r="F2" s="4" t="s">
        <v>551</v>
      </c>
      <c r="G2" s="4" t="s">
        <v>552</v>
      </c>
      <c r="H2" s="4" t="s">
        <v>553</v>
      </c>
      <c r="I2" s="4" t="s">
        <v>302</v>
      </c>
      <c r="J2" s="4" t="s">
        <v>554</v>
      </c>
      <c r="K2" s="4" t="s">
        <v>555</v>
      </c>
      <c r="L2" s="4" t="s">
        <v>556</v>
      </c>
      <c r="M2" s="4" t="s">
        <v>557</v>
      </c>
      <c r="N2" s="4" t="s">
        <v>558</v>
      </c>
      <c r="O2" s="4" t="s">
        <v>181</v>
      </c>
      <c r="P2" s="4" t="s">
        <v>559</v>
      </c>
      <c r="Q2" s="4" t="s">
        <v>577</v>
      </c>
      <c r="R2" s="4" t="s">
        <v>578</v>
      </c>
      <c r="S2" s="4" t="s">
        <v>579</v>
      </c>
    </row>
    <row r="3" spans="1:19" x14ac:dyDescent="0.2">
      <c r="A3" s="21">
        <v>46023</v>
      </c>
      <c r="B3" s="75">
        <f>IF('Complaints summary'!C8="","",'Complaints summary'!C8)</f>
        <v>144</v>
      </c>
      <c r="C3" s="116">
        <f>IF(OR('Complaints summary'!C8="",'Complaints summary'!C8=0),"",'Complaints summary'!F8/'Complaints summary'!C8)</f>
        <v>0.96527777777777779</v>
      </c>
      <c r="D3" s="75">
        <f>IF('Complaints summary'!I8="","",'Complaints summary'!I8)</f>
        <v>1</v>
      </c>
      <c r="E3" s="117">
        <f>IF(LPCD!F8="","",LPCD!F8)</f>
        <v>969.74317434602369</v>
      </c>
      <c r="F3" s="75">
        <f>IF(LPCD!C8="","",LPCD!C8/1000)</f>
        <v>40704</v>
      </c>
      <c r="G3" s="75">
        <f>IF('Building wise water'!I38="","",'Building wise water'!I38)</f>
        <v>15002</v>
      </c>
      <c r="H3" s="75">
        <f>IF('Power data'!C7="","",'Power data'!C7)</f>
        <v>66600</v>
      </c>
      <c r="I3" s="118">
        <f>IF('Power data'!E7="","",'Power data'!E7)</f>
        <v>0.84513476473275473</v>
      </c>
      <c r="J3" s="57">
        <f>IF(EPI!D7="","",EPI!D7)</f>
        <v>1.2649028088692598</v>
      </c>
      <c r="K3" s="75">
        <f>IF('Solar Power'!C5="","",'Solar Power'!C5)</f>
        <v>89214</v>
      </c>
      <c r="L3" s="119">
        <f>IF('Solar Power'!D5="","",'Solar Power'!D5)</f>
        <v>1052725.2</v>
      </c>
      <c r="M3" s="75">
        <f>IF('DG Units Generated'!E8="","",'DG Units Generated'!E8)</f>
        <v>4325</v>
      </c>
      <c r="N3" s="75">
        <f>IF('DG Units Generated'!G8="","",'DG Units Generated'!G8)</f>
        <v>10</v>
      </c>
      <c r="O3" s="116">
        <f>IF(Attendance!E8="","",Attendance!E8)</f>
        <v>0.87045813586097942</v>
      </c>
      <c r="P3" s="75">
        <f>IF('HVAC consumption'!N8="","",'HVAC consumption'!N8)</f>
        <v>4655.8000000000065</v>
      </c>
      <c r="Q3" s="117">
        <f>IF('Technical manpower cost'!E52="","",'Technical manpower cost'!E52)</f>
        <v>728.279</v>
      </c>
      <c r="R3" s="120">
        <f t="shared" ref="R3:R14" si="0">SUMPRODUCT(--(B3:Q3&lt;&gt;""))/COLUMNS(B3:Q3)</f>
        <v>1</v>
      </c>
      <c r="S3" s="6" t="str">
        <f t="shared" ref="S3:S14" si="1">IF(R3&gt;=0.8,"READY",IF(R3&gt;=0.4,"PARTIAL","MISSING"))</f>
        <v>READY</v>
      </c>
    </row>
    <row r="4" spans="1:19" x14ac:dyDescent="0.2">
      <c r="A4" s="17">
        <v>46054</v>
      </c>
      <c r="B4" s="76">
        <f>IF('Complaints summary'!C9="","",'Complaints summary'!C9)</f>
        <v>122</v>
      </c>
      <c r="C4" s="121">
        <f>IF(OR('Complaints summary'!C9="",'Complaints summary'!C9=0),"",'Complaints summary'!F9/'Complaints summary'!C9)</f>
        <v>0.97540983606557374</v>
      </c>
      <c r="D4" s="76">
        <f>IF('Complaints summary'!I9="","",'Complaints summary'!I9)</f>
        <v>3</v>
      </c>
      <c r="E4" s="122">
        <f>IF(LPCD!F9="","",LPCD!F9)</f>
        <v>1742.0869381726102</v>
      </c>
      <c r="F4" s="76">
        <f>IF(LPCD!C9="","",LPCD!C9/1000)</f>
        <v>66046</v>
      </c>
      <c r="G4" s="76">
        <f>IF('Building wise water'!J38="","",'Building wise water'!J38)</f>
        <v>19302.669999999998</v>
      </c>
      <c r="H4" s="76">
        <f>IF('Power data'!C8="","",'Power data'!C8)</f>
        <v>95736</v>
      </c>
      <c r="I4" s="123">
        <f>IF('Power data'!E8="","",'Power data'!E8)</f>
        <v>0.95424914777824288</v>
      </c>
      <c r="J4" s="58">
        <f>IF(EPI!D8="","",EPI!D8)</f>
        <v>1.8182692989475593</v>
      </c>
      <c r="K4" s="76">
        <f>IF('Solar Power'!C6="","",'Solar Power'!C6)</f>
        <v>112176</v>
      </c>
      <c r="L4" s="124">
        <f>IF('Solar Power'!D6="","",'Solar Power'!D6)</f>
        <v>1323676.8</v>
      </c>
      <c r="M4" s="76">
        <f>IF('DG Units Generated'!E9="","",'DG Units Generated'!E9)</f>
        <v>770</v>
      </c>
      <c r="N4" s="76">
        <f>IF('DG Units Generated'!G9="","",'DG Units Generated'!G9)</f>
        <v>7</v>
      </c>
      <c r="O4" s="121">
        <f>IF(Attendance!E9="","",Attendance!E9)</f>
        <v>0.82015503875968987</v>
      </c>
      <c r="P4" s="76">
        <f>IF('HVAC consumption'!N9="","",'HVAC consumption'!N9)</f>
        <v>12822</v>
      </c>
      <c r="Q4" s="122">
        <f>IF('Technical manpower cost'!E53="","",'Technical manpower cost'!E53)</f>
        <v>747.92</v>
      </c>
      <c r="R4" s="125">
        <f t="shared" si="0"/>
        <v>1</v>
      </c>
      <c r="S4" s="8" t="str">
        <f t="shared" si="1"/>
        <v>READY</v>
      </c>
    </row>
    <row r="5" spans="1:19" x14ac:dyDescent="0.2">
      <c r="A5" s="21">
        <v>46082</v>
      </c>
      <c r="B5" s="75" t="str">
        <f>IF('Complaints summary'!C10="","",'Complaints summary'!C10)</f>
        <v/>
      </c>
      <c r="C5" s="116" t="str">
        <f>IF(OR('Complaints summary'!C10="",'Complaints summary'!C10=0),"",'Complaints summary'!F10/'Complaints summary'!C10)</f>
        <v/>
      </c>
      <c r="D5" s="75" t="str">
        <f>IF('Complaints summary'!I10="","",'Complaints summary'!I10)</f>
        <v/>
      </c>
      <c r="E5" s="117">
        <f>IF(LPCD!F10="","",LPCD!F10)</f>
        <v>474.55567732405774</v>
      </c>
      <c r="F5" s="75">
        <f>IF(LPCD!C10="","",LPCD!C10/1000)</f>
        <v>19919</v>
      </c>
      <c r="G5" s="75">
        <f>IF('Building wise water'!K38="","",'Building wise water'!K38)</f>
        <v>17647.45</v>
      </c>
      <c r="H5" s="75">
        <f>IF('Power data'!C9="","",'Power data'!C9)</f>
        <v>125154</v>
      </c>
      <c r="I5" s="118">
        <f>IF('Power data'!E9="","",'Power data'!E9)</f>
        <v>0.96435506241331481</v>
      </c>
      <c r="J5" s="57">
        <f>IF(EPI!D9="","",EPI!D9)</f>
        <v>2.3769916838021521</v>
      </c>
      <c r="K5" s="75">
        <f>IF('Solar Power'!C7="","",'Solar Power'!C7)</f>
        <v>144102</v>
      </c>
      <c r="L5" s="119">
        <f>IF('Solar Power'!D7="","",'Solar Power'!D7)</f>
        <v>1700403.6</v>
      </c>
      <c r="M5" s="75">
        <f>IF('DG Units Generated'!E10="","",'DG Units Generated'!E10)</f>
        <v>17</v>
      </c>
      <c r="N5" s="75">
        <f>IF('DG Units Generated'!G10="","",'DG Units Generated'!G10)</f>
        <v>11</v>
      </c>
      <c r="O5" s="116">
        <f>IF(Attendance!E10="","",Attendance!E10)</f>
        <v>0.83460949464012246</v>
      </c>
      <c r="P5" s="75">
        <f>IF('HVAC consumption'!N10="","",'HVAC consumption'!N10)</f>
        <v>38150</v>
      </c>
      <c r="Q5" s="117" t="str">
        <f>IF('Technical manpower cost'!E54="","",'Technical manpower cost'!E54)</f>
        <v/>
      </c>
      <c r="R5" s="120">
        <f t="shared" si="0"/>
        <v>0.75</v>
      </c>
      <c r="S5" s="6" t="str">
        <f t="shared" si="1"/>
        <v>PARTIAL</v>
      </c>
    </row>
    <row r="6" spans="1:19" x14ac:dyDescent="0.2">
      <c r="A6" s="17">
        <v>46113</v>
      </c>
      <c r="B6" s="76" t="str">
        <f>IF('Complaints summary'!C11="","",'Complaints summary'!C11)</f>
        <v/>
      </c>
      <c r="C6" s="121" t="str">
        <f>IF(OR('Complaints summary'!C11="",'Complaints summary'!C11=0),"",'Complaints summary'!F11/'Complaints summary'!C11)</f>
        <v/>
      </c>
      <c r="D6" s="76" t="str">
        <f>IF('Complaints summary'!I11="","",'Complaints summary'!I11)</f>
        <v/>
      </c>
      <c r="E6" s="122">
        <f>IF(LPCD!F11="","",LPCD!F11)</f>
        <v>537.37075332348593</v>
      </c>
      <c r="F6" s="76">
        <f>IF(LPCD!C11="","",LPCD!C11/1000)</f>
        <v>21828</v>
      </c>
      <c r="G6" s="76">
        <f>IF('Building wise water'!L38="","",'Building wise water'!L38)</f>
        <v>18490.490000000002</v>
      </c>
      <c r="H6" s="76">
        <f>IF('Power data'!C10="","",'Power data'!C10)</f>
        <v>198066</v>
      </c>
      <c r="I6" s="123">
        <f>IF('Power data'!E10="","",'Power data'!E10)</f>
        <v>0.96883162621430463</v>
      </c>
      <c r="J6" s="58">
        <f>IF(EPI!D10="","",EPI!D10)</f>
        <v>3.7617753714939757</v>
      </c>
      <c r="K6" s="76">
        <f>IF('Solar Power'!C8="","",'Solar Power'!C8)</f>
        <v>227564</v>
      </c>
      <c r="L6" s="124">
        <f>IF('Solar Power'!D8="","",'Solar Power'!D8)</f>
        <v>2685255.2</v>
      </c>
      <c r="M6" s="76">
        <f>IF('DG Units Generated'!E11="","",'DG Units Generated'!E11)</f>
        <v>22</v>
      </c>
      <c r="N6" s="76">
        <f>IF('DG Units Generated'!G11="","",'DG Units Generated'!G11)</f>
        <v>4</v>
      </c>
      <c r="O6" s="121">
        <f>IF(Attendance!E11="","",Attendance!E11)</f>
        <v>0.78402366863905326</v>
      </c>
      <c r="P6" s="76">
        <f>IF('HVAC consumption'!N11="","",'HVAC consumption'!N11)</f>
        <v>62374</v>
      </c>
      <c r="Q6" s="122" t="str">
        <f>IF('Technical manpower cost'!E55="","",'Technical manpower cost'!E55)</f>
        <v/>
      </c>
      <c r="R6" s="125">
        <f t="shared" si="0"/>
        <v>0.75</v>
      </c>
      <c r="S6" s="8" t="str">
        <f t="shared" si="1"/>
        <v>PARTIAL</v>
      </c>
    </row>
    <row r="7" spans="1:19" x14ac:dyDescent="0.2">
      <c r="A7" s="21">
        <v>46143</v>
      </c>
      <c r="B7" s="75" t="str">
        <f>IF('Complaints summary'!C12="","",'Complaints summary'!C12)</f>
        <v/>
      </c>
      <c r="C7" s="116" t="str">
        <f>IF(OR('Complaints summary'!C12="",'Complaints summary'!C12=0),"",'Complaints summary'!F12/'Complaints summary'!C12)</f>
        <v/>
      </c>
      <c r="D7" s="75" t="str">
        <f>IF('Complaints summary'!I12="","",'Complaints summary'!I12)</f>
        <v/>
      </c>
      <c r="E7" s="117">
        <f>IF(LPCD!F12="","",LPCD!F12)</f>
        <v>633.89240958688708</v>
      </c>
      <c r="F7" s="75">
        <f>IF(LPCD!C12="","",LPCD!C12/1000)</f>
        <v>26607</v>
      </c>
      <c r="G7" s="75">
        <f>IF('Building wise water'!M38="","",'Building wise water'!M38)</f>
        <v>21759.4</v>
      </c>
      <c r="H7" s="75">
        <f>IF('Power data'!C11="","",'Power data'!C11)</f>
        <v>222144</v>
      </c>
      <c r="I7" s="118">
        <f>IF('Power data'!E11="","",'Power data'!E11)</f>
        <v>0.97928954955431535</v>
      </c>
      <c r="J7" s="57">
        <f>IF(EPI!D11="","",EPI!D11)</f>
        <v>4.2190776212230157</v>
      </c>
      <c r="K7" s="75">
        <f>IF('Solar Power'!C9="","",'Solar Power'!C9)</f>
        <v>131666</v>
      </c>
      <c r="L7" s="119">
        <f>IF('Solar Power'!D9="","",'Solar Power'!D9)</f>
        <v>1553658.8</v>
      </c>
      <c r="M7" s="75">
        <f>IF('DG Units Generated'!E12="","",'DG Units Generated'!E12)</f>
        <v>44</v>
      </c>
      <c r="N7" s="75">
        <f>IF('DG Units Generated'!G12="","",'DG Units Generated'!G12)</f>
        <v>2</v>
      </c>
      <c r="O7" s="116">
        <f>IF(Attendance!E12="","",Attendance!E12)</f>
        <v>0.83969465648854957</v>
      </c>
      <c r="P7" s="75">
        <f>IF('HVAC consumption'!N12="","",'HVAC consumption'!N12)</f>
        <v>23976.400000000001</v>
      </c>
      <c r="Q7" s="117" t="str">
        <f>IF('Technical manpower cost'!E56="","",'Technical manpower cost'!E56)</f>
        <v/>
      </c>
      <c r="R7" s="120">
        <f t="shared" si="0"/>
        <v>0.75</v>
      </c>
      <c r="S7" s="6" t="str">
        <f t="shared" si="1"/>
        <v>PARTIAL</v>
      </c>
    </row>
    <row r="8" spans="1:19" x14ac:dyDescent="0.2">
      <c r="A8" s="17">
        <v>46174</v>
      </c>
      <c r="B8" s="76">
        <f>IF('Complaints summary'!C13="","",'Complaints summary'!C13)</f>
        <v>155</v>
      </c>
      <c r="C8" s="121">
        <f>IF(OR('Complaints summary'!C13="",'Complaints summary'!C13=0),"",'Complaints summary'!F13/'Complaints summary'!C13)</f>
        <v>1</v>
      </c>
      <c r="D8" s="76" t="str">
        <f>IF('Complaints summary'!I13="","",'Complaints summary'!I13)</f>
        <v/>
      </c>
      <c r="E8" s="122">
        <f>IF(LPCD!F13="","",LPCD!F13)</f>
        <v>319.74396848842935</v>
      </c>
      <c r="F8" s="76">
        <f>IF(LPCD!C13="","",LPCD!C13/1000)</f>
        <v>12988</v>
      </c>
      <c r="G8" s="76">
        <f>IF('Building wise water'!N38="","",'Building wise water'!N38)</f>
        <v>11528.59</v>
      </c>
      <c r="H8" s="76">
        <f>IF('Power data'!C12="","",'Power data'!C12)</f>
        <v>72912</v>
      </c>
      <c r="I8" s="123">
        <f>IF('Power data'!E12="","",'Power data'!E12)</f>
        <v>0.96337402885682577</v>
      </c>
      <c r="J8" s="58">
        <f>IF(EPI!D12="","",EPI!D12)</f>
        <v>1.3847836876918238</v>
      </c>
      <c r="K8" s="76">
        <f>IF('Solar Power'!C10="","",'Solar Power'!C10)</f>
        <v>128018</v>
      </c>
      <c r="L8" s="124">
        <f>IF('Solar Power'!D10="","",'Solar Power'!D10)</f>
        <v>1510612.4000000001</v>
      </c>
      <c r="M8" s="76">
        <f>IF('DG Units Generated'!E13="","",'DG Units Generated'!E13)</f>
        <v>26</v>
      </c>
      <c r="N8" s="76">
        <f>IF('DG Units Generated'!G13="","",'DG Units Generated'!G13)</f>
        <v>5</v>
      </c>
      <c r="O8" s="121">
        <f>IF(Attendance!E13="","",Attendance!E13)</f>
        <v>0.87481146304675717</v>
      </c>
      <c r="P8" s="76">
        <f>IF('HVAC consumption'!N13="","",'HVAC consumption'!N13)</f>
        <v>11970.4</v>
      </c>
      <c r="Q8" s="122" t="str">
        <f>IF('Technical manpower cost'!E57="","",'Technical manpower cost'!E57)</f>
        <v/>
      </c>
      <c r="R8" s="125">
        <f t="shared" si="0"/>
        <v>0.875</v>
      </c>
      <c r="S8" s="8" t="str">
        <f t="shared" si="1"/>
        <v>READY</v>
      </c>
    </row>
    <row r="9" spans="1:19" x14ac:dyDescent="0.2">
      <c r="A9" s="21">
        <v>46204</v>
      </c>
      <c r="B9" s="75">
        <f>IF('Complaints summary'!C14="","",'Complaints summary'!C14)</f>
        <v>168</v>
      </c>
      <c r="C9" s="116">
        <f>IF(OR('Complaints summary'!C14="",'Complaints summary'!C14=0),"",'Complaints summary'!F14/'Complaints summary'!C14)</f>
        <v>0.75595238095238093</v>
      </c>
      <c r="D9" s="75" t="str">
        <f>IF('Complaints summary'!I14="","",'Complaints summary'!I14)</f>
        <v/>
      </c>
      <c r="E9" s="117">
        <f>IF(LPCD!F14="","",LPCD!F14)</f>
        <v>229.49921379901843</v>
      </c>
      <c r="F9" s="75">
        <f>IF(LPCD!C14="","",LPCD!C14/1000)</f>
        <v>9633</v>
      </c>
      <c r="G9" s="75">
        <f>IF('Building wise water'!O38="","",'Building wise water'!O38)</f>
        <v>15618.59</v>
      </c>
      <c r="H9" s="75">
        <f>IF('Power data'!C13="","",'Power data'!C13)</f>
        <v>122658</v>
      </c>
      <c r="I9" s="118">
        <f>IF('Power data'!E13="","",'Power data'!E13)</f>
        <v>0.97102550705362656</v>
      </c>
      <c r="J9" s="57">
        <f>IF(EPI!D13="","",EPI!D13)</f>
        <v>2.3295863172715565</v>
      </c>
      <c r="K9" s="75">
        <f>IF('Solar Power'!C11="","",'Solar Power'!C11)</f>
        <v>100380</v>
      </c>
      <c r="L9" s="119">
        <f>IF('Solar Power'!D11="","",'Solar Power'!D11)</f>
        <v>1184484</v>
      </c>
      <c r="M9" s="75">
        <f>IF('DG Units Generated'!E14="","",'DG Units Generated'!E14)</f>
        <v>56</v>
      </c>
      <c r="N9" s="75">
        <f>IF('DG Units Generated'!G14="","",'DG Units Generated'!G14)</f>
        <v>1</v>
      </c>
      <c r="O9" s="116">
        <f>IF(Attendance!E14="","",Attendance!E14)</f>
        <v>0.93848580441640383</v>
      </c>
      <c r="P9" s="75">
        <f>IF('HVAC consumption'!N14="","",'HVAC consumption'!N14)</f>
        <v>28833.299999999996</v>
      </c>
      <c r="Q9" s="117" t="str">
        <f>IF('Technical manpower cost'!E58="","",'Technical manpower cost'!E58)</f>
        <v/>
      </c>
      <c r="R9" s="120">
        <f t="shared" si="0"/>
        <v>0.875</v>
      </c>
      <c r="S9" s="6" t="str">
        <f t="shared" si="1"/>
        <v>READY</v>
      </c>
    </row>
    <row r="10" spans="1:19" x14ac:dyDescent="0.2">
      <c r="A10" s="17">
        <v>46235</v>
      </c>
      <c r="B10" s="76">
        <f>IF('Complaints summary'!C15="","",'Complaints summary'!C15)</f>
        <v>216</v>
      </c>
      <c r="C10" s="121">
        <f>IF(OR('Complaints summary'!C15="",'Complaints summary'!C15=0),"",'Complaints summary'!F15/'Complaints summary'!C15)</f>
        <v>0.67592592592592593</v>
      </c>
      <c r="D10" s="76" t="str">
        <f>IF('Complaints summary'!I15="","",'Complaints summary'!I15)</f>
        <v/>
      </c>
      <c r="E10" s="122">
        <f>IF(LPCD!F15="","",LPCD!F15)</f>
        <v>334.15924143517418</v>
      </c>
      <c r="F10" s="76">
        <f>IF(LPCD!C15="","",LPCD!C15/1000)</f>
        <v>14026</v>
      </c>
      <c r="G10" s="76">
        <f>IF('Building wise water'!P38="","",'Building wise water'!P38)</f>
        <v>11995</v>
      </c>
      <c r="H10" s="76">
        <f>IF('Power data'!C14="","",'Power data'!C14)</f>
        <v>146382</v>
      </c>
      <c r="I10" s="123">
        <f>IF('Power data'!E14="","",'Power data'!E14)</f>
        <v>0.93618572524942445</v>
      </c>
      <c r="J10" s="58">
        <f>IF(EPI!D14="","",EPI!D14)</f>
        <v>2.7801652097282279</v>
      </c>
      <c r="K10" s="76">
        <f>IF('Solar Power'!C12="","",'Solar Power'!C12)</f>
        <v>115911</v>
      </c>
      <c r="L10" s="124">
        <f>IF('Solar Power'!D12="","",'Solar Power'!D12)</f>
        <v>1367749.8</v>
      </c>
      <c r="M10" s="76">
        <f>IF('DG Units Generated'!E15="","",'DG Units Generated'!E15)</f>
        <v>11</v>
      </c>
      <c r="N10" s="76">
        <f>IF('DG Units Generated'!G15="","",'DG Units Generated'!G15)</f>
        <v>1</v>
      </c>
      <c r="O10" s="121">
        <f>IF(Attendance!E15="","",Attendance!E15)</f>
        <v>0.84843749999999996</v>
      </c>
      <c r="P10" s="76">
        <f>IF('HVAC consumption'!N15="","",'HVAC consumption'!N15)</f>
        <v>21957.88</v>
      </c>
      <c r="Q10" s="122" t="str">
        <f>IF('Technical manpower cost'!E59="","",'Technical manpower cost'!E59)</f>
        <v/>
      </c>
      <c r="R10" s="125">
        <f t="shared" si="0"/>
        <v>0.875</v>
      </c>
      <c r="S10" s="8" t="str">
        <f t="shared" si="1"/>
        <v>READY</v>
      </c>
    </row>
    <row r="11" spans="1:19" x14ac:dyDescent="0.2">
      <c r="A11" s="21">
        <v>46266</v>
      </c>
      <c r="B11" s="75" t="str">
        <f>IF('Complaints summary'!C16="","",'Complaints summary'!C16)</f>
        <v/>
      </c>
      <c r="C11" s="116" t="str">
        <f>IF(OR('Complaints summary'!C16="",'Complaints summary'!C16=0),"",'Complaints summary'!F16/'Complaints summary'!C16)</f>
        <v/>
      </c>
      <c r="D11" s="75" t="str">
        <f>IF('Complaints summary'!I16="","",'Complaints summary'!I16)</f>
        <v/>
      </c>
      <c r="E11" s="117" t="str">
        <f>IF(LPCD!F16="","",LPCD!F16)</f>
        <v/>
      </c>
      <c r="F11" s="75" t="str">
        <f>IF(LPCD!C16="","",LPCD!C16/1000)</f>
        <v/>
      </c>
      <c r="G11" s="75" t="str">
        <f>IF('Building wise water'!Q38="","",'Building wise water'!Q38)</f>
        <v/>
      </c>
      <c r="H11" s="75" t="str">
        <f>IF('Power data'!C15="","",'Power data'!C15)</f>
        <v/>
      </c>
      <c r="I11" s="118" t="str">
        <f>IF('Power data'!E15="","",'Power data'!E15)</f>
        <v/>
      </c>
      <c r="J11" s="57" t="str">
        <f>IF(EPI!D15="","",EPI!D15)</f>
        <v/>
      </c>
      <c r="K11" s="75" t="str">
        <f>IF('Solar Power'!C13="","",'Solar Power'!C13)</f>
        <v/>
      </c>
      <c r="L11" s="119" t="str">
        <f>IF('Solar Power'!D13="","",'Solar Power'!D13)</f>
        <v/>
      </c>
      <c r="M11" s="75" t="str">
        <f>IF('DG Units Generated'!E16="","",'DG Units Generated'!E16)</f>
        <v/>
      </c>
      <c r="N11" s="75" t="str">
        <f>IF('DG Units Generated'!G16="","",'DG Units Generated'!G16)</f>
        <v/>
      </c>
      <c r="O11" s="116" t="str">
        <f>IF(Attendance!E16="","",Attendance!E16)</f>
        <v/>
      </c>
      <c r="P11" s="75" t="str">
        <f>IF('HVAC consumption'!N16="","",'HVAC consumption'!N16)</f>
        <v/>
      </c>
      <c r="Q11" s="117" t="str">
        <f>IF('Technical manpower cost'!E60="","",'Technical manpower cost'!E60)</f>
        <v/>
      </c>
      <c r="R11" s="120">
        <f t="shared" si="0"/>
        <v>0</v>
      </c>
      <c r="S11" s="6" t="str">
        <f t="shared" si="1"/>
        <v>MISSING</v>
      </c>
    </row>
    <row r="12" spans="1:19" x14ac:dyDescent="0.2">
      <c r="A12" s="17">
        <v>46296</v>
      </c>
      <c r="B12" s="76" t="str">
        <f>IF('Complaints summary'!C17="","",'Complaints summary'!C17)</f>
        <v/>
      </c>
      <c r="C12" s="121" t="str">
        <f>IF(OR('Complaints summary'!C17="",'Complaints summary'!C17=0),"",'Complaints summary'!F17/'Complaints summary'!C17)</f>
        <v/>
      </c>
      <c r="D12" s="76" t="str">
        <f>IF('Complaints summary'!I17="","",'Complaints summary'!I17)</f>
        <v/>
      </c>
      <c r="E12" s="122" t="str">
        <f>IF(LPCD!F17="","",LPCD!F17)</f>
        <v/>
      </c>
      <c r="F12" s="76" t="str">
        <f>IF(LPCD!C17="","",LPCD!C17/1000)</f>
        <v/>
      </c>
      <c r="G12" s="76" t="str">
        <f>IF('Building wise water'!R38="","",'Building wise water'!R38)</f>
        <v/>
      </c>
      <c r="H12" s="76" t="str">
        <f>IF('Power data'!C16="","",'Power data'!C16)</f>
        <v/>
      </c>
      <c r="I12" s="123" t="str">
        <f>IF('Power data'!E16="","",'Power data'!E16)</f>
        <v/>
      </c>
      <c r="J12" s="58" t="str">
        <f>IF(EPI!D16="","",EPI!D16)</f>
        <v/>
      </c>
      <c r="K12" s="76" t="str">
        <f>IF('Solar Power'!C14="","",'Solar Power'!C14)</f>
        <v/>
      </c>
      <c r="L12" s="124" t="str">
        <f>IF('Solar Power'!D14="","",'Solar Power'!D14)</f>
        <v/>
      </c>
      <c r="M12" s="76" t="str">
        <f>IF('DG Units Generated'!E17="","",'DG Units Generated'!E17)</f>
        <v/>
      </c>
      <c r="N12" s="76" t="str">
        <f>IF('DG Units Generated'!G17="","",'DG Units Generated'!G17)</f>
        <v/>
      </c>
      <c r="O12" s="121" t="str">
        <f>IF(Attendance!E17="","",Attendance!E17)</f>
        <v/>
      </c>
      <c r="P12" s="76" t="str">
        <f>IF('HVAC consumption'!N17="","",'HVAC consumption'!N17)</f>
        <v/>
      </c>
      <c r="Q12" s="122" t="str">
        <f>IF('Technical manpower cost'!E61="","",'Technical manpower cost'!E61)</f>
        <v/>
      </c>
      <c r="R12" s="125">
        <f t="shared" si="0"/>
        <v>0</v>
      </c>
      <c r="S12" s="8" t="str">
        <f t="shared" si="1"/>
        <v>MISSING</v>
      </c>
    </row>
    <row r="13" spans="1:19" x14ac:dyDescent="0.2">
      <c r="A13" s="21">
        <v>46327</v>
      </c>
      <c r="B13" s="75" t="str">
        <f>IF('Complaints summary'!C18="","",'Complaints summary'!C18)</f>
        <v/>
      </c>
      <c r="C13" s="116" t="str">
        <f>IF(OR('Complaints summary'!C18="",'Complaints summary'!C18=0),"",'Complaints summary'!F18/'Complaints summary'!C18)</f>
        <v/>
      </c>
      <c r="D13" s="75" t="str">
        <f>IF('Complaints summary'!I18="","",'Complaints summary'!I18)</f>
        <v/>
      </c>
      <c r="E13" s="117" t="str">
        <f>IF(LPCD!F18="","",LPCD!F18)</f>
        <v/>
      </c>
      <c r="F13" s="75" t="str">
        <f>IF(LPCD!C18="","",LPCD!C18/1000)</f>
        <v/>
      </c>
      <c r="G13" s="75" t="str">
        <f>IF('Building wise water'!S38="","",'Building wise water'!S38)</f>
        <v/>
      </c>
      <c r="H13" s="75" t="str">
        <f>IF('Power data'!C17="","",'Power data'!C17)</f>
        <v/>
      </c>
      <c r="I13" s="118" t="str">
        <f>IF('Power data'!E17="","",'Power data'!E17)</f>
        <v/>
      </c>
      <c r="J13" s="57" t="str">
        <f>IF(EPI!D17="","",EPI!D17)</f>
        <v/>
      </c>
      <c r="K13" s="75" t="str">
        <f>IF('Solar Power'!C15="","",'Solar Power'!C15)</f>
        <v/>
      </c>
      <c r="L13" s="119" t="str">
        <f>IF('Solar Power'!D15="","",'Solar Power'!D15)</f>
        <v/>
      </c>
      <c r="M13" s="75" t="str">
        <f>IF('DG Units Generated'!E18="","",'DG Units Generated'!E18)</f>
        <v/>
      </c>
      <c r="N13" s="75" t="str">
        <f>IF('DG Units Generated'!G18="","",'DG Units Generated'!G18)</f>
        <v/>
      </c>
      <c r="O13" s="116" t="str">
        <f>IF(Attendance!E18="","",Attendance!E18)</f>
        <v/>
      </c>
      <c r="P13" s="75" t="str">
        <f>IF('HVAC consumption'!N18="","",'HVAC consumption'!N18)</f>
        <v/>
      </c>
      <c r="Q13" s="117" t="str">
        <f>IF('Technical manpower cost'!E62="","",'Technical manpower cost'!E62)</f>
        <v/>
      </c>
      <c r="R13" s="120">
        <f t="shared" si="0"/>
        <v>0</v>
      </c>
      <c r="S13" s="6" t="str">
        <f t="shared" si="1"/>
        <v>MISSING</v>
      </c>
    </row>
    <row r="14" spans="1:19" x14ac:dyDescent="0.2">
      <c r="A14" s="17">
        <v>46357</v>
      </c>
      <c r="B14" s="76" t="str">
        <f>IF('Complaints summary'!C19="","",'Complaints summary'!C19)</f>
        <v/>
      </c>
      <c r="C14" s="121" t="str">
        <f>IF(OR('Complaints summary'!C19="",'Complaints summary'!C19=0),"",'Complaints summary'!F19/'Complaints summary'!C19)</f>
        <v/>
      </c>
      <c r="D14" s="76" t="str">
        <f>IF('Complaints summary'!I19="","",'Complaints summary'!I19)</f>
        <v/>
      </c>
      <c r="E14" s="122" t="str">
        <f>IF(LPCD!F19="","",LPCD!F19)</f>
        <v/>
      </c>
      <c r="F14" s="76" t="str">
        <f>IF(LPCD!C19="","",LPCD!C19/1000)</f>
        <v/>
      </c>
      <c r="G14" s="76" t="str">
        <f>IF('Building wise water'!T38="","",'Building wise water'!T38)</f>
        <v/>
      </c>
      <c r="H14" s="76" t="str">
        <f>IF('Power data'!C18="","",'Power data'!C18)</f>
        <v/>
      </c>
      <c r="I14" s="123" t="str">
        <f>IF('Power data'!E18="","",'Power data'!E18)</f>
        <v/>
      </c>
      <c r="J14" s="58" t="str">
        <f>IF(EPI!D18="","",EPI!D18)</f>
        <v/>
      </c>
      <c r="K14" s="76" t="str">
        <f>IF('Solar Power'!C16="","",'Solar Power'!C16)</f>
        <v/>
      </c>
      <c r="L14" s="124" t="str">
        <f>IF('Solar Power'!D16="","",'Solar Power'!D16)</f>
        <v/>
      </c>
      <c r="M14" s="76" t="str">
        <f>IF('DG Units Generated'!E19="","",'DG Units Generated'!E19)</f>
        <v/>
      </c>
      <c r="N14" s="76" t="str">
        <f>IF('DG Units Generated'!G19="","",'DG Units Generated'!G19)</f>
        <v/>
      </c>
      <c r="O14" s="121" t="str">
        <f>IF(Attendance!E19="","",Attendance!E19)</f>
        <v/>
      </c>
      <c r="P14" s="76" t="str">
        <f>IF('HVAC consumption'!N19="","",'HVAC consumption'!N19)</f>
        <v/>
      </c>
      <c r="Q14" s="122" t="str">
        <f>IF('Technical manpower cost'!E63="","",'Technical manpower cost'!E63)</f>
        <v/>
      </c>
      <c r="R14" s="125">
        <f t="shared" si="0"/>
        <v>0</v>
      </c>
      <c r="S14" s="8" t="str">
        <f t="shared" si="1"/>
        <v>MISSING</v>
      </c>
    </row>
    <row r="15" spans="1:19" x14ac:dyDescent="0.2">
      <c r="A15" s="9" t="s">
        <v>316</v>
      </c>
      <c r="B15" s="29">
        <f>IFERROR(AVERAGE(B3:B14),"")</f>
        <v>161</v>
      </c>
      <c r="C15" s="28">
        <f>IFERROR(SUM('Complaints summary'!F8:F19)/SUM('Complaints summary'!C8:C19),"")</f>
        <v>0.85217391304347823</v>
      </c>
      <c r="D15" s="29">
        <f>IFERROR(AVERAGE(D3:D14),"")</f>
        <v>2</v>
      </c>
      <c r="E15" s="27">
        <f>IFERROR(AVERAGE(E3:E14),"")</f>
        <v>655.13142205946087</v>
      </c>
      <c r="F15" s="29">
        <f>IFERROR(AVERAGE(F3:F14),"")</f>
        <v>26468.875</v>
      </c>
      <c r="G15" s="29">
        <f>IFERROR(AVERAGE(G3:G14),"")</f>
        <v>16418.02375</v>
      </c>
      <c r="H15" s="29">
        <f>IFERROR(AVERAGE(H3:H14),"")</f>
        <v>131206.5</v>
      </c>
      <c r="I15" s="68">
        <f>IFERROR(SUM('Power data'!C7:C18)/SUM('Power data'!D7:D18),"")</f>
        <v>0.95548685906538788</v>
      </c>
      <c r="J15" s="30">
        <f>IFERROR(AVERAGE(J3:J14),"")</f>
        <v>2.4919439998784463</v>
      </c>
      <c r="K15" s="29">
        <f>IFERROR(AVERAGE(K3:K14),"")</f>
        <v>131128.875</v>
      </c>
      <c r="L15" s="81">
        <f>IFERROR(AVERAGE(L3:L14),"")</f>
        <v>1547320.7250000001</v>
      </c>
      <c r="M15" s="29">
        <f>IFERROR(AVERAGE(M3:M14),"")</f>
        <v>658.875</v>
      </c>
      <c r="N15" s="29">
        <f>IFERROR(AVERAGE(N3:N14),"")</f>
        <v>5.125</v>
      </c>
      <c r="O15" s="28">
        <f>IFERROR(SUM(Attendance!C8:C19)/SUMIFS(Attendance!D8:D19,Attendance!C8:C19,"&gt;0"),"")</f>
        <v>0.85074052702442782</v>
      </c>
      <c r="P15" s="29">
        <f>IFERROR(AVERAGE(P3:P14),"")</f>
        <v>25592.4725</v>
      </c>
      <c r="Q15" s="27">
        <f>IFERROR(AVERAGE(Q3:Q14),"")</f>
        <v>738.09950000000003</v>
      </c>
      <c r="R15" s="126">
        <f>IFERROR(AVERAGEIF(S3:S14,"&lt;&gt;MISSING",R3:R14),"")</f>
        <v>0.859375</v>
      </c>
      <c r="S15" s="9"/>
    </row>
    <row r="16" spans="1:19" x14ac:dyDescent="0.2">
      <c r="A16" s="9" t="s">
        <v>202</v>
      </c>
      <c r="B16" s="29">
        <f>SUM(B3:B14)</f>
        <v>805</v>
      </c>
      <c r="C16" s="31"/>
      <c r="D16" s="29">
        <f>IFERROR(LOOKUP(2,1/(D3:D14&lt;&gt;""),D3:D14),"")</f>
        <v>3</v>
      </c>
      <c r="E16" s="70"/>
      <c r="F16" s="29">
        <f>SUM(F3:F14)</f>
        <v>211751</v>
      </c>
      <c r="G16" s="29">
        <f>SUM(G3:G14)</f>
        <v>131344.19</v>
      </c>
      <c r="H16" s="29">
        <f>SUM(H3:H14)</f>
        <v>1049652</v>
      </c>
      <c r="I16" s="127"/>
      <c r="J16" s="32"/>
      <c r="K16" s="29">
        <f>SUM(K3:K14)</f>
        <v>1049031</v>
      </c>
      <c r="L16" s="81">
        <f>SUM(L3:L14)</f>
        <v>12378565.800000001</v>
      </c>
      <c r="M16" s="29">
        <f>SUM(M3:M14)</f>
        <v>5271</v>
      </c>
      <c r="N16" s="29">
        <f>SUM(N3:N14)</f>
        <v>41</v>
      </c>
      <c r="O16" s="31"/>
      <c r="P16" s="29">
        <f>SUM(P3:P14)</f>
        <v>204739.78</v>
      </c>
      <c r="Q16" s="27">
        <f>SUM(Q3:Q14)</f>
        <v>1476.1990000000001</v>
      </c>
      <c r="R16" s="128"/>
      <c r="S16" s="9"/>
    </row>
    <row r="17" spans="1:19" ht="15" customHeight="1" x14ac:dyDescent="0.2">
      <c r="A17" s="476" t="s">
        <v>560</v>
      </c>
      <c r="B17" s="477"/>
      <c r="C17" s="477"/>
      <c r="D17" s="477"/>
      <c r="E17" s="477"/>
      <c r="F17" s="477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 ht="21.95" customHeight="1" x14ac:dyDescent="0.2">
      <c r="A18" s="4" t="s">
        <v>142</v>
      </c>
      <c r="B18" s="4" t="s">
        <v>561</v>
      </c>
      <c r="C18" s="4" t="s">
        <v>562</v>
      </c>
      <c r="D18" s="4" t="s">
        <v>257</v>
      </c>
      <c r="E18" s="4" t="s">
        <v>563</v>
      </c>
      <c r="F18" s="4" t="s">
        <v>564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x14ac:dyDescent="0.2">
      <c r="A19" s="5" t="s">
        <v>50</v>
      </c>
      <c r="B19" s="42" t="s">
        <v>565</v>
      </c>
      <c r="C19" s="42" t="s">
        <v>566</v>
      </c>
      <c r="D19" s="42" t="s">
        <v>50</v>
      </c>
      <c r="E19" s="42" t="s">
        <v>567</v>
      </c>
      <c r="F19" s="42" t="s">
        <v>568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 x14ac:dyDescent="0.2">
      <c r="A20" s="7" t="s">
        <v>153</v>
      </c>
      <c r="B20" s="45" t="s">
        <v>569</v>
      </c>
      <c r="C20" s="45" t="s">
        <v>566</v>
      </c>
      <c r="D20" s="45" t="s">
        <v>153</v>
      </c>
      <c r="E20" s="45" t="s">
        <v>567</v>
      </c>
      <c r="F20" s="45" t="s">
        <v>570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 x14ac:dyDescent="0.2">
      <c r="A21" s="5" t="s">
        <v>571</v>
      </c>
      <c r="B21" s="42" t="s">
        <v>572</v>
      </c>
      <c r="C21" s="42" t="s">
        <v>573</v>
      </c>
      <c r="D21" s="42" t="s">
        <v>574</v>
      </c>
      <c r="E21" s="42" t="s">
        <v>575</v>
      </c>
      <c r="F21" s="42" t="s">
        <v>576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</sheetData>
  <autoFilter ref="A2:S14" xr:uid="{00000000-0009-0000-0000-00001C000000}"/>
  <mergeCells count="2">
    <mergeCell ref="A1:S1"/>
    <mergeCell ref="A17:F17"/>
  </mergeCells>
  <conditionalFormatting sqref="R3:R14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S3:S14">
    <cfRule type="expression" dxfId="2" priority="2">
      <formula>S3="READY"</formula>
    </cfRule>
    <cfRule type="expression" dxfId="1" priority="3">
      <formula>S3="PARTIAL"</formula>
    </cfRule>
    <cfRule type="expression" dxfId="0" priority="4">
      <formula>S3="MISSING"</formula>
    </cfRule>
  </conditionalFormatting>
  <printOptions horizontalCentered="1"/>
  <pageMargins left="0.4" right="0.4" top="0.5" bottom="0.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808080"/>
  </sheetPr>
  <dimension ref="A1:I27"/>
  <sheetViews>
    <sheetView topLeftCell="A9" workbookViewId="0"/>
  </sheetViews>
  <sheetFormatPr defaultRowHeight="14.25" x14ac:dyDescent="0.2"/>
  <cols>
    <col min="1" max="1" width="22" customWidth="1"/>
    <col min="2" max="2" width="12" customWidth="1"/>
    <col min="3" max="3" width="40" customWidth="1"/>
    <col min="4" max="4" width="34" customWidth="1"/>
    <col min="5" max="5" width="16" customWidth="1"/>
    <col min="6" max="6" width="20" customWidth="1"/>
    <col min="7" max="7" width="40" customWidth="1"/>
    <col min="8" max="8" width="24" customWidth="1"/>
    <col min="9" max="9" width="30" customWidth="1"/>
  </cols>
  <sheetData>
    <row r="1" spans="1:9" ht="17.25" x14ac:dyDescent="0.3">
      <c r="A1" s="200" t="s">
        <v>580</v>
      </c>
    </row>
    <row r="2" spans="1:9" x14ac:dyDescent="0.2">
      <c r="A2" s="201" t="s">
        <v>581</v>
      </c>
    </row>
    <row r="4" spans="1:9" ht="30" x14ac:dyDescent="0.2">
      <c r="A4" s="202" t="s">
        <v>40</v>
      </c>
      <c r="B4" s="202" t="s">
        <v>41</v>
      </c>
      <c r="C4" s="202" t="s">
        <v>582</v>
      </c>
      <c r="D4" s="202" t="s">
        <v>583</v>
      </c>
      <c r="E4" s="202" t="s">
        <v>584</v>
      </c>
      <c r="F4" s="202" t="s">
        <v>585</v>
      </c>
      <c r="G4" s="202" t="s">
        <v>586</v>
      </c>
      <c r="H4" s="202" t="s">
        <v>587</v>
      </c>
      <c r="I4" s="202" t="s">
        <v>588</v>
      </c>
    </row>
    <row r="5" spans="1:9" ht="15" x14ac:dyDescent="0.25">
      <c r="A5" s="203" t="s">
        <v>224</v>
      </c>
      <c r="B5" t="s">
        <v>225</v>
      </c>
      <c r="C5" t="str">
        <f>'Building wise water'!C11</f>
        <v>SR-1</v>
      </c>
      <c r="D5" t="str">
        <f>'Power Building wise'!B7</f>
        <v>SR-1</v>
      </c>
      <c r="E5" s="204">
        <v>29</v>
      </c>
      <c r="F5" s="204"/>
      <c r="G5" s="201"/>
      <c r="I5" s="201" t="s">
        <v>589</v>
      </c>
    </row>
    <row r="6" spans="1:9" ht="15" x14ac:dyDescent="0.25">
      <c r="A6" s="203" t="s">
        <v>226</v>
      </c>
      <c r="B6" t="s">
        <v>225</v>
      </c>
      <c r="C6" t="str">
        <f>'Building wise water'!C12</f>
        <v>SR-2</v>
      </c>
      <c r="D6" t="str">
        <f>'Power Building wise'!B8</f>
        <v>SR-2</v>
      </c>
      <c r="E6" s="204"/>
      <c r="F6" s="204"/>
      <c r="G6" s="201"/>
      <c r="H6" s="201" t="s">
        <v>590</v>
      </c>
      <c r="I6" s="201" t="s">
        <v>591</v>
      </c>
    </row>
    <row r="7" spans="1:9" ht="15" x14ac:dyDescent="0.25">
      <c r="A7" s="203" t="s">
        <v>227</v>
      </c>
      <c r="B7" t="s">
        <v>225</v>
      </c>
      <c r="C7" t="str">
        <f>'Building wise water'!C13</f>
        <v>SR-3</v>
      </c>
      <c r="D7" t="str">
        <f>'Power Building wise'!B9</f>
        <v>SR-3</v>
      </c>
      <c r="E7" s="204">
        <v>33</v>
      </c>
      <c r="F7" s="204"/>
      <c r="G7" s="201"/>
      <c r="I7" s="201" t="s">
        <v>592</v>
      </c>
    </row>
    <row r="8" spans="1:9" ht="15" x14ac:dyDescent="0.25">
      <c r="A8" s="203" t="s">
        <v>228</v>
      </c>
      <c r="B8" t="s">
        <v>225</v>
      </c>
      <c r="C8" t="str">
        <f>'Building wise water'!C14</f>
        <v>SR-4</v>
      </c>
      <c r="D8" t="str">
        <f>'Power Building wise'!B10</f>
        <v>SR-4</v>
      </c>
      <c r="E8" s="204"/>
      <c r="F8" s="204"/>
      <c r="G8" s="201"/>
      <c r="H8" s="201" t="s">
        <v>593</v>
      </c>
      <c r="I8" s="201" t="s">
        <v>594</v>
      </c>
    </row>
    <row r="9" spans="1:9" ht="15" x14ac:dyDescent="0.25">
      <c r="A9" s="203" t="s">
        <v>595</v>
      </c>
      <c r="B9" t="s">
        <v>225</v>
      </c>
      <c r="C9" t="str">
        <f>'Building wise water'!C15</f>
        <v>SR-9-10B1A</v>
      </c>
      <c r="D9" t="str">
        <f>'Power Building wise'!B11</f>
        <v>SR-9-10A</v>
      </c>
      <c r="E9" s="204">
        <v>44</v>
      </c>
      <c r="F9" s="204"/>
      <c r="G9" s="201" t="s">
        <v>596</v>
      </c>
      <c r="I9" s="201" t="s">
        <v>597</v>
      </c>
    </row>
    <row r="10" spans="1:9" ht="15" x14ac:dyDescent="0.25">
      <c r="A10" s="203" t="s">
        <v>598</v>
      </c>
      <c r="B10" t="s">
        <v>225</v>
      </c>
      <c r="C10" t="str">
        <f>'Building wise water'!C16</f>
        <v>SR-9-10B1B</v>
      </c>
      <c r="D10" t="str">
        <f>'Power Building wise'!B12</f>
        <v>SR-9-10B</v>
      </c>
      <c r="E10" s="204">
        <v>17</v>
      </c>
      <c r="F10" s="204"/>
      <c r="G10" s="201" t="s">
        <v>599</v>
      </c>
      <c r="I10" s="201" t="s">
        <v>600</v>
      </c>
    </row>
    <row r="11" spans="1:9" ht="15" x14ac:dyDescent="0.25">
      <c r="A11" s="203" t="s">
        <v>601</v>
      </c>
      <c r="B11" t="s">
        <v>225</v>
      </c>
      <c r="C11" t="str">
        <f>'Building wise water'!C17</f>
        <v>SR-11-12CA</v>
      </c>
      <c r="D11" t="str">
        <f>'Power Building wise'!B13</f>
        <v>SR-11-12CA</v>
      </c>
      <c r="E11" s="204">
        <v>41</v>
      </c>
      <c r="F11" s="204"/>
      <c r="G11" s="201"/>
      <c r="I11" s="201" t="s">
        <v>602</v>
      </c>
    </row>
    <row r="12" spans="1:9" ht="15" x14ac:dyDescent="0.25">
      <c r="A12" s="203" t="s">
        <v>603</v>
      </c>
      <c r="B12" t="s">
        <v>225</v>
      </c>
      <c r="C12" t="str">
        <f>'Building wise water'!C18</f>
        <v>SR-11-12CB</v>
      </c>
      <c r="D12" t="str">
        <f>'Power Building wise'!B14</f>
        <v>SR-11-12CB</v>
      </c>
      <c r="E12" s="204">
        <v>28</v>
      </c>
      <c r="F12" s="204"/>
      <c r="G12" s="201"/>
      <c r="I12" s="201" t="s">
        <v>604</v>
      </c>
    </row>
    <row r="13" spans="1:9" ht="15" x14ac:dyDescent="0.25">
      <c r="A13" s="203" t="s">
        <v>605</v>
      </c>
      <c r="B13" t="s">
        <v>234</v>
      </c>
      <c r="C13" t="str">
        <f>'Building wise water'!C19&amp;" + "&amp;'Building wise water'!C20</f>
        <v>Junior School-1&amp;2 + Junior School-3</v>
      </c>
      <c r="D13" t="str">
        <f>'Power Building wise'!B15</f>
        <v>Junior School-1,2&amp;3</v>
      </c>
      <c r="E13" s="204"/>
      <c r="F13" s="204"/>
      <c r="G13" s="201" t="s">
        <v>606</v>
      </c>
    </row>
    <row r="14" spans="1:9" ht="15" x14ac:dyDescent="0.25">
      <c r="A14" s="203" t="s">
        <v>607</v>
      </c>
      <c r="B14" t="s">
        <v>234</v>
      </c>
      <c r="C14" t="str">
        <f>'Building wise water'!C21&amp;" + "&amp;'Building wise water'!C23</f>
        <v>Senior School-1 + Senior School-3</v>
      </c>
      <c r="D14" t="str">
        <f>'Power Building wise'!B16</f>
        <v>Senior School-1&amp;3</v>
      </c>
      <c r="E14" s="204"/>
      <c r="F14" s="204"/>
      <c r="G14" s="201" t="s">
        <v>608</v>
      </c>
    </row>
    <row r="15" spans="1:9" ht="15" x14ac:dyDescent="0.25">
      <c r="A15" s="203" t="s">
        <v>609</v>
      </c>
      <c r="B15" t="s">
        <v>234</v>
      </c>
      <c r="C15" t="str">
        <f>'Building wise water'!C22</f>
        <v>Senior School-2</v>
      </c>
      <c r="D15" t="str">
        <f>'Power Building wise'!B17</f>
        <v>Senior School-2</v>
      </c>
      <c r="E15" s="204"/>
      <c r="F15" s="204"/>
      <c r="G15" s="201"/>
    </row>
    <row r="16" spans="1:9" ht="15" x14ac:dyDescent="0.25">
      <c r="A16" s="203" t="s">
        <v>239</v>
      </c>
      <c r="B16" t="s">
        <v>234</v>
      </c>
      <c r="C16" t="str">
        <f>'Building wise water'!C24</f>
        <v>Academy Building</v>
      </c>
      <c r="D16" t="str">
        <f>'Power Building wise'!B18</f>
        <v>Academy Building</v>
      </c>
      <c r="E16" s="204"/>
      <c r="F16" s="204"/>
      <c r="G16" s="201"/>
    </row>
    <row r="17" spans="1:7" ht="15" x14ac:dyDescent="0.25">
      <c r="A17" s="203" t="s">
        <v>240</v>
      </c>
      <c r="B17" t="s">
        <v>241</v>
      </c>
      <c r="C17" t="str">
        <f>'Building wise water'!C25</f>
        <v>Commons</v>
      </c>
      <c r="D17" t="str">
        <f>'Power Building wise'!B26</f>
        <v>Commons</v>
      </c>
      <c r="E17" s="204"/>
      <c r="F17" s="204"/>
      <c r="G17" s="201"/>
    </row>
    <row r="18" spans="1:7" ht="15" x14ac:dyDescent="0.25">
      <c r="A18" s="203" t="s">
        <v>243</v>
      </c>
      <c r="B18" t="s">
        <v>241</v>
      </c>
      <c r="C18" t="str">
        <f>'Building wise water'!C27</f>
        <v>Athletic Centre</v>
      </c>
      <c r="D18" t="str">
        <f>'Power Building wise'!B21</f>
        <v>Athletic Centre</v>
      </c>
      <c r="E18" s="204"/>
      <c r="F18" s="204"/>
      <c r="G18" s="201"/>
    </row>
    <row r="19" spans="1:7" ht="15" x14ac:dyDescent="0.25">
      <c r="A19" s="203" t="s">
        <v>242</v>
      </c>
      <c r="B19" t="s">
        <v>241</v>
      </c>
      <c r="C19" t="str">
        <f>'Building wise water'!C26</f>
        <v>Swimming Pool</v>
      </c>
      <c r="D19" t="s">
        <v>610</v>
      </c>
      <c r="E19" s="204"/>
      <c r="F19" s="204"/>
      <c r="G19" s="201" t="s">
        <v>611</v>
      </c>
    </row>
    <row r="20" spans="1:7" ht="15" x14ac:dyDescent="0.25">
      <c r="A20" s="203" t="s">
        <v>244</v>
      </c>
      <c r="B20" t="s">
        <v>245</v>
      </c>
      <c r="C20" t="str">
        <f>'Building wise water'!C28</f>
        <v>PCM</v>
      </c>
      <c r="D20" t="str">
        <f>'Power Building wise'!B22</f>
        <v>PCM</v>
      </c>
      <c r="E20" s="204"/>
      <c r="F20" s="204"/>
      <c r="G20" s="201"/>
    </row>
    <row r="21" spans="1:7" ht="15" x14ac:dyDescent="0.25">
      <c r="A21" s="203" t="s">
        <v>246</v>
      </c>
      <c r="B21" t="s">
        <v>245</v>
      </c>
      <c r="C21" t="str">
        <f>'Building wise water'!C29</f>
        <v>Nursery</v>
      </c>
      <c r="D21" t="str">
        <f>'Power Building wise'!B27</f>
        <v>Nursary</v>
      </c>
      <c r="E21" s="204"/>
      <c r="F21" s="204"/>
      <c r="G21" s="201" t="s">
        <v>612</v>
      </c>
    </row>
    <row r="22" spans="1:7" ht="15" x14ac:dyDescent="0.25">
      <c r="A22" s="203" t="s">
        <v>247</v>
      </c>
      <c r="B22" t="s">
        <v>245</v>
      </c>
      <c r="C22" t="str">
        <f>'Building wise water'!C30</f>
        <v>Laundry</v>
      </c>
      <c r="D22" t="str">
        <f>'Power Building wise'!B5</f>
        <v>Laundry</v>
      </c>
      <c r="E22" s="204"/>
      <c r="F22" s="204"/>
      <c r="G22" s="201"/>
    </row>
    <row r="24" spans="1:7" ht="15" x14ac:dyDescent="0.25">
      <c r="A24" s="203" t="s">
        <v>613</v>
      </c>
      <c r="E24" s="205">
        <f>LPCD!D8</f>
        <v>1354</v>
      </c>
    </row>
    <row r="25" spans="1:7" ht="15" x14ac:dyDescent="0.25">
      <c r="A25" s="203" t="s">
        <v>614</v>
      </c>
      <c r="F25" s="205">
        <f>EPI!D19</f>
        <v>52652.266666666699</v>
      </c>
    </row>
    <row r="26" spans="1:7" ht="15" x14ac:dyDescent="0.25">
      <c r="A26" s="206" t="s">
        <v>615</v>
      </c>
      <c r="E26" s="205">
        <f>SUM(E5:E22)</f>
        <v>192</v>
      </c>
    </row>
    <row r="27" spans="1:7" ht="15" x14ac:dyDescent="0.25">
      <c r="A27" s="206" t="s">
        <v>616</v>
      </c>
      <c r="E27" s="205">
        <f>SUM(E5:E12)</f>
        <v>192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808080"/>
  </sheetPr>
  <dimension ref="A1:CU395"/>
  <sheetViews>
    <sheetView topLeftCell="A310" workbookViewId="0">
      <selection activeCell="B318" sqref="B318:B320"/>
    </sheetView>
  </sheetViews>
  <sheetFormatPr defaultRowHeight="14.25" x14ac:dyDescent="0.2"/>
  <cols>
    <col min="1" max="1" width="30" customWidth="1"/>
    <col min="2" max="2" width="26" customWidth="1"/>
    <col min="3" max="79" width="13" customWidth="1"/>
  </cols>
  <sheetData>
    <row r="1" spans="1:99" ht="17.25" x14ac:dyDescent="0.3">
      <c r="A1" s="200" t="s">
        <v>617</v>
      </c>
    </row>
    <row r="2" spans="1:99" ht="15" x14ac:dyDescent="0.25">
      <c r="E2" s="207" t="s">
        <v>618</v>
      </c>
      <c r="F2" s="207"/>
      <c r="CU2" s="207" t="s">
        <v>619</v>
      </c>
    </row>
    <row r="3" spans="1:99" ht="15" x14ac:dyDescent="0.25">
      <c r="A3" s="203" t="s">
        <v>620</v>
      </c>
      <c r="B3" t="str">
        <f>FM_Dashboard!$D$5</f>
        <v>Aug-26</v>
      </c>
      <c r="E3" t="s">
        <v>621</v>
      </c>
      <c r="CU3" t="s">
        <v>622</v>
      </c>
    </row>
    <row r="4" spans="1:99" ht="15" x14ac:dyDescent="0.25">
      <c r="A4" s="203" t="s">
        <v>623</v>
      </c>
      <c r="B4" t="str">
        <f>FM_Dashboard!$J$5</f>
        <v>All Facilities</v>
      </c>
      <c r="E4" t="s">
        <v>123</v>
      </c>
      <c r="CU4" t="str">
        <f t="shared" ref="CU4:CU21" si="0">A194</f>
        <v>SR-1</v>
      </c>
    </row>
    <row r="5" spans="1:99" ht="15" x14ac:dyDescent="0.25">
      <c r="A5" s="203" t="s">
        <v>624</v>
      </c>
      <c r="B5" t="str">
        <f>PerCapita_Pyramid!$D$5</f>
        <v>Aug-26</v>
      </c>
      <c r="E5" t="s">
        <v>124</v>
      </c>
      <c r="CU5" t="str">
        <f t="shared" si="0"/>
        <v>SR-2</v>
      </c>
    </row>
    <row r="6" spans="1:99" ht="15" x14ac:dyDescent="0.25">
      <c r="A6" s="203" t="s">
        <v>625</v>
      </c>
      <c r="B6" t="str">
        <f>IFERROR(LOOKUP(2,1/($N$21:$N$32&lt;&gt;""),$A$21:$A$32),"–")</f>
        <v>Aug-26</v>
      </c>
      <c r="E6" t="s">
        <v>125</v>
      </c>
      <c r="CU6" t="str">
        <f t="shared" si="0"/>
        <v>SR-3</v>
      </c>
    </row>
    <row r="7" spans="1:99" ht="15" x14ac:dyDescent="0.25">
      <c r="A7" s="203" t="s">
        <v>626</v>
      </c>
      <c r="B7">
        <f>EPI!D19</f>
        <v>52652.266666666699</v>
      </c>
      <c r="E7" t="s">
        <v>126</v>
      </c>
      <c r="CU7" t="str">
        <f t="shared" si="0"/>
        <v>SR-4</v>
      </c>
    </row>
    <row r="8" spans="1:99" ht="15" x14ac:dyDescent="0.25">
      <c r="A8" s="203" t="s">
        <v>627</v>
      </c>
      <c r="B8">
        <f>LPCD!E8</f>
        <v>135</v>
      </c>
      <c r="E8" t="s">
        <v>127</v>
      </c>
      <c r="CU8" t="str">
        <f t="shared" si="0"/>
        <v>SR-9/10 A</v>
      </c>
    </row>
    <row r="9" spans="1:99" ht="15" x14ac:dyDescent="0.25">
      <c r="A9" s="203" t="s">
        <v>628</v>
      </c>
      <c r="B9">
        <f>EPI!C7</f>
        <v>8</v>
      </c>
      <c r="E9" t="s">
        <v>128</v>
      </c>
      <c r="CU9" t="str">
        <f t="shared" si="0"/>
        <v>SR-9/10 B</v>
      </c>
    </row>
    <row r="10" spans="1:99" ht="15" x14ac:dyDescent="0.25">
      <c r="A10" s="203" t="s">
        <v>629</v>
      </c>
      <c r="B10">
        <v>0.95</v>
      </c>
      <c r="E10" t="s">
        <v>129</v>
      </c>
      <c r="CU10" t="str">
        <f t="shared" si="0"/>
        <v>SR-11/12 CA</v>
      </c>
    </row>
    <row r="11" spans="1:99" ht="15" x14ac:dyDescent="0.25">
      <c r="A11" s="203" t="s">
        <v>630</v>
      </c>
      <c r="B11">
        <v>0.9</v>
      </c>
      <c r="E11" t="s">
        <v>7</v>
      </c>
      <c r="CU11" t="str">
        <f t="shared" si="0"/>
        <v>SR-11/12 CB</v>
      </c>
    </row>
    <row r="12" spans="1:99" ht="15" x14ac:dyDescent="0.25">
      <c r="A12" s="203" t="s">
        <v>631</v>
      </c>
      <c r="B12">
        <v>0.95</v>
      </c>
      <c r="E12" t="s">
        <v>130</v>
      </c>
      <c r="CU12" t="str">
        <f t="shared" si="0"/>
        <v>Junior School</v>
      </c>
    </row>
    <row r="13" spans="1:99" ht="15" x14ac:dyDescent="0.25">
      <c r="A13" s="203" t="s">
        <v>632</v>
      </c>
      <c r="B13">
        <f>IF($B$3="2026 YTD",AVERAGE($B$21:INDEX($B$21:$B$32,MAX(1,COUNT($N$21:$N$32)))),INDEX($B$21:$B$32,MATCH($B$3,$A$21:$A$32,0)))</f>
        <v>31</v>
      </c>
      <c r="E13" t="s">
        <v>131</v>
      </c>
      <c r="CU13" t="str">
        <f t="shared" si="0"/>
        <v>Senior School 1 &amp; 3</v>
      </c>
    </row>
    <row r="14" spans="1:99" ht="15" x14ac:dyDescent="0.25">
      <c r="A14" s="203" t="s">
        <v>633</v>
      </c>
      <c r="B14">
        <f>IF($B$5="2026 YTD",AVERAGE($B$21:INDEX($B$21:$B$32,MAX(1,COUNT($N$21:$N$32)))),INDEX($B$21:$B$32,MATCH($B$5,$A$21:$A$32,0)))</f>
        <v>31</v>
      </c>
      <c r="E14" t="s">
        <v>132</v>
      </c>
      <c r="CU14" t="str">
        <f t="shared" si="0"/>
        <v>Senior School 2</v>
      </c>
    </row>
    <row r="15" spans="1:99" ht="15" x14ac:dyDescent="0.25">
      <c r="A15" s="203" t="s">
        <v>634</v>
      </c>
      <c r="B15">
        <f>LPCD!D8</f>
        <v>1354</v>
      </c>
      <c r="E15" t="s">
        <v>133</v>
      </c>
      <c r="CU15" t="str">
        <f t="shared" si="0"/>
        <v>Academy Building</v>
      </c>
    </row>
    <row r="16" spans="1:99" x14ac:dyDescent="0.2">
      <c r="CU16" t="str">
        <f t="shared" si="0"/>
        <v>Commons</v>
      </c>
    </row>
    <row r="17" spans="1:99" x14ac:dyDescent="0.2">
      <c r="CU17" t="str">
        <f t="shared" si="0"/>
        <v>Athletic Centre</v>
      </c>
    </row>
    <row r="18" spans="1:99" ht="15.75" x14ac:dyDescent="0.25">
      <c r="A18" s="208" t="s">
        <v>635</v>
      </c>
      <c r="CU18" t="str">
        <f t="shared" si="0"/>
        <v>Swimming Pool</v>
      </c>
    </row>
    <row r="19" spans="1:99" x14ac:dyDescent="0.2">
      <c r="CU19" t="str">
        <f t="shared" si="0"/>
        <v>PCM</v>
      </c>
    </row>
    <row r="20" spans="1:99" ht="75" x14ac:dyDescent="0.2">
      <c r="A20" s="202" t="s">
        <v>191</v>
      </c>
      <c r="B20" s="202" t="s">
        <v>636</v>
      </c>
      <c r="C20" s="202" t="s">
        <v>637</v>
      </c>
      <c r="D20" s="202" t="s">
        <v>638</v>
      </c>
      <c r="E20" s="202" t="s">
        <v>639</v>
      </c>
      <c r="F20" s="202" t="s">
        <v>640</v>
      </c>
      <c r="G20" s="202" t="s">
        <v>641</v>
      </c>
      <c r="H20" s="202" t="s">
        <v>642</v>
      </c>
      <c r="I20" s="202" t="s">
        <v>643</v>
      </c>
      <c r="J20" s="202" t="s">
        <v>644</v>
      </c>
      <c r="K20" s="202" t="s">
        <v>645</v>
      </c>
      <c r="L20" s="202" t="s">
        <v>646</v>
      </c>
      <c r="M20" s="202" t="s">
        <v>647</v>
      </c>
      <c r="N20" s="202" t="s">
        <v>648</v>
      </c>
      <c r="O20" s="202" t="s">
        <v>649</v>
      </c>
      <c r="P20" s="202" t="s">
        <v>650</v>
      </c>
      <c r="Q20" s="202" t="s">
        <v>651</v>
      </c>
      <c r="R20" s="202" t="s">
        <v>652</v>
      </c>
      <c r="S20" s="202" t="s">
        <v>653</v>
      </c>
      <c r="T20" s="202" t="s">
        <v>654</v>
      </c>
      <c r="U20" s="202" t="s">
        <v>655</v>
      </c>
      <c r="V20" s="202" t="s">
        <v>656</v>
      </c>
      <c r="W20" s="202" t="s">
        <v>657</v>
      </c>
      <c r="X20" s="202" t="s">
        <v>658</v>
      </c>
      <c r="Y20" s="202" t="s">
        <v>659</v>
      </c>
      <c r="Z20" s="202" t="s">
        <v>660</v>
      </c>
      <c r="AA20" s="202" t="s">
        <v>661</v>
      </c>
      <c r="AB20" s="202" t="s">
        <v>662</v>
      </c>
      <c r="AC20" s="202"/>
      <c r="AD20" s="202"/>
      <c r="AE20" s="202"/>
      <c r="AF20" s="202"/>
      <c r="AG20" s="202"/>
      <c r="AH20" s="202"/>
      <c r="AI20" s="202"/>
      <c r="AJ20" s="202" t="s">
        <v>663</v>
      </c>
      <c r="AK20" s="202" t="s">
        <v>664</v>
      </c>
      <c r="AL20" s="202" t="s">
        <v>665</v>
      </c>
      <c r="AM20" s="202" t="s">
        <v>666</v>
      </c>
      <c r="AN20" s="202" t="s">
        <v>667</v>
      </c>
      <c r="AO20" s="202" t="s">
        <v>668</v>
      </c>
      <c r="AP20" s="202" t="s">
        <v>669</v>
      </c>
      <c r="AQ20" s="202" t="s">
        <v>670</v>
      </c>
      <c r="AR20" s="202" t="s">
        <v>671</v>
      </c>
      <c r="AS20" s="202" t="s">
        <v>672</v>
      </c>
      <c r="AT20" s="202" t="s">
        <v>673</v>
      </c>
      <c r="AU20" s="202"/>
      <c r="AV20" s="202" t="s">
        <v>674</v>
      </c>
      <c r="AW20" s="202" t="s">
        <v>675</v>
      </c>
      <c r="AX20" s="202" t="s">
        <v>676</v>
      </c>
      <c r="AY20" s="202" t="s">
        <v>677</v>
      </c>
      <c r="AZ20" s="202" t="s">
        <v>678</v>
      </c>
      <c r="BA20" s="202" t="s">
        <v>679</v>
      </c>
      <c r="BB20" s="202" t="s">
        <v>680</v>
      </c>
      <c r="BC20" s="202" t="s">
        <v>681</v>
      </c>
      <c r="BD20" s="202" t="s">
        <v>682</v>
      </c>
      <c r="BE20" s="202"/>
      <c r="BF20" s="202"/>
      <c r="BG20" s="202"/>
      <c r="BH20" s="202" t="s">
        <v>683</v>
      </c>
      <c r="BI20" s="202" t="s">
        <v>684</v>
      </c>
      <c r="BJ20" s="202" t="s">
        <v>685</v>
      </c>
      <c r="BK20" s="202" t="s">
        <v>686</v>
      </c>
      <c r="BL20" s="202" t="s">
        <v>687</v>
      </c>
      <c r="BM20" s="202" t="s">
        <v>688</v>
      </c>
      <c r="BN20" s="202" t="s">
        <v>689</v>
      </c>
      <c r="BO20" s="202" t="s">
        <v>690</v>
      </c>
      <c r="BP20" s="202" t="s">
        <v>691</v>
      </c>
      <c r="BQ20" s="202" t="s">
        <v>692</v>
      </c>
      <c r="BR20" s="202" t="s">
        <v>693</v>
      </c>
      <c r="BT20" s="202" t="s">
        <v>694</v>
      </c>
      <c r="BU20" s="202" t="s">
        <v>695</v>
      </c>
      <c r="BV20" s="202" t="s">
        <v>696</v>
      </c>
      <c r="BW20" s="202" t="s">
        <v>697</v>
      </c>
      <c r="BX20" s="202" t="s">
        <v>698</v>
      </c>
      <c r="BY20" s="202" t="s">
        <v>699</v>
      </c>
      <c r="BZ20" s="202" t="s">
        <v>700</v>
      </c>
      <c r="CA20" s="202" t="s">
        <v>701</v>
      </c>
      <c r="CB20" s="202" t="s">
        <v>702</v>
      </c>
      <c r="CC20" s="202" t="s">
        <v>703</v>
      </c>
      <c r="CD20" s="202" t="s">
        <v>704</v>
      </c>
      <c r="CE20" s="202" t="s">
        <v>705</v>
      </c>
      <c r="CF20" s="202"/>
      <c r="CG20" s="202"/>
      <c r="CH20" s="202"/>
      <c r="CI20" s="202" t="s">
        <v>706</v>
      </c>
      <c r="CJ20" s="202" t="s">
        <v>707</v>
      </c>
      <c r="CK20" s="202" t="s">
        <v>708</v>
      </c>
      <c r="CL20" s="202" t="s">
        <v>709</v>
      </c>
      <c r="CM20" s="202" t="s">
        <v>710</v>
      </c>
      <c r="CN20" s="202"/>
      <c r="CO20" s="202" t="s">
        <v>711</v>
      </c>
      <c r="CP20" s="202" t="s">
        <v>627</v>
      </c>
      <c r="CQ20" s="202" t="s">
        <v>712</v>
      </c>
      <c r="CR20" s="202" t="s">
        <v>629</v>
      </c>
      <c r="CS20" s="202" t="s">
        <v>713</v>
      </c>
      <c r="CU20" t="str">
        <f t="shared" si="0"/>
        <v>Nursery</v>
      </c>
    </row>
    <row r="21" spans="1:99" x14ac:dyDescent="0.2">
      <c r="A21" t="s">
        <v>123</v>
      </c>
      <c r="B21">
        <v>31</v>
      </c>
      <c r="C21" s="209">
        <f>IF('Complaints summary'!C8="","",'Complaints summary'!C8)</f>
        <v>144</v>
      </c>
      <c r="D21" s="209">
        <f>IF('Complaints summary'!F8="","",'Complaints summary'!F8)</f>
        <v>139</v>
      </c>
      <c r="E21" s="209">
        <f>IF('Complaints summary'!I8="","",'Complaints summary'!I8)</f>
        <v>1</v>
      </c>
      <c r="F21" s="209">
        <f>IF('Complaints summary'!D8="","",'Complaints summary'!D8)</f>
        <v>8</v>
      </c>
      <c r="G21" s="205">
        <f>IF(LPCD!C8="","",LPCD!C8/1000)</f>
        <v>40704</v>
      </c>
      <c r="H21" s="205">
        <f>IF(LPCD!D8="","",LPCD!D8)</f>
        <v>1354</v>
      </c>
      <c r="I21" s="210">
        <f>IF(LPCD!F8="","",LPCD!F8)</f>
        <v>969.74317434602369</v>
      </c>
      <c r="J21" s="205">
        <f>IF('Building wise water'!I38="","",'Building wise water'!I38)</f>
        <v>15002</v>
      </c>
      <c r="K21" s="205">
        <f>IF('Building wise water'!I39="","",'Building wise water'!I39)</f>
        <v>3596</v>
      </c>
      <c r="L21" s="205">
        <f>IF('Building wise water'!I33="","",'Building wise water'!I33)</f>
        <v>8770</v>
      </c>
      <c r="M21" s="205">
        <f>IF('Building wise water'!I34="","",'Building wise water'!I34)</f>
        <v>5643</v>
      </c>
      <c r="N21" s="205">
        <f>IF('Power data'!C7="","",'Power data'!C7)</f>
        <v>66600</v>
      </c>
      <c r="O21" s="205">
        <f>IF('Power data'!D7="","",'Power data'!D7)</f>
        <v>78804</v>
      </c>
      <c r="P21" s="211">
        <f>IF('Power data'!E7="","",'Power data'!E7)</f>
        <v>0.84513476473275473</v>
      </c>
      <c r="Q21" s="205">
        <f>IF('Power data'!F7="","",'Power data'!F7)</f>
        <v>929887.2</v>
      </c>
      <c r="R21" s="212">
        <f>IF('Power data'!G7="","",'Power data'!G7)</f>
        <v>11.799999999999999</v>
      </c>
      <c r="S21" s="205">
        <f>IF('Power data'!H7="","",'Power data'!H7)</f>
        <v>306</v>
      </c>
      <c r="T21" s="205">
        <f>IF('Power data'!I7="","",'Power data'!I7)</f>
        <v>1276</v>
      </c>
      <c r="U21" s="212">
        <f>IF(EPI!D7="","",EPI!D7)</f>
        <v>1.2649028088692598</v>
      </c>
      <c r="V21" s="205">
        <f>IF('Solar Power'!C32="","",'Solar Power'!C32)</f>
        <v>95805.700000000012</v>
      </c>
      <c r="W21" s="205">
        <f>IF('Solar Power'!C5="","",'Solar Power'!C5)</f>
        <v>89214</v>
      </c>
      <c r="X21" s="205">
        <f>IF('Solar Power'!D5="","",'Solar Power'!D5)</f>
        <v>1052725.2</v>
      </c>
      <c r="Y21" s="205">
        <f>IF('DG Units Generated'!E8="","",'DG Units Generated'!E8)</f>
        <v>4325</v>
      </c>
      <c r="Z21" s="209">
        <f>IF('DG Units Generated'!G8="","",'DG Units Generated'!G8)</f>
        <v>10</v>
      </c>
      <c r="AA21" s="210">
        <f>IF('DG Units Generated'!H8="","",'DG Units Generated'!H8)</f>
        <v>1.0729166666666701</v>
      </c>
      <c r="AB21" s="205">
        <f>IF('HVAC consumption'!N8="","",'HVAC consumption'!N8)</f>
        <v>4655.8000000000065</v>
      </c>
      <c r="AC21" s="205"/>
      <c r="AD21" s="212"/>
      <c r="AE21" s="205"/>
      <c r="AF21" s="205"/>
      <c r="AG21" s="212"/>
      <c r="AH21" s="205"/>
      <c r="AI21" s="205"/>
      <c r="AJ21" s="205">
        <f>IF('Technical manpower cost'!E52="","",'Technical manpower cost'!E52*1000)</f>
        <v>728279</v>
      </c>
      <c r="AK21" s="205">
        <f>IF('Technical manpower cost'!F52="","",'Technical manpower cost'!F52*1000)</f>
        <v>1079531.66666667</v>
      </c>
      <c r="AL21" s="205">
        <f>IF(Attendance!C8="","",Attendance!C8)</f>
        <v>551</v>
      </c>
      <c r="AM21" s="205">
        <f>IF(Attendance!C8="","",Attendance!D8)</f>
        <v>633</v>
      </c>
      <c r="AN21" s="213">
        <f>IF(Attendance!E8="","",Attendance!E8)</f>
        <v>0.87045813586097942</v>
      </c>
      <c r="AO21" s="205">
        <f>IF(Attendance!F8="","",Attendance!F8)</f>
        <v>120</v>
      </c>
      <c r="AP21" s="209">
        <f>IF(Attendance!C8="","",Attendance!I8)</f>
        <v>27</v>
      </c>
      <c r="AQ21" s="214">
        <f>IF('Monthly KPI Report'!S3="MISSING","",'Monthly KPI Report'!R3)</f>
        <v>1</v>
      </c>
      <c r="AR21" s="210">
        <f t="shared" ref="AR21:AR32" si="1">IFERROR(N21/H21,"")</f>
        <v>49.187592319054652</v>
      </c>
      <c r="AS21" s="205">
        <f t="shared" ref="AS21:AS32" si="2">IFERROR(Q21/H21,"")</f>
        <v>686.770457902511</v>
      </c>
      <c r="AT21" s="212">
        <f t="shared" ref="AT21:AT32" si="3">IFERROR(IF(OR(AB21="",H21=""),"",AB21/H21),"")</f>
        <v>3.4385524372230476</v>
      </c>
      <c r="AU21" s="212"/>
      <c r="AV21" s="213">
        <f t="shared" ref="AV21:AV32" si="4">IFERROR(S21/T21,"")</f>
        <v>0.23981191222570533</v>
      </c>
      <c r="AW21" s="210">
        <f t="shared" ref="AW21:AW32" si="5">IFERROR(J21*1000/(H21*$B21),"")</f>
        <v>357.41173107161575</v>
      </c>
      <c r="AX21" s="210">
        <f t="shared" ref="AX21:AX32" si="6">IFERROR(K21*1000/(H21*$B21),"")</f>
        <v>85.672082717872968</v>
      </c>
      <c r="AY21" s="210">
        <f t="shared" ref="AY21:AY32" si="7">IFERROR(L21*1000/(H21*$B21),"")</f>
        <v>208.93886691761566</v>
      </c>
      <c r="AZ21" s="210">
        <f t="shared" ref="AZ21:AZ32" si="8">IFERROR(M21*1000/(H21*$B21),"")</f>
        <v>134.44036784676229</v>
      </c>
      <c r="BA21" s="213">
        <f t="shared" ref="BA21:BA32" si="9">IFERROR(K21/(J21+K21),"")</f>
        <v>0.19335412409936553</v>
      </c>
      <c r="BB21" s="210">
        <f t="shared" ref="BB21:BB32" si="10">IFERROR(IF(OR(V21="",H21=""),"",V21/H21),"")</f>
        <v>70.757533234859679</v>
      </c>
      <c r="BC21" s="213">
        <f t="shared" ref="BC21:BC32" si="11">IFERROR(IF(OR(V21="",N21=""),"",V21/N21),"")</f>
        <v>1.4385240240240242</v>
      </c>
      <c r="BD21" s="205">
        <f t="shared" ref="BD21:BD32" si="12">IFERROR(IF(OR(X21="",H21=""),"",X21/H21),"")</f>
        <v>777.49276218611521</v>
      </c>
      <c r="BE21" s="212"/>
      <c r="BF21" s="212"/>
      <c r="BG21" s="212"/>
      <c r="BH21" s="212">
        <f t="shared" ref="BH21:BH32" si="13">IFERROR(C21*100/H21,"")</f>
        <v>10.635155096011816</v>
      </c>
      <c r="BI21" s="213">
        <f t="shared" ref="BI21:BI32" si="14">IFERROR(D21/C21,"")</f>
        <v>0.96527777777777779</v>
      </c>
      <c r="BJ21" s="213">
        <f t="shared" ref="BJ21:BJ32" si="15">IFERROR(F21/C21,"")</f>
        <v>5.5555555555555552E-2</v>
      </c>
      <c r="BK21" s="212">
        <f t="shared" ref="BK21:BK32" si="16">IFERROR(E21*1000/H21,"")</f>
        <v>0.73855243722304287</v>
      </c>
      <c r="BL21" s="205">
        <f t="shared" ref="BL21:BL32" si="17">IFERROR(AJ21/H21,"")</f>
        <v>537.87223042836047</v>
      </c>
      <c r="BM21" s="213">
        <f t="shared" ref="BM21:BM32" si="18">IFERROR(AJ21/AK21,"")</f>
        <v>0.67462495310466208</v>
      </c>
      <c r="BN21" s="210">
        <f t="shared" ref="BN21:BN32" si="19">IFERROR(AO21*100/AL21,"")</f>
        <v>21.778584392014519</v>
      </c>
      <c r="BO21" s="210">
        <f t="shared" ref="BO21:BO32" si="20">IFERROR(H21/AP21,"")</f>
        <v>50.148148148148145</v>
      </c>
      <c r="BP21" s="205">
        <f t="shared" ref="BP21:BP32" si="21">IF(OR(Q21="",AJ21=""),"",Q21+AJ21)</f>
        <v>1658166.2</v>
      </c>
      <c r="BQ21" s="205">
        <f t="shared" ref="BQ21:BQ32" si="22">IFERROR(IF(OR(BP21="",H21=""),"",BP21/H21),"")</f>
        <v>1224.6426883308714</v>
      </c>
      <c r="BR21" s="212">
        <f t="shared" ref="BR21:BR32" si="23">IFERROR(Y21/H21,"")</f>
        <v>3.1942392909896604</v>
      </c>
      <c r="BT21" s="215">
        <f t="shared" ref="BT21:BT32" si="24">IF(N21="",0,N21)</f>
        <v>66600</v>
      </c>
      <c r="BU21" s="215">
        <f t="shared" ref="BU21:BU32" si="25">IF(V21="",0,V21)</f>
        <v>95805.700000000012</v>
      </c>
      <c r="BV21" s="215">
        <f t="shared" ref="BV21:BV32" si="26">IF(J21="",0,J21)</f>
        <v>15002</v>
      </c>
      <c r="BW21" s="215">
        <f t="shared" ref="BW21:BW32" si="27">IF(K21="",0,K21)</f>
        <v>3596</v>
      </c>
      <c r="BX21" s="216">
        <f t="shared" ref="BX21:BX32" si="28">IF(I21="",0,I21)</f>
        <v>969.74317434602369</v>
      </c>
      <c r="BY21" s="217">
        <f t="shared" ref="BY21:BY32" si="29">IF(U21="",0,U21)</f>
        <v>1.2649028088692598</v>
      </c>
      <c r="BZ21" s="218">
        <f t="shared" ref="BZ21:BZ32" si="30">IF(P21="",0,P21)</f>
        <v>0.84513476473275473</v>
      </c>
      <c r="CA21" s="215">
        <f t="shared" ref="CA21:CA32" si="31">IF(Q21="",0,Q21)</f>
        <v>929887.2</v>
      </c>
      <c r="CB21" s="215">
        <f t="shared" ref="CB21:CB32" si="32">IF(L21="",0,L21)</f>
        <v>8770</v>
      </c>
      <c r="CC21" s="219">
        <f t="shared" ref="CC21:CC32" si="33">IF(C21="",0,C21)</f>
        <v>144</v>
      </c>
      <c r="CD21" s="219">
        <f t="shared" ref="CD21:CD32" si="34">IF(D21="",0,D21)</f>
        <v>139</v>
      </c>
      <c r="CE21" s="220">
        <f t="shared" ref="CE21:CE32" si="35">IF(AN21="",0,AN21)</f>
        <v>0.87045813586097942</v>
      </c>
      <c r="CF21" s="215"/>
      <c r="CG21" s="215"/>
      <c r="CH21" s="215"/>
      <c r="CI21" s="216">
        <f t="shared" ref="CI21:CI32" si="36">IF(AR21="",0,AR21)</f>
        <v>49.187592319054652</v>
      </c>
      <c r="CJ21" s="215">
        <f t="shared" ref="CJ21:CJ32" si="37">IF(BQ21="",0,BQ21)</f>
        <v>1224.6426883308714</v>
      </c>
      <c r="CK21" s="215">
        <f t="shared" ref="CK21:CK32" si="38">IF(AB21="",0,AB21)</f>
        <v>4655.8000000000065</v>
      </c>
      <c r="CL21" s="215">
        <f t="shared" ref="CL21:CL32" si="39">IF(Y21="",0,Y21)</f>
        <v>4325</v>
      </c>
      <c r="CM21" s="219">
        <f t="shared" ref="CM21:CM32" si="40">IF(Z21="",0,Z21)</f>
        <v>10</v>
      </c>
      <c r="CN21" s="215"/>
      <c r="CO21" s="215">
        <f t="shared" ref="CO21:CO32" si="41">IF(G21="",0,G21)</f>
        <v>40704</v>
      </c>
      <c r="CP21">
        <f>MIS_Calc!$B$8</f>
        <v>135</v>
      </c>
      <c r="CQ21">
        <f>MIS_Calc!$B$9</f>
        <v>8</v>
      </c>
      <c r="CR21">
        <f>MIS_Calc!$B$10</f>
        <v>0.95</v>
      </c>
      <c r="CS21">
        <f>MIS_Calc!$B$11</f>
        <v>0.9</v>
      </c>
      <c r="CU21" t="str">
        <f t="shared" si="0"/>
        <v>Laundry</v>
      </c>
    </row>
    <row r="22" spans="1:99" x14ac:dyDescent="0.2">
      <c r="A22" t="s">
        <v>124</v>
      </c>
      <c r="B22">
        <v>28</v>
      </c>
      <c r="C22" s="209">
        <f>IF('Complaints summary'!C9="","",'Complaints summary'!C9)</f>
        <v>122</v>
      </c>
      <c r="D22" s="209">
        <f>IF('Complaints summary'!F9="","",'Complaints summary'!F9)</f>
        <v>119</v>
      </c>
      <c r="E22" s="209">
        <f>IF('Complaints summary'!I9="","",'Complaints summary'!I9)</f>
        <v>3</v>
      </c>
      <c r="F22" s="209">
        <f>IF('Complaints summary'!D9="","",'Complaints summary'!D9)</f>
        <v>0</v>
      </c>
      <c r="G22" s="205">
        <f>IF(LPCD!C9="","",LPCD!C9/1000)</f>
        <v>66046</v>
      </c>
      <c r="H22" s="205">
        <f>IF(LPCD!D9="","",LPCD!D9)</f>
        <v>1354</v>
      </c>
      <c r="I22" s="210">
        <f>IF(LPCD!F9="","",LPCD!F9)</f>
        <v>1742.0869381726102</v>
      </c>
      <c r="J22" s="205">
        <f>IF('Building wise water'!J38="","",'Building wise water'!J38)</f>
        <v>19302.669999999998</v>
      </c>
      <c r="K22" s="205">
        <f>IF('Building wise water'!J39="","",'Building wise water'!J39)</f>
        <v>5654</v>
      </c>
      <c r="L22" s="205">
        <f>IF('Building wise water'!J33="","",'Building wise water'!J33)</f>
        <v>14597</v>
      </c>
      <c r="M22" s="205">
        <f>IF('Building wise water'!J34="","",'Building wise water'!J34)</f>
        <v>6541</v>
      </c>
      <c r="N22" s="205">
        <f>IF('Power data'!C8="","",'Power data'!C8)</f>
        <v>95736</v>
      </c>
      <c r="O22" s="205">
        <f>IF('Power data'!D8="","",'Power data'!D8)</f>
        <v>100326</v>
      </c>
      <c r="P22" s="211">
        <f>IF('Power data'!E8="","",'Power data'!E8)</f>
        <v>0.95424914777824288</v>
      </c>
      <c r="Q22" s="205">
        <f>IF('Power data'!F8="","",'Power data'!F8)</f>
        <v>1099602</v>
      </c>
      <c r="R22" s="212">
        <f>IF('Power data'!G8="","",'Power data'!G8)</f>
        <v>10.960289456372227</v>
      </c>
      <c r="S22" s="205">
        <f>IF('Power data'!H8="","",'Power data'!H8)</f>
        <v>386</v>
      </c>
      <c r="T22" s="205">
        <f>IF('Power data'!I8="","",'Power data'!I8)</f>
        <v>1276</v>
      </c>
      <c r="U22" s="212">
        <f>IF(EPI!D8="","",EPI!D8)</f>
        <v>1.8182692989475593</v>
      </c>
      <c r="V22" s="205">
        <f>IF('Solar Power'!D32="","",'Solar Power'!D32)</f>
        <v>119500.8</v>
      </c>
      <c r="W22" s="205">
        <f>IF('Solar Power'!C6="","",'Solar Power'!C6)</f>
        <v>112176</v>
      </c>
      <c r="X22" s="205">
        <f>IF('Solar Power'!D6="","",'Solar Power'!D6)</f>
        <v>1323676.8</v>
      </c>
      <c r="Y22" s="205">
        <f>IF('DG Units Generated'!E9="","",'DG Units Generated'!E9)</f>
        <v>770</v>
      </c>
      <c r="Z22" s="209">
        <f>IF('DG Units Generated'!G9="","",'DG Units Generated'!G9)</f>
        <v>7</v>
      </c>
      <c r="AA22" s="210">
        <f>IF('DG Units Generated'!H9="","",'DG Units Generated'!H9)</f>
        <v>0.22222222222222099</v>
      </c>
      <c r="AB22" s="205">
        <f>IF('HVAC consumption'!N9="","",'HVAC consumption'!N9)</f>
        <v>12822</v>
      </c>
      <c r="AC22" s="205"/>
      <c r="AD22" s="212"/>
      <c r="AE22" s="205"/>
      <c r="AF22" s="205"/>
      <c r="AG22" s="212"/>
      <c r="AH22" s="205"/>
      <c r="AI22" s="205"/>
      <c r="AJ22" s="205">
        <f>IF('Technical manpower cost'!E53="","",'Technical manpower cost'!E53*1000)</f>
        <v>747920</v>
      </c>
      <c r="AK22" s="205">
        <f>IF('Technical manpower cost'!F53="","",'Technical manpower cost'!F53*1000)</f>
        <v>1079531.66666667</v>
      </c>
      <c r="AL22" s="205">
        <f>IF(Attendance!C9="","",Attendance!C9)</f>
        <v>529</v>
      </c>
      <c r="AM22" s="205">
        <f>IF(Attendance!C9="","",Attendance!D9)</f>
        <v>645</v>
      </c>
      <c r="AN22" s="213">
        <f>IF(Attendance!E9="","",Attendance!E9)</f>
        <v>0.82015503875968987</v>
      </c>
      <c r="AO22" s="205">
        <f>IF(Attendance!F9="","",Attendance!F9)</f>
        <v>200</v>
      </c>
      <c r="AP22" s="209">
        <f>IF(Attendance!C9="","",Attendance!I9)</f>
        <v>27</v>
      </c>
      <c r="AQ22" s="214">
        <f>IF('Monthly KPI Report'!S4="MISSING","",'Monthly KPI Report'!R4)</f>
        <v>1</v>
      </c>
      <c r="AR22" s="210">
        <f t="shared" si="1"/>
        <v>70.706056129985228</v>
      </c>
      <c r="AS22" s="205">
        <f t="shared" si="2"/>
        <v>812.11373707533232</v>
      </c>
      <c r="AT22" s="212">
        <f t="shared" si="3"/>
        <v>9.4697193500738557</v>
      </c>
      <c r="AU22" s="212"/>
      <c r="AV22" s="213">
        <f t="shared" si="4"/>
        <v>0.30250783699059564</v>
      </c>
      <c r="AW22" s="210">
        <f t="shared" si="5"/>
        <v>509.14407047900403</v>
      </c>
      <c r="AX22" s="210">
        <f t="shared" si="6"/>
        <v>149.13483857353873</v>
      </c>
      <c r="AY22" s="210">
        <f t="shared" si="7"/>
        <v>385.02321164802703</v>
      </c>
      <c r="AZ22" s="210">
        <f t="shared" si="8"/>
        <v>172.5311247098544</v>
      </c>
      <c r="BA22" s="213">
        <f t="shared" si="9"/>
        <v>0.22655266107217031</v>
      </c>
      <c r="BB22" s="210">
        <f t="shared" si="10"/>
        <v>88.257607090103406</v>
      </c>
      <c r="BC22" s="213">
        <f t="shared" si="11"/>
        <v>1.2482326397593382</v>
      </c>
      <c r="BD22" s="205">
        <f t="shared" si="12"/>
        <v>977.60472673559821</v>
      </c>
      <c r="BE22" s="212"/>
      <c r="BF22" s="212"/>
      <c r="BG22" s="212"/>
      <c r="BH22" s="212">
        <f t="shared" si="13"/>
        <v>9.0103397341211231</v>
      </c>
      <c r="BI22" s="213">
        <f t="shared" si="14"/>
        <v>0.97540983606557374</v>
      </c>
      <c r="BJ22" s="213">
        <f t="shared" si="15"/>
        <v>0</v>
      </c>
      <c r="BK22" s="212">
        <f t="shared" si="16"/>
        <v>2.2156573116691285</v>
      </c>
      <c r="BL22" s="205">
        <f t="shared" si="17"/>
        <v>552.37813884785817</v>
      </c>
      <c r="BM22" s="213">
        <f t="shared" si="18"/>
        <v>0.69281895389821602</v>
      </c>
      <c r="BN22" s="210">
        <f t="shared" si="19"/>
        <v>37.807183364839318</v>
      </c>
      <c r="BO22" s="210">
        <f t="shared" si="20"/>
        <v>50.148148148148145</v>
      </c>
      <c r="BP22" s="205">
        <f t="shared" si="21"/>
        <v>1847522</v>
      </c>
      <c r="BQ22" s="205">
        <f t="shared" si="22"/>
        <v>1364.4918759231905</v>
      </c>
      <c r="BR22" s="212">
        <f t="shared" si="23"/>
        <v>0.56868537666174301</v>
      </c>
      <c r="BT22" s="215">
        <f t="shared" si="24"/>
        <v>95736</v>
      </c>
      <c r="BU22" s="215">
        <f t="shared" si="25"/>
        <v>119500.8</v>
      </c>
      <c r="BV22" s="215">
        <f t="shared" si="26"/>
        <v>19302.669999999998</v>
      </c>
      <c r="BW22" s="215">
        <f t="shared" si="27"/>
        <v>5654</v>
      </c>
      <c r="BX22" s="216">
        <f t="shared" si="28"/>
        <v>1742.0869381726102</v>
      </c>
      <c r="BY22" s="217">
        <f t="shared" si="29"/>
        <v>1.8182692989475593</v>
      </c>
      <c r="BZ22" s="218">
        <f t="shared" si="30"/>
        <v>0.95424914777824288</v>
      </c>
      <c r="CA22" s="215">
        <f t="shared" si="31"/>
        <v>1099602</v>
      </c>
      <c r="CB22" s="215">
        <f t="shared" si="32"/>
        <v>14597</v>
      </c>
      <c r="CC22" s="219">
        <f t="shared" si="33"/>
        <v>122</v>
      </c>
      <c r="CD22" s="219">
        <f t="shared" si="34"/>
        <v>119</v>
      </c>
      <c r="CE22" s="220">
        <f t="shared" si="35"/>
        <v>0.82015503875968987</v>
      </c>
      <c r="CF22" s="215"/>
      <c r="CG22" s="215"/>
      <c r="CH22" s="215"/>
      <c r="CI22" s="216">
        <f t="shared" si="36"/>
        <v>70.706056129985228</v>
      </c>
      <c r="CJ22" s="215">
        <f t="shared" si="37"/>
        <v>1364.4918759231905</v>
      </c>
      <c r="CK22" s="215">
        <f t="shared" si="38"/>
        <v>12822</v>
      </c>
      <c r="CL22" s="215">
        <f t="shared" si="39"/>
        <v>770</v>
      </c>
      <c r="CM22" s="219">
        <f t="shared" si="40"/>
        <v>7</v>
      </c>
      <c r="CN22" s="215"/>
      <c r="CO22" s="215">
        <f t="shared" si="41"/>
        <v>66046</v>
      </c>
      <c r="CP22">
        <f>MIS_Calc!$B$8</f>
        <v>135</v>
      </c>
      <c r="CQ22">
        <f>MIS_Calc!$B$9</f>
        <v>8</v>
      </c>
      <c r="CR22">
        <f>MIS_Calc!$B$10</f>
        <v>0.95</v>
      </c>
      <c r="CS22">
        <f>MIS_Calc!$B$11</f>
        <v>0.9</v>
      </c>
    </row>
    <row r="23" spans="1:99" x14ac:dyDescent="0.2">
      <c r="A23" t="s">
        <v>125</v>
      </c>
      <c r="B23">
        <v>31</v>
      </c>
      <c r="C23" s="209" t="str">
        <f>IF('Complaints summary'!C10="","",'Complaints summary'!C10)</f>
        <v/>
      </c>
      <c r="D23" s="209" t="str">
        <f>IF('Complaints summary'!F10="","",'Complaints summary'!F10)</f>
        <v/>
      </c>
      <c r="E23" s="209" t="str">
        <f>IF('Complaints summary'!I10="","",'Complaints summary'!I10)</f>
        <v/>
      </c>
      <c r="F23" s="209" t="str">
        <f>IF('Complaints summary'!D10="","",'Complaints summary'!D10)</f>
        <v/>
      </c>
      <c r="G23" s="205">
        <f>IF(LPCD!C10="","",LPCD!C10/1000)</f>
        <v>19919</v>
      </c>
      <c r="H23" s="205">
        <f>IF(LPCD!D10="","",LPCD!D10)</f>
        <v>1354</v>
      </c>
      <c r="I23" s="210">
        <f>IF(LPCD!F10="","",LPCD!F10)</f>
        <v>474.55567732405774</v>
      </c>
      <c r="J23" s="205">
        <f>IF('Building wise water'!K38="","",'Building wise water'!K38)</f>
        <v>17647.45</v>
      </c>
      <c r="K23" s="205">
        <f>IF('Building wise water'!K39="","",'Building wise water'!K39)</f>
        <v>4885</v>
      </c>
      <c r="L23" s="205">
        <f>IF('Building wise water'!K33="","",'Building wise water'!K33)</f>
        <v>12927</v>
      </c>
      <c r="M23" s="205">
        <f>IF('Building wise water'!K34="","",'Building wise water'!K34)</f>
        <v>6091</v>
      </c>
      <c r="N23" s="205">
        <f>IF('Power data'!C9="","",'Power data'!C9)</f>
        <v>125154</v>
      </c>
      <c r="O23" s="205">
        <f>IF('Power data'!D9="","",'Power data'!D9)</f>
        <v>129780</v>
      </c>
      <c r="P23" s="211">
        <f>IF('Power data'!E9="","",'Power data'!E9)</f>
        <v>0.96435506241331481</v>
      </c>
      <c r="Q23" s="205">
        <f>IF('Power data'!F9="","",'Power data'!F9)</f>
        <v>1406695</v>
      </c>
      <c r="R23" s="212">
        <f>IF('Power data'!G9="","",'Power data'!G9)</f>
        <v>10.839073817229156</v>
      </c>
      <c r="S23" s="205">
        <f>IF('Power data'!H9="","",'Power data'!H9)</f>
        <v>440</v>
      </c>
      <c r="T23" s="205">
        <f>IF('Power data'!I9="","",'Power data'!I9)</f>
        <v>1276</v>
      </c>
      <c r="U23" s="212">
        <f>IF(EPI!D9="","",EPI!D9)</f>
        <v>2.3769916838021521</v>
      </c>
      <c r="V23" s="205">
        <f>IF('Solar Power'!E32="","",'Solar Power'!E32)</f>
        <v>152604.70000000001</v>
      </c>
      <c r="W23" s="205">
        <f>IF('Solar Power'!C7="","",'Solar Power'!C7)</f>
        <v>144102</v>
      </c>
      <c r="X23" s="205">
        <f>IF('Solar Power'!D7="","",'Solar Power'!D7)</f>
        <v>1700403.6</v>
      </c>
      <c r="Y23" s="205">
        <f>IF('DG Units Generated'!E10="","",'DG Units Generated'!E10)</f>
        <v>17</v>
      </c>
      <c r="Z23" s="209">
        <f>IF('DG Units Generated'!G10="","",'DG Units Generated'!G10)</f>
        <v>11</v>
      </c>
      <c r="AA23" s="210">
        <f>IF('DG Units Generated'!H10="","",'DG Units Generated'!H10)</f>
        <v>8.3000000000000007</v>
      </c>
      <c r="AB23" s="205">
        <f>IF('HVAC consumption'!N10="","",'HVAC consumption'!N10)</f>
        <v>38150</v>
      </c>
      <c r="AC23" s="205"/>
      <c r="AD23" s="212"/>
      <c r="AE23" s="205"/>
      <c r="AF23" s="205"/>
      <c r="AG23" s="212"/>
      <c r="AH23" s="205"/>
      <c r="AI23" s="205"/>
      <c r="AJ23" s="205" t="str">
        <f>IF('Technical manpower cost'!E54="","",'Technical manpower cost'!E54*1000)</f>
        <v/>
      </c>
      <c r="AK23" s="205" t="str">
        <f>IF('Technical manpower cost'!F54="","",'Technical manpower cost'!F54*1000)</f>
        <v/>
      </c>
      <c r="AL23" s="205">
        <f>IF(Attendance!C10="","",Attendance!C10)</f>
        <v>545</v>
      </c>
      <c r="AM23" s="205">
        <f>IF(Attendance!C10="","",Attendance!D10)</f>
        <v>653</v>
      </c>
      <c r="AN23" s="213">
        <f>IF(Attendance!E10="","",Attendance!E10)</f>
        <v>0.83460949464012246</v>
      </c>
      <c r="AO23" s="205">
        <f>IF(Attendance!F10="","",Attendance!F10)</f>
        <v>120</v>
      </c>
      <c r="AP23" s="209">
        <f>IF(Attendance!C10="","",Attendance!I10)</f>
        <v>27</v>
      </c>
      <c r="AQ23" s="214">
        <f>IF('Monthly KPI Report'!S5="MISSING","",'Monthly KPI Report'!R5)</f>
        <v>0.75</v>
      </c>
      <c r="AR23" s="210">
        <f t="shared" si="1"/>
        <v>92.432791728212706</v>
      </c>
      <c r="AS23" s="205">
        <f t="shared" si="2"/>
        <v>1038.9180206794683</v>
      </c>
      <c r="AT23" s="212">
        <f t="shared" si="3"/>
        <v>28.175775480059084</v>
      </c>
      <c r="AU23" s="212"/>
      <c r="AV23" s="213">
        <f t="shared" si="4"/>
        <v>0.34482758620689657</v>
      </c>
      <c r="AW23" s="210">
        <f t="shared" si="5"/>
        <v>420.43765187973509</v>
      </c>
      <c r="AX23" s="210">
        <f t="shared" si="6"/>
        <v>116.38156954305046</v>
      </c>
      <c r="AY23" s="210">
        <f t="shared" si="7"/>
        <v>307.97636632200886</v>
      </c>
      <c r="AZ23" s="210">
        <f t="shared" si="8"/>
        <v>145.11364177824368</v>
      </c>
      <c r="BA23" s="213">
        <f t="shared" si="9"/>
        <v>0.21679843958380024</v>
      </c>
      <c r="BB23" s="210">
        <f t="shared" si="10"/>
        <v>112.70657311669129</v>
      </c>
      <c r="BC23" s="213">
        <f t="shared" si="11"/>
        <v>1.2193353788133021</v>
      </c>
      <c r="BD23" s="205">
        <f t="shared" si="12"/>
        <v>1255.8372230428361</v>
      </c>
      <c r="BE23" s="212"/>
      <c r="BF23" s="212"/>
      <c r="BG23" s="212"/>
      <c r="BH23" s="212" t="str">
        <f t="shared" si="13"/>
        <v/>
      </c>
      <c r="BI23" s="213" t="str">
        <f t="shared" si="14"/>
        <v/>
      </c>
      <c r="BJ23" s="213" t="str">
        <f t="shared" si="15"/>
        <v/>
      </c>
      <c r="BK23" s="212" t="str">
        <f t="shared" si="16"/>
        <v/>
      </c>
      <c r="BL23" s="205" t="str">
        <f t="shared" si="17"/>
        <v/>
      </c>
      <c r="BM23" s="213" t="str">
        <f t="shared" si="18"/>
        <v/>
      </c>
      <c r="BN23" s="210">
        <f t="shared" si="19"/>
        <v>22.01834862385321</v>
      </c>
      <c r="BO23" s="210">
        <f t="shared" si="20"/>
        <v>50.148148148148145</v>
      </c>
      <c r="BP23" s="205" t="str">
        <f t="shared" si="21"/>
        <v/>
      </c>
      <c r="BQ23" s="205" t="str">
        <f t="shared" si="22"/>
        <v/>
      </c>
      <c r="BR23" s="212">
        <f t="shared" si="23"/>
        <v>1.2555391432791729E-2</v>
      </c>
      <c r="BT23" s="215">
        <f t="shared" si="24"/>
        <v>125154</v>
      </c>
      <c r="BU23" s="215">
        <f t="shared" si="25"/>
        <v>152604.70000000001</v>
      </c>
      <c r="BV23" s="215">
        <f t="shared" si="26"/>
        <v>17647.45</v>
      </c>
      <c r="BW23" s="215">
        <f t="shared" si="27"/>
        <v>4885</v>
      </c>
      <c r="BX23" s="216">
        <f t="shared" si="28"/>
        <v>474.55567732405774</v>
      </c>
      <c r="BY23" s="217">
        <f t="shared" si="29"/>
        <v>2.3769916838021521</v>
      </c>
      <c r="BZ23" s="218">
        <f t="shared" si="30"/>
        <v>0.96435506241331481</v>
      </c>
      <c r="CA23" s="215">
        <f t="shared" si="31"/>
        <v>1406695</v>
      </c>
      <c r="CB23" s="215">
        <f t="shared" si="32"/>
        <v>12927</v>
      </c>
      <c r="CC23" s="219">
        <f t="shared" si="33"/>
        <v>0</v>
      </c>
      <c r="CD23" s="219">
        <f t="shared" si="34"/>
        <v>0</v>
      </c>
      <c r="CE23" s="220">
        <f t="shared" si="35"/>
        <v>0.83460949464012246</v>
      </c>
      <c r="CF23" s="215"/>
      <c r="CG23" s="215"/>
      <c r="CH23" s="215"/>
      <c r="CI23" s="216">
        <f t="shared" si="36"/>
        <v>92.432791728212706</v>
      </c>
      <c r="CJ23" s="215">
        <f t="shared" si="37"/>
        <v>0</v>
      </c>
      <c r="CK23" s="215">
        <f t="shared" si="38"/>
        <v>38150</v>
      </c>
      <c r="CL23" s="215">
        <f t="shared" si="39"/>
        <v>17</v>
      </c>
      <c r="CM23" s="219">
        <f t="shared" si="40"/>
        <v>11</v>
      </c>
      <c r="CN23" s="215"/>
      <c r="CO23" s="215">
        <f t="shared" si="41"/>
        <v>19919</v>
      </c>
      <c r="CP23">
        <f>MIS_Calc!$B$8</f>
        <v>135</v>
      </c>
      <c r="CQ23">
        <f>MIS_Calc!$B$9</f>
        <v>8</v>
      </c>
      <c r="CR23">
        <f>MIS_Calc!$B$10</f>
        <v>0.95</v>
      </c>
      <c r="CS23">
        <f>MIS_Calc!$B$11</f>
        <v>0.9</v>
      </c>
    </row>
    <row r="24" spans="1:99" x14ac:dyDescent="0.2">
      <c r="A24" t="s">
        <v>126</v>
      </c>
      <c r="B24">
        <v>30</v>
      </c>
      <c r="C24" s="209" t="str">
        <f>IF('Complaints summary'!C11="","",'Complaints summary'!C11)</f>
        <v/>
      </c>
      <c r="D24" s="209" t="str">
        <f>IF('Complaints summary'!F11="","",'Complaints summary'!F11)</f>
        <v/>
      </c>
      <c r="E24" s="209" t="str">
        <f>IF('Complaints summary'!I11="","",'Complaints summary'!I11)</f>
        <v/>
      </c>
      <c r="F24" s="209" t="str">
        <f>IF('Complaints summary'!D11="","",'Complaints summary'!D11)</f>
        <v/>
      </c>
      <c r="G24" s="205">
        <f>IF(LPCD!C11="","",LPCD!C11/1000)</f>
        <v>21828</v>
      </c>
      <c r="H24" s="205">
        <f>IF(LPCD!D11="","",LPCD!D11)</f>
        <v>1354</v>
      </c>
      <c r="I24" s="210">
        <f>IF(LPCD!F11="","",LPCD!F11)</f>
        <v>537.37075332348593</v>
      </c>
      <c r="J24" s="205">
        <f>IF('Building wise water'!L38="","",'Building wise water'!L38)</f>
        <v>18490.490000000002</v>
      </c>
      <c r="K24" s="205">
        <f>IF('Building wise water'!L39="","",'Building wise water'!L39)</f>
        <v>3764</v>
      </c>
      <c r="L24" s="205">
        <f>IF('Building wise water'!L33="","",'Building wise water'!L33)</f>
        <v>12096</v>
      </c>
      <c r="M24" s="205">
        <f>IF('Building wise water'!L34="","",'Building wise water'!L34)</f>
        <v>7080</v>
      </c>
      <c r="N24" s="205">
        <f>IF('Power data'!C10="","",'Power data'!C10)</f>
        <v>198066</v>
      </c>
      <c r="O24" s="205">
        <f>IF('Power data'!D10="","",'Power data'!D10)</f>
        <v>204438</v>
      </c>
      <c r="P24" s="211">
        <f>IF('Power data'!E10="","",'Power data'!E10)</f>
        <v>0.96883162621430463</v>
      </c>
      <c r="Q24" s="205">
        <f>IF('Power data'!F10="","",'Power data'!F10)</f>
        <v>2109953</v>
      </c>
      <c r="R24" s="212">
        <f>IF('Power data'!G10="","",'Power data'!G10)</f>
        <v>10.320747610522506</v>
      </c>
      <c r="S24" s="205">
        <f>IF('Power data'!H10="","",'Power data'!H10)</f>
        <v>744</v>
      </c>
      <c r="T24" s="205">
        <f>IF('Power data'!I10="","",'Power data'!I10)</f>
        <v>1276</v>
      </c>
      <c r="U24" s="212">
        <f>IF(EPI!D10="","",EPI!D10)</f>
        <v>3.7617753714939757</v>
      </c>
      <c r="V24" s="205">
        <f>IF('Solar Power'!F32="","",'Solar Power'!F32)</f>
        <v>136018.1</v>
      </c>
      <c r="W24" s="205">
        <f>IF('Solar Power'!C8="","",'Solar Power'!C8)</f>
        <v>227564</v>
      </c>
      <c r="X24" s="205">
        <f>IF('Solar Power'!D8="","",'Solar Power'!D8)</f>
        <v>2685255.2</v>
      </c>
      <c r="Y24" s="205">
        <f>IF('DG Units Generated'!E11="","",'DG Units Generated'!E11)</f>
        <v>22</v>
      </c>
      <c r="Z24" s="209">
        <f>IF('DG Units Generated'!G11="","",'DG Units Generated'!G11)</f>
        <v>4</v>
      </c>
      <c r="AA24" s="210">
        <f>IF('DG Units Generated'!H11="","",'DG Units Generated'!H11)</f>
        <v>0.55000000000000004</v>
      </c>
      <c r="AB24" s="205">
        <f>IF('HVAC consumption'!N11="","",'HVAC consumption'!N11)</f>
        <v>62374</v>
      </c>
      <c r="AC24" s="205"/>
      <c r="AD24" s="212"/>
      <c r="AE24" s="205"/>
      <c r="AF24" s="205"/>
      <c r="AG24" s="212"/>
      <c r="AH24" s="205"/>
      <c r="AI24" s="205"/>
      <c r="AJ24" s="205" t="str">
        <f>IF('Technical manpower cost'!E55="","",'Technical manpower cost'!E55*1000)</f>
        <v/>
      </c>
      <c r="AK24" s="205" t="str">
        <f>IF('Technical manpower cost'!F55="","",'Technical manpower cost'!F55*1000)</f>
        <v/>
      </c>
      <c r="AL24" s="205">
        <f>IF(Attendance!C11="","",Attendance!C11)</f>
        <v>530</v>
      </c>
      <c r="AM24" s="205">
        <f>IF(Attendance!C11="","",Attendance!D11)</f>
        <v>676</v>
      </c>
      <c r="AN24" s="213">
        <f>IF(Attendance!E11="","",Attendance!E11)</f>
        <v>0.78402366863905326</v>
      </c>
      <c r="AO24" s="205" t="str">
        <f>IF(Attendance!F11="","",Attendance!F11)</f>
        <v/>
      </c>
      <c r="AP24" s="209">
        <f>IF(Attendance!C11="","",Attendance!I11)</f>
        <v>26</v>
      </c>
      <c r="AQ24" s="214">
        <f>IF('Monthly KPI Report'!S6="MISSING","",'Monthly KPI Report'!R6)</f>
        <v>0.75</v>
      </c>
      <c r="AR24" s="210">
        <f t="shared" si="1"/>
        <v>146.2821270310192</v>
      </c>
      <c r="AS24" s="205">
        <f t="shared" si="2"/>
        <v>1558.3109305760709</v>
      </c>
      <c r="AT24" s="212">
        <f t="shared" si="3"/>
        <v>46.066469719350074</v>
      </c>
      <c r="AU24" s="212"/>
      <c r="AV24" s="213">
        <f t="shared" si="4"/>
        <v>0.58307210031347967</v>
      </c>
      <c r="AW24" s="210">
        <f t="shared" si="5"/>
        <v>455.20654849827673</v>
      </c>
      <c r="AX24" s="210">
        <f t="shared" si="6"/>
        <v>92.663712456917779</v>
      </c>
      <c r="AY24" s="210">
        <f t="shared" si="7"/>
        <v>297.78434268833087</v>
      </c>
      <c r="AZ24" s="210">
        <f t="shared" si="8"/>
        <v>174.2983751846381</v>
      </c>
      <c r="BA24" s="213">
        <f t="shared" si="9"/>
        <v>0.16913440838230845</v>
      </c>
      <c r="BB24" s="210">
        <f t="shared" si="10"/>
        <v>100.45649926144756</v>
      </c>
      <c r="BC24" s="213">
        <f t="shared" si="11"/>
        <v>0.68673119061322996</v>
      </c>
      <c r="BD24" s="205">
        <f t="shared" si="12"/>
        <v>1983.2017725258495</v>
      </c>
      <c r="BE24" s="212"/>
      <c r="BF24" s="212"/>
      <c r="BG24" s="212"/>
      <c r="BH24" s="212" t="str">
        <f t="shared" si="13"/>
        <v/>
      </c>
      <c r="BI24" s="213" t="str">
        <f t="shared" si="14"/>
        <v/>
      </c>
      <c r="BJ24" s="213" t="str">
        <f t="shared" si="15"/>
        <v/>
      </c>
      <c r="BK24" s="212" t="str">
        <f t="shared" si="16"/>
        <v/>
      </c>
      <c r="BL24" s="205" t="str">
        <f t="shared" si="17"/>
        <v/>
      </c>
      <c r="BM24" s="213" t="str">
        <f t="shared" si="18"/>
        <v/>
      </c>
      <c r="BN24" s="210" t="str">
        <f t="shared" si="19"/>
        <v/>
      </c>
      <c r="BO24" s="210">
        <f t="shared" si="20"/>
        <v>52.07692307692308</v>
      </c>
      <c r="BP24" s="205" t="str">
        <f t="shared" si="21"/>
        <v/>
      </c>
      <c r="BQ24" s="205" t="str">
        <f t="shared" si="22"/>
        <v/>
      </c>
      <c r="BR24" s="212">
        <f t="shared" si="23"/>
        <v>1.6248153618906941E-2</v>
      </c>
      <c r="BT24" s="215">
        <f t="shared" si="24"/>
        <v>198066</v>
      </c>
      <c r="BU24" s="215">
        <f t="shared" si="25"/>
        <v>136018.1</v>
      </c>
      <c r="BV24" s="215">
        <f t="shared" si="26"/>
        <v>18490.490000000002</v>
      </c>
      <c r="BW24" s="215">
        <f t="shared" si="27"/>
        <v>3764</v>
      </c>
      <c r="BX24" s="216">
        <f t="shared" si="28"/>
        <v>537.37075332348593</v>
      </c>
      <c r="BY24" s="217">
        <f t="shared" si="29"/>
        <v>3.7617753714939757</v>
      </c>
      <c r="BZ24" s="218">
        <f t="shared" si="30"/>
        <v>0.96883162621430463</v>
      </c>
      <c r="CA24" s="215">
        <f t="shared" si="31"/>
        <v>2109953</v>
      </c>
      <c r="CB24" s="215">
        <f t="shared" si="32"/>
        <v>12096</v>
      </c>
      <c r="CC24" s="219">
        <f t="shared" si="33"/>
        <v>0</v>
      </c>
      <c r="CD24" s="219">
        <f t="shared" si="34"/>
        <v>0</v>
      </c>
      <c r="CE24" s="220">
        <f t="shared" si="35"/>
        <v>0.78402366863905326</v>
      </c>
      <c r="CF24" s="215"/>
      <c r="CG24" s="215"/>
      <c r="CH24" s="215"/>
      <c r="CI24" s="216">
        <f t="shared" si="36"/>
        <v>146.2821270310192</v>
      </c>
      <c r="CJ24" s="215">
        <f t="shared" si="37"/>
        <v>0</v>
      </c>
      <c r="CK24" s="215">
        <f t="shared" si="38"/>
        <v>62374</v>
      </c>
      <c r="CL24" s="215">
        <f t="shared" si="39"/>
        <v>22</v>
      </c>
      <c r="CM24" s="219">
        <f t="shared" si="40"/>
        <v>4</v>
      </c>
      <c r="CN24" s="215"/>
      <c r="CO24" s="215">
        <f t="shared" si="41"/>
        <v>21828</v>
      </c>
      <c r="CP24">
        <f>MIS_Calc!$B$8</f>
        <v>135</v>
      </c>
      <c r="CQ24">
        <f>MIS_Calc!$B$9</f>
        <v>8</v>
      </c>
      <c r="CR24">
        <f>MIS_Calc!$B$10</f>
        <v>0.95</v>
      </c>
      <c r="CS24">
        <f>MIS_Calc!$B$11</f>
        <v>0.9</v>
      </c>
    </row>
    <row r="25" spans="1:99" x14ac:dyDescent="0.2">
      <c r="A25" t="s">
        <v>127</v>
      </c>
      <c r="B25">
        <v>31</v>
      </c>
      <c r="C25" s="209" t="str">
        <f>IF('Complaints summary'!C12="","",'Complaints summary'!C12)</f>
        <v/>
      </c>
      <c r="D25" s="209" t="str">
        <f>IF('Complaints summary'!F12="","",'Complaints summary'!F12)</f>
        <v/>
      </c>
      <c r="E25" s="209" t="str">
        <f>IF('Complaints summary'!I12="","",'Complaints summary'!I12)</f>
        <v/>
      </c>
      <c r="F25" s="209" t="str">
        <f>IF('Complaints summary'!D12="","",'Complaints summary'!D12)</f>
        <v/>
      </c>
      <c r="G25" s="205">
        <f>IF(LPCD!C12="","",LPCD!C12/1000)</f>
        <v>26607</v>
      </c>
      <c r="H25" s="205">
        <f>IF(LPCD!D12="","",LPCD!D12)</f>
        <v>1354</v>
      </c>
      <c r="I25" s="210">
        <f>IF(LPCD!F12="","",LPCD!F12)</f>
        <v>633.89240958688708</v>
      </c>
      <c r="J25" s="205">
        <f>IF('Building wise water'!M38="","",'Building wise water'!M38)</f>
        <v>21759.4</v>
      </c>
      <c r="K25" s="205">
        <f>IF('Building wise water'!M39="","",'Building wise water'!M39)</f>
        <v>1496</v>
      </c>
      <c r="L25" s="205">
        <f>IF('Building wise water'!M33="","",'Building wise water'!M33)</f>
        <v>11615</v>
      </c>
      <c r="M25" s="205">
        <f>IF('Building wise water'!M34="","",'Building wise water'!M34)</f>
        <v>7193</v>
      </c>
      <c r="N25" s="205">
        <f>IF('Power data'!C11="","",'Power data'!C11)</f>
        <v>222144</v>
      </c>
      <c r="O25" s="205">
        <f>IF('Power data'!D11="","",'Power data'!D11)</f>
        <v>226842</v>
      </c>
      <c r="P25" s="211">
        <f>IF('Power data'!E11="","",'Power data'!E11)</f>
        <v>0.97928954955431535</v>
      </c>
      <c r="Q25" s="205">
        <f>IF('Power data'!F11="","",'Power data'!F11)</f>
        <v>2496490</v>
      </c>
      <c r="R25" s="212">
        <f>IF('Power data'!G11="","",'Power data'!G11)</f>
        <v>11.005413459588612</v>
      </c>
      <c r="S25" s="205">
        <f>IF('Power data'!H11="","",'Power data'!H11)</f>
        <v>706</v>
      </c>
      <c r="T25" s="205">
        <f>IF('Power data'!I11="","",'Power data'!I11)</f>
        <v>1276</v>
      </c>
      <c r="U25" s="212">
        <f>IF(EPI!D11="","",EPI!D11)</f>
        <v>4.2190776212230157</v>
      </c>
      <c r="V25" s="205">
        <f>IF('Solar Power'!G32="","",'Solar Power'!G32)</f>
        <v>145805.6</v>
      </c>
      <c r="W25" s="205">
        <f>IF('Solar Power'!C9="","",'Solar Power'!C9)</f>
        <v>131666</v>
      </c>
      <c r="X25" s="205">
        <f>IF('Solar Power'!D9="","",'Solar Power'!D9)</f>
        <v>1553658.8</v>
      </c>
      <c r="Y25" s="205">
        <f>IF('DG Units Generated'!E12="","",'DG Units Generated'!E12)</f>
        <v>44</v>
      </c>
      <c r="Z25" s="209">
        <f>IF('DG Units Generated'!G12="","",'DG Units Generated'!G12)</f>
        <v>2</v>
      </c>
      <c r="AA25" s="210">
        <f>IF('DG Units Generated'!H12="","",'DG Units Generated'!H12)</f>
        <v>6.25</v>
      </c>
      <c r="AB25" s="205">
        <f>IF('HVAC consumption'!N12="","",'HVAC consumption'!N12)</f>
        <v>23976.400000000001</v>
      </c>
      <c r="AC25" s="205"/>
      <c r="AD25" s="212"/>
      <c r="AE25" s="205"/>
      <c r="AF25" s="205"/>
      <c r="AG25" s="212"/>
      <c r="AH25" s="205"/>
      <c r="AI25" s="205"/>
      <c r="AJ25" s="205" t="str">
        <f>IF('Technical manpower cost'!E56="","",'Technical manpower cost'!E56*1000)</f>
        <v/>
      </c>
      <c r="AK25" s="205" t="str">
        <f>IF('Technical manpower cost'!F56="","",'Technical manpower cost'!F56*1000)</f>
        <v/>
      </c>
      <c r="AL25" s="205">
        <f>IF(Attendance!C12="","",Attendance!C12)</f>
        <v>550</v>
      </c>
      <c r="AM25" s="205">
        <f>IF(Attendance!C12="","",Attendance!D12)</f>
        <v>655</v>
      </c>
      <c r="AN25" s="213">
        <f>IF(Attendance!E12="","",Attendance!E12)</f>
        <v>0.83969465648854957</v>
      </c>
      <c r="AO25" s="205" t="str">
        <f>IF(Attendance!F12="","",Attendance!F12)</f>
        <v/>
      </c>
      <c r="AP25" s="209">
        <f>IF(Attendance!C12="","",Attendance!I12)</f>
        <v>26</v>
      </c>
      <c r="AQ25" s="214">
        <f>IF('Monthly KPI Report'!S7="MISSING","",'Monthly KPI Report'!R7)</f>
        <v>0.75</v>
      </c>
      <c r="AR25" s="210">
        <f t="shared" si="1"/>
        <v>164.06499261447561</v>
      </c>
      <c r="AS25" s="205">
        <f t="shared" si="2"/>
        <v>1843.7887740029541</v>
      </c>
      <c r="AT25" s="212">
        <f t="shared" si="3"/>
        <v>17.707828655834565</v>
      </c>
      <c r="AU25" s="212"/>
      <c r="AV25" s="213">
        <f t="shared" si="4"/>
        <v>0.55329153605015668</v>
      </c>
      <c r="AW25" s="210">
        <f t="shared" si="5"/>
        <v>518.40186782293802</v>
      </c>
      <c r="AX25" s="210">
        <f t="shared" si="6"/>
        <v>35.641111164053939</v>
      </c>
      <c r="AY25" s="210">
        <f t="shared" si="7"/>
        <v>276.71892123695619</v>
      </c>
      <c r="AZ25" s="210">
        <f t="shared" si="8"/>
        <v>171.36798970791443</v>
      </c>
      <c r="BA25" s="213">
        <f t="shared" si="9"/>
        <v>6.4329145058782039E-2</v>
      </c>
      <c r="BB25" s="210">
        <f t="shared" si="10"/>
        <v>107.6850812407681</v>
      </c>
      <c r="BC25" s="213">
        <f t="shared" si="11"/>
        <v>0.65635623739556326</v>
      </c>
      <c r="BD25" s="205">
        <f t="shared" si="12"/>
        <v>1147.4584933530282</v>
      </c>
      <c r="BE25" s="212"/>
      <c r="BF25" s="212"/>
      <c r="BG25" s="212"/>
      <c r="BH25" s="212" t="str">
        <f t="shared" si="13"/>
        <v/>
      </c>
      <c r="BI25" s="213" t="str">
        <f t="shared" si="14"/>
        <v/>
      </c>
      <c r="BJ25" s="213" t="str">
        <f t="shared" si="15"/>
        <v/>
      </c>
      <c r="BK25" s="212" t="str">
        <f t="shared" si="16"/>
        <v/>
      </c>
      <c r="BL25" s="205" t="str">
        <f t="shared" si="17"/>
        <v/>
      </c>
      <c r="BM25" s="213" t="str">
        <f t="shared" si="18"/>
        <v/>
      </c>
      <c r="BN25" s="210" t="str">
        <f t="shared" si="19"/>
        <v/>
      </c>
      <c r="BO25" s="210">
        <f t="shared" si="20"/>
        <v>52.07692307692308</v>
      </c>
      <c r="BP25" s="205" t="str">
        <f t="shared" si="21"/>
        <v/>
      </c>
      <c r="BQ25" s="205" t="str">
        <f t="shared" si="22"/>
        <v/>
      </c>
      <c r="BR25" s="212">
        <f t="shared" si="23"/>
        <v>3.2496307237813882E-2</v>
      </c>
      <c r="BT25" s="215">
        <f t="shared" si="24"/>
        <v>222144</v>
      </c>
      <c r="BU25" s="215">
        <f t="shared" si="25"/>
        <v>145805.6</v>
      </c>
      <c r="BV25" s="215">
        <f t="shared" si="26"/>
        <v>21759.4</v>
      </c>
      <c r="BW25" s="215">
        <f t="shared" si="27"/>
        <v>1496</v>
      </c>
      <c r="BX25" s="216">
        <f t="shared" si="28"/>
        <v>633.89240958688708</v>
      </c>
      <c r="BY25" s="217">
        <f t="shared" si="29"/>
        <v>4.2190776212230157</v>
      </c>
      <c r="BZ25" s="218">
        <f t="shared" si="30"/>
        <v>0.97928954955431535</v>
      </c>
      <c r="CA25" s="215">
        <f t="shared" si="31"/>
        <v>2496490</v>
      </c>
      <c r="CB25" s="215">
        <f t="shared" si="32"/>
        <v>11615</v>
      </c>
      <c r="CC25" s="219">
        <f t="shared" si="33"/>
        <v>0</v>
      </c>
      <c r="CD25" s="219">
        <f t="shared" si="34"/>
        <v>0</v>
      </c>
      <c r="CE25" s="220">
        <f t="shared" si="35"/>
        <v>0.83969465648854957</v>
      </c>
      <c r="CF25" s="215"/>
      <c r="CG25" s="215"/>
      <c r="CH25" s="215"/>
      <c r="CI25" s="216">
        <f t="shared" si="36"/>
        <v>164.06499261447561</v>
      </c>
      <c r="CJ25" s="215">
        <f t="shared" si="37"/>
        <v>0</v>
      </c>
      <c r="CK25" s="215">
        <f t="shared" si="38"/>
        <v>23976.400000000001</v>
      </c>
      <c r="CL25" s="215">
        <f t="shared" si="39"/>
        <v>44</v>
      </c>
      <c r="CM25" s="219">
        <f t="shared" si="40"/>
        <v>2</v>
      </c>
      <c r="CN25" s="215"/>
      <c r="CO25" s="215">
        <f t="shared" si="41"/>
        <v>26607</v>
      </c>
      <c r="CP25">
        <f>MIS_Calc!$B$8</f>
        <v>135</v>
      </c>
      <c r="CQ25">
        <f>MIS_Calc!$B$9</f>
        <v>8</v>
      </c>
      <c r="CR25">
        <f>MIS_Calc!$B$10</f>
        <v>0.95</v>
      </c>
      <c r="CS25">
        <f>MIS_Calc!$B$11</f>
        <v>0.9</v>
      </c>
    </row>
    <row r="26" spans="1:99" x14ac:dyDescent="0.2">
      <c r="A26" t="s">
        <v>128</v>
      </c>
      <c r="B26">
        <v>30</v>
      </c>
      <c r="C26" s="209">
        <f>IF('Complaints summary'!C13="","",'Complaints summary'!C13)</f>
        <v>155</v>
      </c>
      <c r="D26" s="209">
        <f>IF('Complaints summary'!F13="","",'Complaints summary'!F13)</f>
        <v>155</v>
      </c>
      <c r="E26" s="209" t="str">
        <f>IF('Complaints summary'!I13="","",'Complaints summary'!I13)</f>
        <v/>
      </c>
      <c r="F26" s="209">
        <f>IF('Complaints summary'!D13="","",'Complaints summary'!D13)</f>
        <v>5</v>
      </c>
      <c r="G26" s="205">
        <f>IF(LPCD!C13="","",LPCD!C13/1000)</f>
        <v>12988</v>
      </c>
      <c r="H26" s="205">
        <f>IF(LPCD!D13="","",LPCD!D13)</f>
        <v>1354</v>
      </c>
      <c r="I26" s="210">
        <f>IF(LPCD!F13="","",LPCD!F13)</f>
        <v>319.74396848842935</v>
      </c>
      <c r="J26" s="205">
        <f>IF('Building wise water'!N38="","",'Building wise water'!N38)</f>
        <v>11528.59</v>
      </c>
      <c r="K26" s="205">
        <f>IF('Building wise water'!N39="","",'Building wise water'!N39)</f>
        <v>1929</v>
      </c>
      <c r="L26" s="205">
        <f>IF('Building wise water'!N33="","",'Building wise water'!N33)</f>
        <v>7361</v>
      </c>
      <c r="M26" s="205">
        <f>IF('Building wise water'!N34="","",'Building wise water'!N34)</f>
        <v>3865</v>
      </c>
      <c r="N26" s="205">
        <f>IF('Power data'!C12="","",'Power data'!C12)</f>
        <v>72912</v>
      </c>
      <c r="O26" s="205">
        <f>IF('Power data'!D12="","",'Power data'!D12)</f>
        <v>75684</v>
      </c>
      <c r="P26" s="211">
        <f>IF('Power data'!E12="","",'Power data'!E12)</f>
        <v>0.96337402885682577</v>
      </c>
      <c r="Q26" s="205">
        <f>IF('Power data'!F12="","",'Power data'!F12)</f>
        <v>777429</v>
      </c>
      <c r="R26" s="212">
        <f>IF('Power data'!G12="","",'Power data'!G12)</f>
        <v>10.272039004280957</v>
      </c>
      <c r="S26" s="205">
        <f>IF('Power data'!H12="","",'Power data'!H12)</f>
        <v>321</v>
      </c>
      <c r="T26" s="205">
        <f>IF('Power data'!I12="","",'Power data'!I12)</f>
        <v>1276</v>
      </c>
      <c r="U26" s="212">
        <f>IF(EPI!D12="","",EPI!D12)</f>
        <v>1.3847836876918238</v>
      </c>
      <c r="V26" s="205">
        <f>IF('Solar Power'!H32="","",'Solar Power'!H32)</f>
        <v>128018</v>
      </c>
      <c r="W26" s="205">
        <f>IF('Solar Power'!C10="","",'Solar Power'!C10)</f>
        <v>128018</v>
      </c>
      <c r="X26" s="205">
        <f>IF('Solar Power'!D10="","",'Solar Power'!D10)</f>
        <v>1510612.4000000001</v>
      </c>
      <c r="Y26" s="205">
        <f>IF('DG Units Generated'!E13="","",'DG Units Generated'!E13)</f>
        <v>26</v>
      </c>
      <c r="Z26" s="209">
        <f>IF('DG Units Generated'!G13="","",'DG Units Generated'!G13)</f>
        <v>5</v>
      </c>
      <c r="AA26" s="210">
        <f>IF('DG Units Generated'!H13="","",'DG Units Generated'!H13)</f>
        <v>1.45</v>
      </c>
      <c r="AB26" s="205">
        <f>IF('HVAC consumption'!N13="","",'HVAC consumption'!N13)</f>
        <v>11970.4</v>
      </c>
      <c r="AC26" s="205"/>
      <c r="AD26" s="212"/>
      <c r="AE26" s="205"/>
      <c r="AF26" s="205"/>
      <c r="AG26" s="212"/>
      <c r="AH26" s="205"/>
      <c r="AI26" s="205"/>
      <c r="AJ26" s="205" t="str">
        <f>IF('Technical manpower cost'!E57="","",'Technical manpower cost'!E57*1000)</f>
        <v/>
      </c>
      <c r="AK26" s="205" t="str">
        <f>IF('Technical manpower cost'!F57="","",'Technical manpower cost'!F57*1000)</f>
        <v/>
      </c>
      <c r="AL26" s="205">
        <f>IF(Attendance!C13="","",Attendance!C13)</f>
        <v>580</v>
      </c>
      <c r="AM26" s="205">
        <f>IF(Attendance!C13="","",Attendance!D13)</f>
        <v>663</v>
      </c>
      <c r="AN26" s="213">
        <f>IF(Attendance!E13="","",Attendance!E13)</f>
        <v>0.87481146304675717</v>
      </c>
      <c r="AO26" s="205" t="str">
        <f>IF(Attendance!F13="","",Attendance!F13)</f>
        <v/>
      </c>
      <c r="AP26" s="209">
        <f>IF(Attendance!C13="","",Attendance!I13)</f>
        <v>27</v>
      </c>
      <c r="AQ26" s="214">
        <f>IF('Monthly KPI Report'!S8="MISSING","",'Monthly KPI Report'!R8)</f>
        <v>0.875</v>
      </c>
      <c r="AR26" s="210">
        <f t="shared" si="1"/>
        <v>53.849335302806502</v>
      </c>
      <c r="AS26" s="205">
        <f t="shared" si="2"/>
        <v>574.17208271787297</v>
      </c>
      <c r="AT26" s="212">
        <f t="shared" si="3"/>
        <v>8.8407680945347114</v>
      </c>
      <c r="AU26" s="212"/>
      <c r="AV26" s="213">
        <f t="shared" si="4"/>
        <v>0.25156739811912227</v>
      </c>
      <c r="AW26" s="210">
        <f t="shared" si="5"/>
        <v>283.81560807483999</v>
      </c>
      <c r="AX26" s="210">
        <f t="shared" si="6"/>
        <v>47.488921713441655</v>
      </c>
      <c r="AY26" s="210">
        <f t="shared" si="7"/>
        <v>181.21614967996061</v>
      </c>
      <c r="AZ26" s="210">
        <f t="shared" si="8"/>
        <v>95.150172328902016</v>
      </c>
      <c r="BA26" s="213">
        <f t="shared" si="9"/>
        <v>0.14333918628818385</v>
      </c>
      <c r="BB26" s="210">
        <f t="shared" si="10"/>
        <v>94.548005908419498</v>
      </c>
      <c r="BC26" s="213">
        <f t="shared" si="11"/>
        <v>1.7557877989905639</v>
      </c>
      <c r="BD26" s="205">
        <f t="shared" si="12"/>
        <v>1115.6664697193503</v>
      </c>
      <c r="BE26" s="212"/>
      <c r="BF26" s="212"/>
      <c r="BG26" s="212"/>
      <c r="BH26" s="212">
        <f t="shared" si="13"/>
        <v>11.447562776957165</v>
      </c>
      <c r="BI26" s="213">
        <f t="shared" si="14"/>
        <v>1</v>
      </c>
      <c r="BJ26" s="213">
        <f t="shared" si="15"/>
        <v>3.2258064516129031E-2</v>
      </c>
      <c r="BK26" s="212" t="str">
        <f t="shared" si="16"/>
        <v/>
      </c>
      <c r="BL26" s="205" t="str">
        <f t="shared" si="17"/>
        <v/>
      </c>
      <c r="BM26" s="213" t="str">
        <f t="shared" si="18"/>
        <v/>
      </c>
      <c r="BN26" s="210" t="str">
        <f t="shared" si="19"/>
        <v/>
      </c>
      <c r="BO26" s="210">
        <f t="shared" si="20"/>
        <v>50.148148148148145</v>
      </c>
      <c r="BP26" s="205" t="str">
        <f t="shared" si="21"/>
        <v/>
      </c>
      <c r="BQ26" s="205" t="str">
        <f t="shared" si="22"/>
        <v/>
      </c>
      <c r="BR26" s="212">
        <f t="shared" si="23"/>
        <v>1.9202363367799114E-2</v>
      </c>
      <c r="BT26" s="215">
        <f t="shared" si="24"/>
        <v>72912</v>
      </c>
      <c r="BU26" s="215">
        <f t="shared" si="25"/>
        <v>128018</v>
      </c>
      <c r="BV26" s="215">
        <f t="shared" si="26"/>
        <v>11528.59</v>
      </c>
      <c r="BW26" s="215">
        <f t="shared" si="27"/>
        <v>1929</v>
      </c>
      <c r="BX26" s="216">
        <f t="shared" si="28"/>
        <v>319.74396848842935</v>
      </c>
      <c r="BY26" s="217">
        <f t="shared" si="29"/>
        <v>1.3847836876918238</v>
      </c>
      <c r="BZ26" s="218">
        <f t="shared" si="30"/>
        <v>0.96337402885682577</v>
      </c>
      <c r="CA26" s="215">
        <f t="shared" si="31"/>
        <v>777429</v>
      </c>
      <c r="CB26" s="215">
        <f t="shared" si="32"/>
        <v>7361</v>
      </c>
      <c r="CC26" s="219">
        <f t="shared" si="33"/>
        <v>155</v>
      </c>
      <c r="CD26" s="219">
        <f t="shared" si="34"/>
        <v>155</v>
      </c>
      <c r="CE26" s="220">
        <f t="shared" si="35"/>
        <v>0.87481146304675717</v>
      </c>
      <c r="CF26" s="215"/>
      <c r="CG26" s="215"/>
      <c r="CH26" s="215"/>
      <c r="CI26" s="216">
        <f t="shared" si="36"/>
        <v>53.849335302806502</v>
      </c>
      <c r="CJ26" s="215">
        <f t="shared" si="37"/>
        <v>0</v>
      </c>
      <c r="CK26" s="215">
        <f t="shared" si="38"/>
        <v>11970.4</v>
      </c>
      <c r="CL26" s="215">
        <f t="shared" si="39"/>
        <v>26</v>
      </c>
      <c r="CM26" s="219">
        <f t="shared" si="40"/>
        <v>5</v>
      </c>
      <c r="CN26" s="215"/>
      <c r="CO26" s="215">
        <f t="shared" si="41"/>
        <v>12988</v>
      </c>
      <c r="CP26">
        <f>MIS_Calc!$B$8</f>
        <v>135</v>
      </c>
      <c r="CQ26">
        <f>MIS_Calc!$B$9</f>
        <v>8</v>
      </c>
      <c r="CR26">
        <f>MIS_Calc!$B$10</f>
        <v>0.95</v>
      </c>
      <c r="CS26">
        <f>MIS_Calc!$B$11</f>
        <v>0.9</v>
      </c>
    </row>
    <row r="27" spans="1:99" x14ac:dyDescent="0.2">
      <c r="A27" t="s">
        <v>129</v>
      </c>
      <c r="B27">
        <v>31</v>
      </c>
      <c r="C27" s="209">
        <f>IF('Complaints summary'!C14="","",'Complaints summary'!C14)</f>
        <v>168</v>
      </c>
      <c r="D27" s="209">
        <f>IF('Complaints summary'!F14="","",'Complaints summary'!F14)</f>
        <v>127</v>
      </c>
      <c r="E27" s="209" t="str">
        <f>IF('Complaints summary'!I14="","",'Complaints summary'!I14)</f>
        <v/>
      </c>
      <c r="F27" s="209">
        <f>IF('Complaints summary'!D14="","",'Complaints summary'!D14)</f>
        <v>6</v>
      </c>
      <c r="G27" s="205">
        <f>IF(LPCD!C14="","",LPCD!C14/1000)</f>
        <v>9633</v>
      </c>
      <c r="H27" s="205">
        <f>IF(LPCD!D14="","",LPCD!D14)</f>
        <v>1354</v>
      </c>
      <c r="I27" s="210">
        <f>IF(LPCD!F14="","",LPCD!F14)</f>
        <v>229.49921379901843</v>
      </c>
      <c r="J27" s="205">
        <f>IF('Building wise water'!O38="","",'Building wise water'!O38)</f>
        <v>15618.59</v>
      </c>
      <c r="K27" s="205">
        <f>IF('Building wise water'!O39="","",'Building wise water'!O39)</f>
        <v>2303</v>
      </c>
      <c r="L27" s="205">
        <f>IF('Building wise water'!O33="","",'Building wise water'!O33)</f>
        <v>8310</v>
      </c>
      <c r="M27" s="205">
        <f>IF('Building wise water'!O34="","",'Building wise water'!O34)</f>
        <v>1136</v>
      </c>
      <c r="N27" s="205">
        <f>IF('Power data'!C13="","",'Power data'!C13)</f>
        <v>122658</v>
      </c>
      <c r="O27" s="205">
        <f>IF('Power data'!D13="","",'Power data'!D13)</f>
        <v>126318</v>
      </c>
      <c r="P27" s="211">
        <f>IF('Power data'!E13="","",'Power data'!E13)</f>
        <v>0.97102550705362656</v>
      </c>
      <c r="Q27" s="205">
        <f>IF('Power data'!F13="","",'Power data'!F13)</f>
        <v>1501851</v>
      </c>
      <c r="R27" s="212">
        <f>IF('Power data'!G13="","",'Power data'!G13)</f>
        <v>11.889445684700517</v>
      </c>
      <c r="S27" s="205">
        <f>IF('Power data'!H13="","",'Power data'!H13)</f>
        <v>451.44</v>
      </c>
      <c r="T27" s="205">
        <f>IF('Power data'!I13="","",'Power data'!I13)</f>
        <v>1276</v>
      </c>
      <c r="U27" s="212">
        <f>IF(EPI!D13="","",EPI!D13)</f>
        <v>2.3295863172715565</v>
      </c>
      <c r="V27" s="205">
        <f>IF('Solar Power'!I32="","",'Solar Power'!I32)</f>
        <v>100380</v>
      </c>
      <c r="W27" s="205">
        <f>IF('Solar Power'!C11="","",'Solar Power'!C11)</f>
        <v>100380</v>
      </c>
      <c r="X27" s="205">
        <f>IF('Solar Power'!D11="","",'Solar Power'!D11)</f>
        <v>1184484</v>
      </c>
      <c r="Y27" s="205">
        <f>IF('DG Units Generated'!E14="","",'DG Units Generated'!E14)</f>
        <v>56</v>
      </c>
      <c r="Z27" s="209">
        <f>IF('DG Units Generated'!G14="","",'DG Units Generated'!G14)</f>
        <v>1</v>
      </c>
      <c r="AA27" s="210">
        <f>IF('DG Units Generated'!H14="","",'DG Units Generated'!H14)</f>
        <v>0.15</v>
      </c>
      <c r="AB27" s="205">
        <f>IF('HVAC consumption'!N14="","",'HVAC consumption'!N14)</f>
        <v>28833.299999999996</v>
      </c>
      <c r="AC27" s="205"/>
      <c r="AD27" s="212"/>
      <c r="AE27" s="205"/>
      <c r="AF27" s="205"/>
      <c r="AG27" s="212"/>
      <c r="AH27" s="205"/>
      <c r="AI27" s="205"/>
      <c r="AJ27" s="205" t="str">
        <f>IF('Technical manpower cost'!E58="","",'Technical manpower cost'!E58*1000)</f>
        <v/>
      </c>
      <c r="AK27" s="205" t="str">
        <f>IF('Technical manpower cost'!F58="","",'Technical manpower cost'!F58*1000)</f>
        <v/>
      </c>
      <c r="AL27" s="205">
        <f>IF(Attendance!C14="","",Attendance!C14)</f>
        <v>595</v>
      </c>
      <c r="AM27" s="205">
        <f>IF(Attendance!C14="","",Attendance!D14)</f>
        <v>634</v>
      </c>
      <c r="AN27" s="213">
        <f>IF(Attendance!E14="","",Attendance!E14)</f>
        <v>0.93848580441640383</v>
      </c>
      <c r="AO27" s="205" t="str">
        <f>IF(Attendance!F14="","",Attendance!F14)</f>
        <v/>
      </c>
      <c r="AP27" s="209">
        <f>IF(Attendance!C14="","",Attendance!I14)</f>
        <v>27</v>
      </c>
      <c r="AQ27" s="214">
        <f>IF('Monthly KPI Report'!S9="MISSING","",'Monthly KPI Report'!R9)</f>
        <v>0.875</v>
      </c>
      <c r="AR27" s="210">
        <f t="shared" si="1"/>
        <v>90.589364844903983</v>
      </c>
      <c r="AS27" s="205">
        <f t="shared" si="2"/>
        <v>1109.1957163958641</v>
      </c>
      <c r="AT27" s="212">
        <f t="shared" si="3"/>
        <v>21.294903988183158</v>
      </c>
      <c r="AU27" s="212"/>
      <c r="AV27" s="213">
        <f t="shared" si="4"/>
        <v>0.35379310344827586</v>
      </c>
      <c r="AW27" s="210">
        <f t="shared" si="5"/>
        <v>372.1015390479821</v>
      </c>
      <c r="AX27" s="210">
        <f t="shared" si="6"/>
        <v>54.867298804021537</v>
      </c>
      <c r="AY27" s="210">
        <f t="shared" si="7"/>
        <v>197.97970172011244</v>
      </c>
      <c r="AZ27" s="210">
        <f t="shared" si="8"/>
        <v>27.064373183399248</v>
      </c>
      <c r="BA27" s="213">
        <f t="shared" si="9"/>
        <v>0.12850422311859605</v>
      </c>
      <c r="BB27" s="210">
        <f t="shared" si="10"/>
        <v>74.135893648449041</v>
      </c>
      <c r="BC27" s="213">
        <f t="shared" si="11"/>
        <v>0.81837303722545618</v>
      </c>
      <c r="BD27" s="205">
        <f t="shared" si="12"/>
        <v>874.80354505169862</v>
      </c>
      <c r="BE27" s="212"/>
      <c r="BF27" s="212"/>
      <c r="BG27" s="212"/>
      <c r="BH27" s="212">
        <f t="shared" si="13"/>
        <v>12.407680945347119</v>
      </c>
      <c r="BI27" s="213">
        <f t="shared" si="14"/>
        <v>0.75595238095238093</v>
      </c>
      <c r="BJ27" s="213">
        <f t="shared" si="15"/>
        <v>3.5714285714285712E-2</v>
      </c>
      <c r="BK27" s="212" t="str">
        <f t="shared" si="16"/>
        <v/>
      </c>
      <c r="BL27" s="205" t="str">
        <f t="shared" si="17"/>
        <v/>
      </c>
      <c r="BM27" s="213" t="str">
        <f t="shared" si="18"/>
        <v/>
      </c>
      <c r="BN27" s="210" t="str">
        <f t="shared" si="19"/>
        <v/>
      </c>
      <c r="BO27" s="210">
        <f t="shared" si="20"/>
        <v>50.148148148148145</v>
      </c>
      <c r="BP27" s="205" t="str">
        <f t="shared" si="21"/>
        <v/>
      </c>
      <c r="BQ27" s="205" t="str">
        <f t="shared" si="22"/>
        <v/>
      </c>
      <c r="BR27" s="212">
        <f t="shared" si="23"/>
        <v>4.1358936484490398E-2</v>
      </c>
      <c r="BT27" s="215">
        <f t="shared" si="24"/>
        <v>122658</v>
      </c>
      <c r="BU27" s="215">
        <f t="shared" si="25"/>
        <v>100380</v>
      </c>
      <c r="BV27" s="215">
        <f t="shared" si="26"/>
        <v>15618.59</v>
      </c>
      <c r="BW27" s="215">
        <f t="shared" si="27"/>
        <v>2303</v>
      </c>
      <c r="BX27" s="216">
        <f t="shared" si="28"/>
        <v>229.49921379901843</v>
      </c>
      <c r="BY27" s="217">
        <f t="shared" si="29"/>
        <v>2.3295863172715565</v>
      </c>
      <c r="BZ27" s="218">
        <f t="shared" si="30"/>
        <v>0.97102550705362656</v>
      </c>
      <c r="CA27" s="215">
        <f t="shared" si="31"/>
        <v>1501851</v>
      </c>
      <c r="CB27" s="215">
        <f t="shared" si="32"/>
        <v>8310</v>
      </c>
      <c r="CC27" s="219">
        <f t="shared" si="33"/>
        <v>168</v>
      </c>
      <c r="CD27" s="219">
        <f t="shared" si="34"/>
        <v>127</v>
      </c>
      <c r="CE27" s="220">
        <f t="shared" si="35"/>
        <v>0.93848580441640383</v>
      </c>
      <c r="CF27" s="215"/>
      <c r="CG27" s="215"/>
      <c r="CH27" s="215"/>
      <c r="CI27" s="216">
        <f t="shared" si="36"/>
        <v>90.589364844903983</v>
      </c>
      <c r="CJ27" s="215">
        <f t="shared" si="37"/>
        <v>0</v>
      </c>
      <c r="CK27" s="215">
        <f t="shared" si="38"/>
        <v>28833.299999999996</v>
      </c>
      <c r="CL27" s="215">
        <f t="shared" si="39"/>
        <v>56</v>
      </c>
      <c r="CM27" s="219">
        <f t="shared" si="40"/>
        <v>1</v>
      </c>
      <c r="CN27" s="215"/>
      <c r="CO27" s="215">
        <f t="shared" si="41"/>
        <v>9633</v>
      </c>
      <c r="CP27">
        <f>MIS_Calc!$B$8</f>
        <v>135</v>
      </c>
      <c r="CQ27">
        <f>MIS_Calc!$B$9</f>
        <v>8</v>
      </c>
      <c r="CR27">
        <f>MIS_Calc!$B$10</f>
        <v>0.95</v>
      </c>
      <c r="CS27">
        <f>MIS_Calc!$B$11</f>
        <v>0.9</v>
      </c>
    </row>
    <row r="28" spans="1:99" x14ac:dyDescent="0.2">
      <c r="A28" t="s">
        <v>7</v>
      </c>
      <c r="B28">
        <v>31</v>
      </c>
      <c r="C28" s="209">
        <f>IF('Complaints summary'!C15="","",'Complaints summary'!C15)</f>
        <v>216</v>
      </c>
      <c r="D28" s="209">
        <f>IF('Complaints summary'!F15="","",'Complaints summary'!F15)</f>
        <v>146</v>
      </c>
      <c r="E28" s="209" t="str">
        <f>IF('Complaints summary'!I15="","",'Complaints summary'!I15)</f>
        <v/>
      </c>
      <c r="F28" s="209">
        <f>IF('Complaints summary'!D15="","",'Complaints summary'!D15)</f>
        <v>7</v>
      </c>
      <c r="G28" s="205">
        <f>IF(LPCD!C15="","",LPCD!C15/1000)</f>
        <v>14026</v>
      </c>
      <c r="H28" s="205">
        <f>IF(LPCD!D15="","",LPCD!D15)</f>
        <v>1354</v>
      </c>
      <c r="I28" s="210">
        <f>IF(LPCD!F15="","",LPCD!F15)</f>
        <v>334.15924143517418</v>
      </c>
      <c r="J28" s="205">
        <f>IF('Building wise water'!P38="","",'Building wise water'!P38)</f>
        <v>11995</v>
      </c>
      <c r="K28" s="205">
        <f>IF('Building wise water'!P39="","",'Building wise water'!P39)</f>
        <v>2683</v>
      </c>
      <c r="L28" s="205">
        <f>IF('Building wise water'!P33="","",'Building wise water'!P33)</f>
        <v>10986</v>
      </c>
      <c r="M28" s="205">
        <f>IF('Building wise water'!P34="","",'Building wise water'!P34)</f>
        <v>2501</v>
      </c>
      <c r="N28" s="205">
        <f>IF('Power data'!C14="","",'Power data'!C14)</f>
        <v>146382</v>
      </c>
      <c r="O28" s="205">
        <f>IF('Power data'!D14="","",'Power data'!D14)</f>
        <v>156360</v>
      </c>
      <c r="P28" s="211">
        <f>IF('Power data'!E14="","",'Power data'!E14)</f>
        <v>0.93618572524942445</v>
      </c>
      <c r="Q28" s="205">
        <f>IF('Power data'!F14="","",'Power data'!F14)</f>
        <v>1829571</v>
      </c>
      <c r="R28" s="212">
        <f>IF('Power data'!G14="","",'Power data'!G14)</f>
        <v>11.701016884113583</v>
      </c>
      <c r="S28" s="205">
        <f>IF('Power data'!H14="","",'Power data'!H14)</f>
        <v>475</v>
      </c>
      <c r="T28" s="205">
        <f>IF('Power data'!I14="","",'Power data'!I14)</f>
        <v>1276</v>
      </c>
      <c r="U28" s="212">
        <f>IF(EPI!D14="","",EPI!D14)</f>
        <v>2.7801652097282279</v>
      </c>
      <c r="V28" s="205">
        <f>IF('Solar Power'!J32="","",'Solar Power'!J32)</f>
        <v>115911</v>
      </c>
      <c r="W28" s="205">
        <f>IF('Solar Power'!C12="","",'Solar Power'!C12)</f>
        <v>115911</v>
      </c>
      <c r="X28" s="205">
        <f>IF('Solar Power'!D12="","",'Solar Power'!D12)</f>
        <v>1367749.8</v>
      </c>
      <c r="Y28" s="205">
        <f>IF('DG Units Generated'!E15="","",'DG Units Generated'!E15)</f>
        <v>11</v>
      </c>
      <c r="Z28" s="209">
        <f>IF('DG Units Generated'!G15="","",'DG Units Generated'!G15)</f>
        <v>1</v>
      </c>
      <c r="AA28" s="210">
        <f>IF('DG Units Generated'!H15="","",'DG Units Generated'!H15)</f>
        <v>0.15</v>
      </c>
      <c r="AB28" s="205">
        <f>IF('HVAC consumption'!N15="","",'HVAC consumption'!N15)</f>
        <v>21957.88</v>
      </c>
      <c r="AC28" s="205"/>
      <c r="AD28" s="212"/>
      <c r="AE28" s="205"/>
      <c r="AF28" s="205"/>
      <c r="AG28" s="212"/>
      <c r="AH28" s="205"/>
      <c r="AI28" s="205"/>
      <c r="AJ28" s="205" t="str">
        <f>IF('Technical manpower cost'!E59="","",'Technical manpower cost'!E59*1000)</f>
        <v/>
      </c>
      <c r="AK28" s="205" t="str">
        <f>IF('Technical manpower cost'!F59="","",'Technical manpower cost'!F59*1000)</f>
        <v/>
      </c>
      <c r="AL28" s="205">
        <f>IF(Attendance!C15="","",Attendance!C15)</f>
        <v>543</v>
      </c>
      <c r="AM28" s="205">
        <f>IF(Attendance!C15="","",Attendance!D15)</f>
        <v>640</v>
      </c>
      <c r="AN28" s="213">
        <f>IF(Attendance!E15="","",Attendance!E15)</f>
        <v>0.84843749999999996</v>
      </c>
      <c r="AO28" s="205" t="str">
        <f>IF(Attendance!F15="","",Attendance!F15)</f>
        <v/>
      </c>
      <c r="AP28" s="209">
        <f>IF(Attendance!C15="","",Attendance!I15)</f>
        <v>27</v>
      </c>
      <c r="AQ28" s="214">
        <f>IF('Monthly KPI Report'!S10="MISSING","",'Monthly KPI Report'!R10)</f>
        <v>0.875</v>
      </c>
      <c r="AR28" s="210">
        <f t="shared" si="1"/>
        <v>108.11078286558346</v>
      </c>
      <c r="AS28" s="205">
        <f t="shared" si="2"/>
        <v>1351.2341211225996</v>
      </c>
      <c r="AT28" s="212">
        <f t="shared" si="3"/>
        <v>16.21704579025111</v>
      </c>
      <c r="AU28" s="212"/>
      <c r="AV28" s="213">
        <f t="shared" si="4"/>
        <v>0.37225705329153608</v>
      </c>
      <c r="AW28" s="210">
        <f t="shared" si="5"/>
        <v>285.77214466098059</v>
      </c>
      <c r="AX28" s="210">
        <f t="shared" si="6"/>
        <v>63.920522228045932</v>
      </c>
      <c r="AY28" s="210">
        <f t="shared" si="7"/>
        <v>261.73345404297896</v>
      </c>
      <c r="AZ28" s="210">
        <f t="shared" si="8"/>
        <v>59.584504693381618</v>
      </c>
      <c r="BA28" s="213">
        <f t="shared" si="9"/>
        <v>0.182790570922469</v>
      </c>
      <c r="BB28" s="210">
        <f t="shared" si="10"/>
        <v>85.606351550960113</v>
      </c>
      <c r="BC28" s="213">
        <f t="shared" si="11"/>
        <v>0.7918391605525269</v>
      </c>
      <c r="BD28" s="205">
        <f t="shared" si="12"/>
        <v>1010.1549483013295</v>
      </c>
      <c r="BE28" s="212"/>
      <c r="BF28" s="212"/>
      <c r="BG28" s="212"/>
      <c r="BH28" s="212">
        <f t="shared" si="13"/>
        <v>15.952732644017726</v>
      </c>
      <c r="BI28" s="213">
        <f t="shared" si="14"/>
        <v>0.67592592592592593</v>
      </c>
      <c r="BJ28" s="213">
        <f t="shared" si="15"/>
        <v>3.2407407407407406E-2</v>
      </c>
      <c r="BK28" s="212" t="str">
        <f t="shared" si="16"/>
        <v/>
      </c>
      <c r="BL28" s="205" t="str">
        <f t="shared" si="17"/>
        <v/>
      </c>
      <c r="BM28" s="213" t="str">
        <f t="shared" si="18"/>
        <v/>
      </c>
      <c r="BN28" s="210" t="str">
        <f t="shared" si="19"/>
        <v/>
      </c>
      <c r="BO28" s="210">
        <f t="shared" si="20"/>
        <v>50.148148148148145</v>
      </c>
      <c r="BP28" s="205" t="str">
        <f t="shared" si="21"/>
        <v/>
      </c>
      <c r="BQ28" s="205" t="str">
        <f t="shared" si="22"/>
        <v/>
      </c>
      <c r="BR28" s="212">
        <f t="shared" si="23"/>
        <v>8.1240768094534704E-3</v>
      </c>
      <c r="BT28" s="215">
        <f t="shared" si="24"/>
        <v>146382</v>
      </c>
      <c r="BU28" s="215">
        <f t="shared" si="25"/>
        <v>115911</v>
      </c>
      <c r="BV28" s="215">
        <f t="shared" si="26"/>
        <v>11995</v>
      </c>
      <c r="BW28" s="215">
        <f t="shared" si="27"/>
        <v>2683</v>
      </c>
      <c r="BX28" s="216">
        <f t="shared" si="28"/>
        <v>334.15924143517418</v>
      </c>
      <c r="BY28" s="217">
        <f t="shared" si="29"/>
        <v>2.7801652097282279</v>
      </c>
      <c r="BZ28" s="218">
        <f t="shared" si="30"/>
        <v>0.93618572524942445</v>
      </c>
      <c r="CA28" s="215">
        <f t="shared" si="31"/>
        <v>1829571</v>
      </c>
      <c r="CB28" s="215">
        <f t="shared" si="32"/>
        <v>10986</v>
      </c>
      <c r="CC28" s="219">
        <f t="shared" si="33"/>
        <v>216</v>
      </c>
      <c r="CD28" s="219">
        <f t="shared" si="34"/>
        <v>146</v>
      </c>
      <c r="CE28" s="220">
        <f t="shared" si="35"/>
        <v>0.84843749999999996</v>
      </c>
      <c r="CF28" s="215"/>
      <c r="CG28" s="215"/>
      <c r="CH28" s="215"/>
      <c r="CI28" s="216">
        <f t="shared" si="36"/>
        <v>108.11078286558346</v>
      </c>
      <c r="CJ28" s="215">
        <f t="shared" si="37"/>
        <v>0</v>
      </c>
      <c r="CK28" s="215">
        <f t="shared" si="38"/>
        <v>21957.88</v>
      </c>
      <c r="CL28" s="215">
        <f t="shared" si="39"/>
        <v>11</v>
      </c>
      <c r="CM28" s="219">
        <f t="shared" si="40"/>
        <v>1</v>
      </c>
      <c r="CN28" s="215"/>
      <c r="CO28" s="215">
        <f t="shared" si="41"/>
        <v>14026</v>
      </c>
      <c r="CP28">
        <f>MIS_Calc!$B$8</f>
        <v>135</v>
      </c>
      <c r="CQ28">
        <f>MIS_Calc!$B$9</f>
        <v>8</v>
      </c>
      <c r="CR28">
        <f>MIS_Calc!$B$10</f>
        <v>0.95</v>
      </c>
      <c r="CS28">
        <f>MIS_Calc!$B$11</f>
        <v>0.9</v>
      </c>
    </row>
    <row r="29" spans="1:99" x14ac:dyDescent="0.2">
      <c r="A29" t="s">
        <v>130</v>
      </c>
      <c r="B29">
        <v>30</v>
      </c>
      <c r="C29" s="209" t="str">
        <f>IF('Complaints summary'!C16="","",'Complaints summary'!C16)</f>
        <v/>
      </c>
      <c r="D29" s="209" t="str">
        <f>IF('Complaints summary'!F16="","",'Complaints summary'!F16)</f>
        <v/>
      </c>
      <c r="E29" s="209" t="str">
        <f>IF('Complaints summary'!I16="","",'Complaints summary'!I16)</f>
        <v/>
      </c>
      <c r="F29" s="209" t="str">
        <f>IF('Complaints summary'!D16="","",'Complaints summary'!D16)</f>
        <v/>
      </c>
      <c r="G29" s="205" t="str">
        <f>IF(LPCD!C16="","",LPCD!C16/1000)</f>
        <v/>
      </c>
      <c r="H29" s="205">
        <f>IF(LPCD!D16="","",LPCD!D16)</f>
        <v>1354</v>
      </c>
      <c r="I29" s="210" t="str">
        <f>IF(LPCD!F16="","",LPCD!F16)</f>
        <v/>
      </c>
      <c r="J29" s="205" t="str">
        <f>IF('Building wise water'!Q38="","",'Building wise water'!Q38)</f>
        <v/>
      </c>
      <c r="K29" s="205" t="str">
        <f>IF('Building wise water'!Q39="","",'Building wise water'!Q39)</f>
        <v/>
      </c>
      <c r="L29" s="205" t="str">
        <f>IF('Building wise water'!Q33="","",'Building wise water'!Q33)</f>
        <v/>
      </c>
      <c r="M29" s="205" t="str">
        <f>IF('Building wise water'!Q34="","",'Building wise water'!Q34)</f>
        <v/>
      </c>
      <c r="N29" s="205" t="str">
        <f>IF('Power data'!C15="","",'Power data'!C15)</f>
        <v/>
      </c>
      <c r="O29" s="205" t="str">
        <f>IF('Power data'!D15="","",'Power data'!D15)</f>
        <v/>
      </c>
      <c r="P29" s="211" t="str">
        <f>IF('Power data'!E15="","",'Power data'!E15)</f>
        <v/>
      </c>
      <c r="Q29" s="205" t="str">
        <f>IF('Power data'!F15="","",'Power data'!F15)</f>
        <v/>
      </c>
      <c r="R29" s="212" t="str">
        <f>IF('Power data'!G15="","",'Power data'!G15)</f>
        <v/>
      </c>
      <c r="S29" s="205" t="str">
        <f>IF('Power data'!H15="","",'Power data'!H15)</f>
        <v/>
      </c>
      <c r="T29" s="205" t="str">
        <f>IF('Power data'!I15="","",'Power data'!I15)</f>
        <v/>
      </c>
      <c r="U29" s="212" t="str">
        <f>IF(EPI!D15="","",EPI!D15)</f>
        <v/>
      </c>
      <c r="V29" s="205" t="str">
        <f>IF('Solar Power'!K32="","",'Solar Power'!K32)</f>
        <v/>
      </c>
      <c r="W29" s="205" t="str">
        <f>IF('Solar Power'!C13="","",'Solar Power'!C13)</f>
        <v/>
      </c>
      <c r="X29" s="205" t="str">
        <f>IF('Solar Power'!D13="","",'Solar Power'!D13)</f>
        <v/>
      </c>
      <c r="Y29" s="205" t="str">
        <f>IF('DG Units Generated'!E16="","",'DG Units Generated'!E16)</f>
        <v/>
      </c>
      <c r="Z29" s="209" t="str">
        <f>IF('DG Units Generated'!G16="","",'DG Units Generated'!G16)</f>
        <v/>
      </c>
      <c r="AA29" s="210" t="str">
        <f>IF('DG Units Generated'!H16="","",'DG Units Generated'!H16)</f>
        <v/>
      </c>
      <c r="AB29" s="205" t="str">
        <f>IF('HVAC consumption'!N16="","",'HVAC consumption'!N16)</f>
        <v/>
      </c>
      <c r="AC29" s="205"/>
      <c r="AD29" s="212"/>
      <c r="AE29" s="205"/>
      <c r="AF29" s="205"/>
      <c r="AG29" s="212"/>
      <c r="AH29" s="205"/>
      <c r="AI29" s="205"/>
      <c r="AJ29" s="205" t="str">
        <f>IF('Technical manpower cost'!E60="","",'Technical manpower cost'!E60*1000)</f>
        <v/>
      </c>
      <c r="AK29" s="205" t="str">
        <f>IF('Technical manpower cost'!F60="","",'Technical manpower cost'!F60*1000)</f>
        <v/>
      </c>
      <c r="AL29" s="205" t="str">
        <f>IF(Attendance!C16="","",Attendance!C16)</f>
        <v/>
      </c>
      <c r="AM29" s="205" t="str">
        <f>IF(Attendance!C16="","",Attendance!D16)</f>
        <v/>
      </c>
      <c r="AN29" s="213" t="str">
        <f>IF(Attendance!E16="","",Attendance!E16)</f>
        <v/>
      </c>
      <c r="AO29" s="205" t="str">
        <f>IF(Attendance!F16="","",Attendance!F16)</f>
        <v/>
      </c>
      <c r="AP29" s="209" t="str">
        <f>IF(Attendance!C16="","",Attendance!I16)</f>
        <v/>
      </c>
      <c r="AQ29" s="214" t="str">
        <f>IF('Monthly KPI Report'!S11="MISSING","",'Monthly KPI Report'!R11)</f>
        <v/>
      </c>
      <c r="AR29" s="210" t="str">
        <f t="shared" si="1"/>
        <v/>
      </c>
      <c r="AS29" s="205" t="str">
        <f t="shared" si="2"/>
        <v/>
      </c>
      <c r="AT29" s="212" t="str">
        <f t="shared" si="3"/>
        <v/>
      </c>
      <c r="AU29" s="212"/>
      <c r="AV29" s="213" t="str">
        <f t="shared" si="4"/>
        <v/>
      </c>
      <c r="AW29" s="210" t="str">
        <f t="shared" si="5"/>
        <v/>
      </c>
      <c r="AX29" s="210" t="str">
        <f t="shared" si="6"/>
        <v/>
      </c>
      <c r="AY29" s="210" t="str">
        <f t="shared" si="7"/>
        <v/>
      </c>
      <c r="AZ29" s="210" t="str">
        <f t="shared" si="8"/>
        <v/>
      </c>
      <c r="BA29" s="213" t="str">
        <f t="shared" si="9"/>
        <v/>
      </c>
      <c r="BB29" s="210" t="str">
        <f t="shared" si="10"/>
        <v/>
      </c>
      <c r="BC29" s="213" t="str">
        <f t="shared" si="11"/>
        <v/>
      </c>
      <c r="BD29" s="205" t="str">
        <f t="shared" si="12"/>
        <v/>
      </c>
      <c r="BE29" s="212"/>
      <c r="BF29" s="212"/>
      <c r="BG29" s="212"/>
      <c r="BH29" s="212" t="str">
        <f t="shared" si="13"/>
        <v/>
      </c>
      <c r="BI29" s="213" t="str">
        <f t="shared" si="14"/>
        <v/>
      </c>
      <c r="BJ29" s="213" t="str">
        <f t="shared" si="15"/>
        <v/>
      </c>
      <c r="BK29" s="212" t="str">
        <f t="shared" si="16"/>
        <v/>
      </c>
      <c r="BL29" s="205" t="str">
        <f t="shared" si="17"/>
        <v/>
      </c>
      <c r="BM29" s="213" t="str">
        <f t="shared" si="18"/>
        <v/>
      </c>
      <c r="BN29" s="210" t="str">
        <f t="shared" si="19"/>
        <v/>
      </c>
      <c r="BO29" s="210" t="str">
        <f t="shared" si="20"/>
        <v/>
      </c>
      <c r="BP29" s="205" t="str">
        <f t="shared" si="21"/>
        <v/>
      </c>
      <c r="BQ29" s="205" t="str">
        <f t="shared" si="22"/>
        <v/>
      </c>
      <c r="BR29" s="212" t="str">
        <f t="shared" si="23"/>
        <v/>
      </c>
      <c r="BT29" s="215">
        <f t="shared" si="24"/>
        <v>0</v>
      </c>
      <c r="BU29" s="215">
        <f t="shared" si="25"/>
        <v>0</v>
      </c>
      <c r="BV29" s="215">
        <f t="shared" si="26"/>
        <v>0</v>
      </c>
      <c r="BW29" s="215">
        <f t="shared" si="27"/>
        <v>0</v>
      </c>
      <c r="BX29" s="216">
        <f t="shared" si="28"/>
        <v>0</v>
      </c>
      <c r="BY29" s="217">
        <f t="shared" si="29"/>
        <v>0</v>
      </c>
      <c r="BZ29" s="218">
        <f t="shared" si="30"/>
        <v>0</v>
      </c>
      <c r="CA29" s="215">
        <f t="shared" si="31"/>
        <v>0</v>
      </c>
      <c r="CB29" s="215">
        <f t="shared" si="32"/>
        <v>0</v>
      </c>
      <c r="CC29" s="219">
        <f t="shared" si="33"/>
        <v>0</v>
      </c>
      <c r="CD29" s="219">
        <f t="shared" si="34"/>
        <v>0</v>
      </c>
      <c r="CE29" s="220">
        <f t="shared" si="35"/>
        <v>0</v>
      </c>
      <c r="CF29" s="215"/>
      <c r="CG29" s="215"/>
      <c r="CH29" s="215"/>
      <c r="CI29" s="216">
        <f t="shared" si="36"/>
        <v>0</v>
      </c>
      <c r="CJ29" s="215">
        <f t="shared" si="37"/>
        <v>0</v>
      </c>
      <c r="CK29" s="215">
        <f t="shared" si="38"/>
        <v>0</v>
      </c>
      <c r="CL29" s="215">
        <f t="shared" si="39"/>
        <v>0</v>
      </c>
      <c r="CM29" s="219">
        <f t="shared" si="40"/>
        <v>0</v>
      </c>
      <c r="CN29" s="215"/>
      <c r="CO29" s="215">
        <f t="shared" si="41"/>
        <v>0</v>
      </c>
      <c r="CP29">
        <f>MIS_Calc!$B$8</f>
        <v>135</v>
      </c>
      <c r="CQ29">
        <f>MIS_Calc!$B$9</f>
        <v>8</v>
      </c>
      <c r="CR29">
        <f>MIS_Calc!$B$10</f>
        <v>0.95</v>
      </c>
      <c r="CS29">
        <f>MIS_Calc!$B$11</f>
        <v>0.9</v>
      </c>
    </row>
    <row r="30" spans="1:99" x14ac:dyDescent="0.2">
      <c r="A30" t="s">
        <v>131</v>
      </c>
      <c r="B30">
        <v>31</v>
      </c>
      <c r="C30" s="209" t="str">
        <f>IF('Complaints summary'!C17="","",'Complaints summary'!C17)</f>
        <v/>
      </c>
      <c r="D30" s="209" t="str">
        <f>IF('Complaints summary'!F17="","",'Complaints summary'!F17)</f>
        <v/>
      </c>
      <c r="E30" s="209" t="str">
        <f>IF('Complaints summary'!I17="","",'Complaints summary'!I17)</f>
        <v/>
      </c>
      <c r="F30" s="209" t="str">
        <f>IF('Complaints summary'!D17="","",'Complaints summary'!D17)</f>
        <v/>
      </c>
      <c r="G30" s="205" t="str">
        <f>IF(LPCD!C17="","",LPCD!C17/1000)</f>
        <v/>
      </c>
      <c r="H30" s="205">
        <f>IF(LPCD!D17="","",LPCD!D17)</f>
        <v>1354</v>
      </c>
      <c r="I30" s="210" t="str">
        <f>IF(LPCD!F17="","",LPCD!F17)</f>
        <v/>
      </c>
      <c r="J30" s="205" t="str">
        <f>IF('Building wise water'!R38="","",'Building wise water'!R38)</f>
        <v/>
      </c>
      <c r="K30" s="205" t="str">
        <f>IF('Building wise water'!R39="","",'Building wise water'!R39)</f>
        <v/>
      </c>
      <c r="L30" s="205" t="str">
        <f>IF('Building wise water'!R33="","",'Building wise water'!R33)</f>
        <v/>
      </c>
      <c r="M30" s="205" t="str">
        <f>IF('Building wise water'!R34="","",'Building wise water'!R34)</f>
        <v/>
      </c>
      <c r="N30" s="205" t="str">
        <f>IF('Power data'!C16="","",'Power data'!C16)</f>
        <v/>
      </c>
      <c r="O30" s="205" t="str">
        <f>IF('Power data'!D16="","",'Power data'!D16)</f>
        <v/>
      </c>
      <c r="P30" s="211" t="str">
        <f>IF('Power data'!E16="","",'Power data'!E16)</f>
        <v/>
      </c>
      <c r="Q30" s="205" t="str">
        <f>IF('Power data'!F16="","",'Power data'!F16)</f>
        <v/>
      </c>
      <c r="R30" s="212" t="str">
        <f>IF('Power data'!G16="","",'Power data'!G16)</f>
        <v/>
      </c>
      <c r="S30" s="205" t="str">
        <f>IF('Power data'!H16="","",'Power data'!H16)</f>
        <v/>
      </c>
      <c r="T30" s="205" t="str">
        <f>IF('Power data'!I16="","",'Power data'!I16)</f>
        <v/>
      </c>
      <c r="U30" s="212" t="str">
        <f>IF(EPI!D16="","",EPI!D16)</f>
        <v/>
      </c>
      <c r="V30" s="205" t="str">
        <f>IF('Solar Power'!L32="","",'Solar Power'!L32)</f>
        <v/>
      </c>
      <c r="W30" s="205" t="str">
        <f>IF('Solar Power'!C14="","",'Solar Power'!C14)</f>
        <v/>
      </c>
      <c r="X30" s="205" t="str">
        <f>IF('Solar Power'!D14="","",'Solar Power'!D14)</f>
        <v/>
      </c>
      <c r="Y30" s="205" t="str">
        <f>IF('DG Units Generated'!E17="","",'DG Units Generated'!E17)</f>
        <v/>
      </c>
      <c r="Z30" s="209" t="str">
        <f>IF('DG Units Generated'!G17="","",'DG Units Generated'!G17)</f>
        <v/>
      </c>
      <c r="AA30" s="210" t="str">
        <f>IF('DG Units Generated'!H17="","",'DG Units Generated'!H17)</f>
        <v/>
      </c>
      <c r="AB30" s="205" t="str">
        <f>IF('HVAC consumption'!N17="","",'HVAC consumption'!N17)</f>
        <v/>
      </c>
      <c r="AC30" s="205"/>
      <c r="AD30" s="212"/>
      <c r="AE30" s="205"/>
      <c r="AF30" s="205"/>
      <c r="AG30" s="212"/>
      <c r="AH30" s="205"/>
      <c r="AI30" s="205"/>
      <c r="AJ30" s="205" t="str">
        <f>IF('Technical manpower cost'!E61="","",'Technical manpower cost'!E61*1000)</f>
        <v/>
      </c>
      <c r="AK30" s="205" t="str">
        <f>IF('Technical manpower cost'!F61="","",'Technical manpower cost'!F61*1000)</f>
        <v/>
      </c>
      <c r="AL30" s="205" t="str">
        <f>IF(Attendance!C17="","",Attendance!C17)</f>
        <v/>
      </c>
      <c r="AM30" s="205" t="str">
        <f>IF(Attendance!C17="","",Attendance!D17)</f>
        <v/>
      </c>
      <c r="AN30" s="213" t="str">
        <f>IF(Attendance!E17="","",Attendance!E17)</f>
        <v/>
      </c>
      <c r="AO30" s="205" t="str">
        <f>IF(Attendance!F17="","",Attendance!F17)</f>
        <v/>
      </c>
      <c r="AP30" s="209" t="str">
        <f>IF(Attendance!C17="","",Attendance!I17)</f>
        <v/>
      </c>
      <c r="AQ30" s="214" t="str">
        <f>IF('Monthly KPI Report'!S12="MISSING","",'Monthly KPI Report'!R12)</f>
        <v/>
      </c>
      <c r="AR30" s="210" t="str">
        <f t="shared" si="1"/>
        <v/>
      </c>
      <c r="AS30" s="205" t="str">
        <f t="shared" si="2"/>
        <v/>
      </c>
      <c r="AT30" s="212" t="str">
        <f t="shared" si="3"/>
        <v/>
      </c>
      <c r="AU30" s="212"/>
      <c r="AV30" s="213" t="str">
        <f t="shared" si="4"/>
        <v/>
      </c>
      <c r="AW30" s="210" t="str">
        <f t="shared" si="5"/>
        <v/>
      </c>
      <c r="AX30" s="210" t="str">
        <f t="shared" si="6"/>
        <v/>
      </c>
      <c r="AY30" s="210" t="str">
        <f t="shared" si="7"/>
        <v/>
      </c>
      <c r="AZ30" s="210" t="str">
        <f t="shared" si="8"/>
        <v/>
      </c>
      <c r="BA30" s="213" t="str">
        <f t="shared" si="9"/>
        <v/>
      </c>
      <c r="BB30" s="210" t="str">
        <f t="shared" si="10"/>
        <v/>
      </c>
      <c r="BC30" s="213" t="str">
        <f t="shared" si="11"/>
        <v/>
      </c>
      <c r="BD30" s="205" t="str">
        <f t="shared" si="12"/>
        <v/>
      </c>
      <c r="BE30" s="212"/>
      <c r="BF30" s="212"/>
      <c r="BG30" s="212"/>
      <c r="BH30" s="212" t="str">
        <f t="shared" si="13"/>
        <v/>
      </c>
      <c r="BI30" s="213" t="str">
        <f t="shared" si="14"/>
        <v/>
      </c>
      <c r="BJ30" s="213" t="str">
        <f t="shared" si="15"/>
        <v/>
      </c>
      <c r="BK30" s="212" t="str">
        <f t="shared" si="16"/>
        <v/>
      </c>
      <c r="BL30" s="205" t="str">
        <f t="shared" si="17"/>
        <v/>
      </c>
      <c r="BM30" s="213" t="str">
        <f t="shared" si="18"/>
        <v/>
      </c>
      <c r="BN30" s="210" t="str">
        <f t="shared" si="19"/>
        <v/>
      </c>
      <c r="BO30" s="210" t="str">
        <f t="shared" si="20"/>
        <v/>
      </c>
      <c r="BP30" s="205" t="str">
        <f t="shared" si="21"/>
        <v/>
      </c>
      <c r="BQ30" s="205" t="str">
        <f t="shared" si="22"/>
        <v/>
      </c>
      <c r="BR30" s="212" t="str">
        <f t="shared" si="23"/>
        <v/>
      </c>
      <c r="BT30" s="215">
        <f t="shared" si="24"/>
        <v>0</v>
      </c>
      <c r="BU30" s="215">
        <f t="shared" si="25"/>
        <v>0</v>
      </c>
      <c r="BV30" s="215">
        <f t="shared" si="26"/>
        <v>0</v>
      </c>
      <c r="BW30" s="215">
        <f t="shared" si="27"/>
        <v>0</v>
      </c>
      <c r="BX30" s="216">
        <f t="shared" si="28"/>
        <v>0</v>
      </c>
      <c r="BY30" s="217">
        <f t="shared" si="29"/>
        <v>0</v>
      </c>
      <c r="BZ30" s="218">
        <f t="shared" si="30"/>
        <v>0</v>
      </c>
      <c r="CA30" s="215">
        <f t="shared" si="31"/>
        <v>0</v>
      </c>
      <c r="CB30" s="215">
        <f t="shared" si="32"/>
        <v>0</v>
      </c>
      <c r="CC30" s="219">
        <f t="shared" si="33"/>
        <v>0</v>
      </c>
      <c r="CD30" s="219">
        <f t="shared" si="34"/>
        <v>0</v>
      </c>
      <c r="CE30" s="220">
        <f t="shared" si="35"/>
        <v>0</v>
      </c>
      <c r="CF30" s="215"/>
      <c r="CG30" s="215"/>
      <c r="CH30" s="215"/>
      <c r="CI30" s="216">
        <f t="shared" si="36"/>
        <v>0</v>
      </c>
      <c r="CJ30" s="215">
        <f t="shared" si="37"/>
        <v>0</v>
      </c>
      <c r="CK30" s="215">
        <f t="shared" si="38"/>
        <v>0</v>
      </c>
      <c r="CL30" s="215">
        <f t="shared" si="39"/>
        <v>0</v>
      </c>
      <c r="CM30" s="219">
        <f t="shared" si="40"/>
        <v>0</v>
      </c>
      <c r="CN30" s="215"/>
      <c r="CO30" s="215">
        <f t="shared" si="41"/>
        <v>0</v>
      </c>
      <c r="CP30">
        <f>MIS_Calc!$B$8</f>
        <v>135</v>
      </c>
      <c r="CQ30">
        <f>MIS_Calc!$B$9</f>
        <v>8</v>
      </c>
      <c r="CR30">
        <f>MIS_Calc!$B$10</f>
        <v>0.95</v>
      </c>
      <c r="CS30">
        <f>MIS_Calc!$B$11</f>
        <v>0.9</v>
      </c>
    </row>
    <row r="31" spans="1:99" x14ac:dyDescent="0.2">
      <c r="A31" t="s">
        <v>132</v>
      </c>
      <c r="B31">
        <v>30</v>
      </c>
      <c r="C31" s="209" t="str">
        <f>IF('Complaints summary'!C18="","",'Complaints summary'!C18)</f>
        <v/>
      </c>
      <c r="D31" s="209" t="str">
        <f>IF('Complaints summary'!F18="","",'Complaints summary'!F18)</f>
        <v/>
      </c>
      <c r="E31" s="209" t="str">
        <f>IF('Complaints summary'!I18="","",'Complaints summary'!I18)</f>
        <v/>
      </c>
      <c r="F31" s="209" t="str">
        <f>IF('Complaints summary'!D18="","",'Complaints summary'!D18)</f>
        <v/>
      </c>
      <c r="G31" s="205" t="str">
        <f>IF(LPCD!C18="","",LPCD!C18/1000)</f>
        <v/>
      </c>
      <c r="H31" s="205">
        <f>IF(LPCD!D18="","",LPCD!D18)</f>
        <v>1354</v>
      </c>
      <c r="I31" s="210" t="str">
        <f>IF(LPCD!F18="","",LPCD!F18)</f>
        <v/>
      </c>
      <c r="J31" s="205" t="str">
        <f>IF('Building wise water'!S38="","",'Building wise water'!S38)</f>
        <v/>
      </c>
      <c r="K31" s="205" t="str">
        <f>IF('Building wise water'!S39="","",'Building wise water'!S39)</f>
        <v/>
      </c>
      <c r="L31" s="205" t="str">
        <f>IF('Building wise water'!S33="","",'Building wise water'!S33)</f>
        <v/>
      </c>
      <c r="M31" s="205" t="str">
        <f>IF('Building wise water'!S34="","",'Building wise water'!S34)</f>
        <v/>
      </c>
      <c r="N31" s="205" t="str">
        <f>IF('Power data'!C17="","",'Power data'!C17)</f>
        <v/>
      </c>
      <c r="O31" s="205" t="str">
        <f>IF('Power data'!D17="","",'Power data'!D17)</f>
        <v/>
      </c>
      <c r="P31" s="211" t="str">
        <f>IF('Power data'!E17="","",'Power data'!E17)</f>
        <v/>
      </c>
      <c r="Q31" s="205" t="str">
        <f>IF('Power data'!F17="","",'Power data'!F17)</f>
        <v/>
      </c>
      <c r="R31" s="212" t="str">
        <f>IF('Power data'!G17="","",'Power data'!G17)</f>
        <v/>
      </c>
      <c r="S31" s="205" t="str">
        <f>IF('Power data'!H17="","",'Power data'!H17)</f>
        <v/>
      </c>
      <c r="T31" s="205" t="str">
        <f>IF('Power data'!I17="","",'Power data'!I17)</f>
        <v/>
      </c>
      <c r="U31" s="212" t="str">
        <f>IF(EPI!D17="","",EPI!D17)</f>
        <v/>
      </c>
      <c r="V31" s="205" t="str">
        <f>IF('Solar Power'!M32="","",'Solar Power'!M32)</f>
        <v/>
      </c>
      <c r="W31" s="205" t="str">
        <f>IF('Solar Power'!C15="","",'Solar Power'!C15)</f>
        <v/>
      </c>
      <c r="X31" s="205" t="str">
        <f>IF('Solar Power'!D15="","",'Solar Power'!D15)</f>
        <v/>
      </c>
      <c r="Y31" s="205" t="str">
        <f>IF('DG Units Generated'!E18="","",'DG Units Generated'!E18)</f>
        <v/>
      </c>
      <c r="Z31" s="209" t="str">
        <f>IF('DG Units Generated'!G18="","",'DG Units Generated'!G18)</f>
        <v/>
      </c>
      <c r="AA31" s="210" t="str">
        <f>IF('DG Units Generated'!H18="","",'DG Units Generated'!H18)</f>
        <v/>
      </c>
      <c r="AB31" s="205" t="str">
        <f>IF('HVAC consumption'!N18="","",'HVAC consumption'!N18)</f>
        <v/>
      </c>
      <c r="AC31" s="205"/>
      <c r="AD31" s="212"/>
      <c r="AE31" s="205"/>
      <c r="AF31" s="205"/>
      <c r="AG31" s="212"/>
      <c r="AH31" s="205"/>
      <c r="AI31" s="205"/>
      <c r="AJ31" s="205" t="str">
        <f>IF('Technical manpower cost'!E62="","",'Technical manpower cost'!E62*1000)</f>
        <v/>
      </c>
      <c r="AK31" s="205" t="str">
        <f>IF('Technical manpower cost'!F62="","",'Technical manpower cost'!F62*1000)</f>
        <v/>
      </c>
      <c r="AL31" s="205" t="str">
        <f>IF(Attendance!C18="","",Attendance!C18)</f>
        <v/>
      </c>
      <c r="AM31" s="205" t="str">
        <f>IF(Attendance!C18="","",Attendance!D18)</f>
        <v/>
      </c>
      <c r="AN31" s="213" t="str">
        <f>IF(Attendance!E18="","",Attendance!E18)</f>
        <v/>
      </c>
      <c r="AO31" s="205" t="str">
        <f>IF(Attendance!F18="","",Attendance!F18)</f>
        <v/>
      </c>
      <c r="AP31" s="209" t="str">
        <f>IF(Attendance!C18="","",Attendance!I18)</f>
        <v/>
      </c>
      <c r="AQ31" s="214" t="str">
        <f>IF('Monthly KPI Report'!S13="MISSING","",'Monthly KPI Report'!R13)</f>
        <v/>
      </c>
      <c r="AR31" s="210" t="str">
        <f t="shared" si="1"/>
        <v/>
      </c>
      <c r="AS31" s="205" t="str">
        <f t="shared" si="2"/>
        <v/>
      </c>
      <c r="AT31" s="212" t="str">
        <f t="shared" si="3"/>
        <v/>
      </c>
      <c r="AU31" s="212"/>
      <c r="AV31" s="213" t="str">
        <f t="shared" si="4"/>
        <v/>
      </c>
      <c r="AW31" s="210" t="str">
        <f t="shared" si="5"/>
        <v/>
      </c>
      <c r="AX31" s="210" t="str">
        <f t="shared" si="6"/>
        <v/>
      </c>
      <c r="AY31" s="210" t="str">
        <f t="shared" si="7"/>
        <v/>
      </c>
      <c r="AZ31" s="210" t="str">
        <f t="shared" si="8"/>
        <v/>
      </c>
      <c r="BA31" s="213" t="str">
        <f t="shared" si="9"/>
        <v/>
      </c>
      <c r="BB31" s="210" t="str">
        <f t="shared" si="10"/>
        <v/>
      </c>
      <c r="BC31" s="213" t="str">
        <f t="shared" si="11"/>
        <v/>
      </c>
      <c r="BD31" s="205" t="str">
        <f t="shared" si="12"/>
        <v/>
      </c>
      <c r="BE31" s="212"/>
      <c r="BF31" s="212"/>
      <c r="BG31" s="212"/>
      <c r="BH31" s="212" t="str">
        <f t="shared" si="13"/>
        <v/>
      </c>
      <c r="BI31" s="213" t="str">
        <f t="shared" si="14"/>
        <v/>
      </c>
      <c r="BJ31" s="213" t="str">
        <f t="shared" si="15"/>
        <v/>
      </c>
      <c r="BK31" s="212" t="str">
        <f t="shared" si="16"/>
        <v/>
      </c>
      <c r="BL31" s="205" t="str">
        <f t="shared" si="17"/>
        <v/>
      </c>
      <c r="BM31" s="213" t="str">
        <f t="shared" si="18"/>
        <v/>
      </c>
      <c r="BN31" s="210" t="str">
        <f t="shared" si="19"/>
        <v/>
      </c>
      <c r="BO31" s="210" t="str">
        <f t="shared" si="20"/>
        <v/>
      </c>
      <c r="BP31" s="205" t="str">
        <f t="shared" si="21"/>
        <v/>
      </c>
      <c r="BQ31" s="205" t="str">
        <f t="shared" si="22"/>
        <v/>
      </c>
      <c r="BR31" s="212" t="str">
        <f t="shared" si="23"/>
        <v/>
      </c>
      <c r="BT31" s="215">
        <f t="shared" si="24"/>
        <v>0</v>
      </c>
      <c r="BU31" s="215">
        <f t="shared" si="25"/>
        <v>0</v>
      </c>
      <c r="BV31" s="215">
        <f t="shared" si="26"/>
        <v>0</v>
      </c>
      <c r="BW31" s="215">
        <f t="shared" si="27"/>
        <v>0</v>
      </c>
      <c r="BX31" s="216">
        <f t="shared" si="28"/>
        <v>0</v>
      </c>
      <c r="BY31" s="217">
        <f t="shared" si="29"/>
        <v>0</v>
      </c>
      <c r="BZ31" s="218">
        <f t="shared" si="30"/>
        <v>0</v>
      </c>
      <c r="CA31" s="215">
        <f t="shared" si="31"/>
        <v>0</v>
      </c>
      <c r="CB31" s="215">
        <f t="shared" si="32"/>
        <v>0</v>
      </c>
      <c r="CC31" s="219">
        <f t="shared" si="33"/>
        <v>0</v>
      </c>
      <c r="CD31" s="219">
        <f t="shared" si="34"/>
        <v>0</v>
      </c>
      <c r="CE31" s="220">
        <f t="shared" si="35"/>
        <v>0</v>
      </c>
      <c r="CF31" s="215"/>
      <c r="CG31" s="215"/>
      <c r="CH31" s="215"/>
      <c r="CI31" s="216">
        <f t="shared" si="36"/>
        <v>0</v>
      </c>
      <c r="CJ31" s="215">
        <f t="shared" si="37"/>
        <v>0</v>
      </c>
      <c r="CK31" s="215">
        <f t="shared" si="38"/>
        <v>0</v>
      </c>
      <c r="CL31" s="215">
        <f t="shared" si="39"/>
        <v>0</v>
      </c>
      <c r="CM31" s="219">
        <f t="shared" si="40"/>
        <v>0</v>
      </c>
      <c r="CN31" s="215"/>
      <c r="CO31" s="215">
        <f t="shared" si="41"/>
        <v>0</v>
      </c>
      <c r="CP31">
        <f>MIS_Calc!$B$8</f>
        <v>135</v>
      </c>
      <c r="CQ31">
        <f>MIS_Calc!$B$9</f>
        <v>8</v>
      </c>
      <c r="CR31">
        <f>MIS_Calc!$B$10</f>
        <v>0.95</v>
      </c>
      <c r="CS31">
        <f>MIS_Calc!$B$11</f>
        <v>0.9</v>
      </c>
    </row>
    <row r="32" spans="1:99" x14ac:dyDescent="0.2">
      <c r="A32" t="s">
        <v>133</v>
      </c>
      <c r="B32">
        <v>31</v>
      </c>
      <c r="C32" s="209" t="str">
        <f>IF('Complaints summary'!C19="","",'Complaints summary'!C19)</f>
        <v/>
      </c>
      <c r="D32" s="209" t="str">
        <f>IF('Complaints summary'!F19="","",'Complaints summary'!F19)</f>
        <v/>
      </c>
      <c r="E32" s="209" t="str">
        <f>IF('Complaints summary'!I19="","",'Complaints summary'!I19)</f>
        <v/>
      </c>
      <c r="F32" s="209" t="str">
        <f>IF('Complaints summary'!D19="","",'Complaints summary'!D19)</f>
        <v/>
      </c>
      <c r="G32" s="205" t="str">
        <f>IF(LPCD!C19="","",LPCD!C19/1000)</f>
        <v/>
      </c>
      <c r="H32" s="205">
        <f>IF(LPCD!D19="","",LPCD!D19)</f>
        <v>1354</v>
      </c>
      <c r="I32" s="210" t="str">
        <f>IF(LPCD!F19="","",LPCD!F19)</f>
        <v/>
      </c>
      <c r="J32" s="205" t="str">
        <f>IF('Building wise water'!T38="","",'Building wise water'!T38)</f>
        <v/>
      </c>
      <c r="K32" s="205" t="str">
        <f>IF('Building wise water'!T39="","",'Building wise water'!T39)</f>
        <v/>
      </c>
      <c r="L32" s="205" t="str">
        <f>IF('Building wise water'!T33="","",'Building wise water'!T33)</f>
        <v/>
      </c>
      <c r="M32" s="205" t="str">
        <f>IF('Building wise water'!T34="","",'Building wise water'!T34)</f>
        <v/>
      </c>
      <c r="N32" s="205" t="str">
        <f>IF('Power data'!C18="","",'Power data'!C18)</f>
        <v/>
      </c>
      <c r="O32" s="205" t="str">
        <f>IF('Power data'!D18="","",'Power data'!D18)</f>
        <v/>
      </c>
      <c r="P32" s="211" t="str">
        <f>IF('Power data'!E18="","",'Power data'!E18)</f>
        <v/>
      </c>
      <c r="Q32" s="205" t="str">
        <f>IF('Power data'!F18="","",'Power data'!F18)</f>
        <v/>
      </c>
      <c r="R32" s="212" t="str">
        <f>IF('Power data'!G18="","",'Power data'!G18)</f>
        <v/>
      </c>
      <c r="S32" s="205" t="str">
        <f>IF('Power data'!H18="","",'Power data'!H18)</f>
        <v/>
      </c>
      <c r="T32" s="205" t="str">
        <f>IF('Power data'!I18="","",'Power data'!I18)</f>
        <v/>
      </c>
      <c r="U32" s="212" t="str">
        <f>IF(EPI!D18="","",EPI!D18)</f>
        <v/>
      </c>
      <c r="V32" s="205" t="str">
        <f>IF('Solar Power'!N32="","",'Solar Power'!N32)</f>
        <v/>
      </c>
      <c r="W32" s="205" t="str">
        <f>IF('Solar Power'!C16="","",'Solar Power'!C16)</f>
        <v/>
      </c>
      <c r="X32" s="205" t="str">
        <f>IF('Solar Power'!D16="","",'Solar Power'!D16)</f>
        <v/>
      </c>
      <c r="Y32" s="205" t="str">
        <f>IF('DG Units Generated'!E19="","",'DG Units Generated'!E19)</f>
        <v/>
      </c>
      <c r="Z32" s="209" t="str">
        <f>IF('DG Units Generated'!G19="","",'DG Units Generated'!G19)</f>
        <v/>
      </c>
      <c r="AA32" s="210" t="str">
        <f>IF('DG Units Generated'!H19="","",'DG Units Generated'!H19)</f>
        <v/>
      </c>
      <c r="AB32" s="205" t="str">
        <f>IF('HVAC consumption'!N19="","",'HVAC consumption'!N19)</f>
        <v/>
      </c>
      <c r="AC32" s="205"/>
      <c r="AD32" s="212"/>
      <c r="AE32" s="205"/>
      <c r="AF32" s="205"/>
      <c r="AG32" s="212"/>
      <c r="AH32" s="205"/>
      <c r="AI32" s="205"/>
      <c r="AJ32" s="205" t="str">
        <f>IF('Technical manpower cost'!E63="","",'Technical manpower cost'!E63*1000)</f>
        <v/>
      </c>
      <c r="AK32" s="205" t="str">
        <f>IF('Technical manpower cost'!F63="","",'Technical manpower cost'!F63*1000)</f>
        <v/>
      </c>
      <c r="AL32" s="205" t="str">
        <f>IF(Attendance!C19="","",Attendance!C19)</f>
        <v/>
      </c>
      <c r="AM32" s="205" t="str">
        <f>IF(Attendance!C19="","",Attendance!D19)</f>
        <v/>
      </c>
      <c r="AN32" s="213" t="str">
        <f>IF(Attendance!E19="","",Attendance!E19)</f>
        <v/>
      </c>
      <c r="AO32" s="205" t="str">
        <f>IF(Attendance!F19="","",Attendance!F19)</f>
        <v/>
      </c>
      <c r="AP32" s="209" t="str">
        <f>IF(Attendance!C19="","",Attendance!I19)</f>
        <v/>
      </c>
      <c r="AQ32" s="214" t="str">
        <f>IF('Monthly KPI Report'!S14="MISSING","",'Monthly KPI Report'!R14)</f>
        <v/>
      </c>
      <c r="AR32" s="210" t="str">
        <f t="shared" si="1"/>
        <v/>
      </c>
      <c r="AS32" s="205" t="str">
        <f t="shared" si="2"/>
        <v/>
      </c>
      <c r="AT32" s="212" t="str">
        <f t="shared" si="3"/>
        <v/>
      </c>
      <c r="AU32" s="212"/>
      <c r="AV32" s="213" t="str">
        <f t="shared" si="4"/>
        <v/>
      </c>
      <c r="AW32" s="210" t="str">
        <f t="shared" si="5"/>
        <v/>
      </c>
      <c r="AX32" s="210" t="str">
        <f t="shared" si="6"/>
        <v/>
      </c>
      <c r="AY32" s="210" t="str">
        <f t="shared" si="7"/>
        <v/>
      </c>
      <c r="AZ32" s="210" t="str">
        <f t="shared" si="8"/>
        <v/>
      </c>
      <c r="BA32" s="213" t="str">
        <f t="shared" si="9"/>
        <v/>
      </c>
      <c r="BB32" s="210" t="str">
        <f t="shared" si="10"/>
        <v/>
      </c>
      <c r="BC32" s="213" t="str">
        <f t="shared" si="11"/>
        <v/>
      </c>
      <c r="BD32" s="205" t="str">
        <f t="shared" si="12"/>
        <v/>
      </c>
      <c r="BE32" s="212"/>
      <c r="BF32" s="212"/>
      <c r="BG32" s="212"/>
      <c r="BH32" s="212" t="str">
        <f t="shared" si="13"/>
        <v/>
      </c>
      <c r="BI32" s="213" t="str">
        <f t="shared" si="14"/>
        <v/>
      </c>
      <c r="BJ32" s="213" t="str">
        <f t="shared" si="15"/>
        <v/>
      </c>
      <c r="BK32" s="212" t="str">
        <f t="shared" si="16"/>
        <v/>
      </c>
      <c r="BL32" s="205" t="str">
        <f t="shared" si="17"/>
        <v/>
      </c>
      <c r="BM32" s="213" t="str">
        <f t="shared" si="18"/>
        <v/>
      </c>
      <c r="BN32" s="210" t="str">
        <f t="shared" si="19"/>
        <v/>
      </c>
      <c r="BO32" s="210" t="str">
        <f t="shared" si="20"/>
        <v/>
      </c>
      <c r="BP32" s="205" t="str">
        <f t="shared" si="21"/>
        <v/>
      </c>
      <c r="BQ32" s="205" t="str">
        <f t="shared" si="22"/>
        <v/>
      </c>
      <c r="BR32" s="212" t="str">
        <f t="shared" si="23"/>
        <v/>
      </c>
      <c r="BT32" s="215">
        <f t="shared" si="24"/>
        <v>0</v>
      </c>
      <c r="BU32" s="215">
        <f t="shared" si="25"/>
        <v>0</v>
      </c>
      <c r="BV32" s="215">
        <f t="shared" si="26"/>
        <v>0</v>
      </c>
      <c r="BW32" s="215">
        <f t="shared" si="27"/>
        <v>0</v>
      </c>
      <c r="BX32" s="216">
        <f t="shared" si="28"/>
        <v>0</v>
      </c>
      <c r="BY32" s="217">
        <f t="shared" si="29"/>
        <v>0</v>
      </c>
      <c r="BZ32" s="218">
        <f t="shared" si="30"/>
        <v>0</v>
      </c>
      <c r="CA32" s="215">
        <f t="shared" si="31"/>
        <v>0</v>
      </c>
      <c r="CB32" s="215">
        <f t="shared" si="32"/>
        <v>0</v>
      </c>
      <c r="CC32" s="219">
        <f t="shared" si="33"/>
        <v>0</v>
      </c>
      <c r="CD32" s="219">
        <f t="shared" si="34"/>
        <v>0</v>
      </c>
      <c r="CE32" s="220">
        <f t="shared" si="35"/>
        <v>0</v>
      </c>
      <c r="CF32" s="215"/>
      <c r="CG32" s="215"/>
      <c r="CH32" s="215"/>
      <c r="CI32" s="216">
        <f t="shared" si="36"/>
        <v>0</v>
      </c>
      <c r="CJ32" s="215">
        <f t="shared" si="37"/>
        <v>0</v>
      </c>
      <c r="CK32" s="215">
        <f t="shared" si="38"/>
        <v>0</v>
      </c>
      <c r="CL32" s="215">
        <f t="shared" si="39"/>
        <v>0</v>
      </c>
      <c r="CM32" s="219">
        <f t="shared" si="40"/>
        <v>0</v>
      </c>
      <c r="CN32" s="215"/>
      <c r="CO32" s="215">
        <f t="shared" si="41"/>
        <v>0</v>
      </c>
      <c r="CP32">
        <f>MIS_Calc!$B$8</f>
        <v>135</v>
      </c>
      <c r="CQ32">
        <f>MIS_Calc!$B$9</f>
        <v>8</v>
      </c>
      <c r="CR32">
        <f>MIS_Calc!$B$10</f>
        <v>0.95</v>
      </c>
      <c r="CS32">
        <f>MIS_Calc!$B$11</f>
        <v>0.9</v>
      </c>
    </row>
    <row r="34" spans="1:70" ht="15" x14ac:dyDescent="0.25">
      <c r="A34" s="203" t="s">
        <v>201</v>
      </c>
      <c r="B34">
        <f>365/12</f>
        <v>30.416666666666668</v>
      </c>
      <c r="C34" s="209">
        <f>IF('Complaints summary'!C5="","",'Complaints summary'!C5)</f>
        <v>156.75</v>
      </c>
      <c r="D34" s="209">
        <f>IF('Complaints summary'!F5="","",'Complaints summary'!F5)</f>
        <v>155</v>
      </c>
      <c r="E34" s="209">
        <f>IF('Complaints summary'!I5="","",'Complaints summary'!I5)</f>
        <v>0</v>
      </c>
      <c r="F34" s="209">
        <f>IF('Complaints summary'!D5="","",'Complaints summary'!D5)</f>
        <v>46.5</v>
      </c>
      <c r="G34" s="205">
        <f>IF(LPCD!C5="","",LPCD!C5/1000)</f>
        <v>39998.605833333204</v>
      </c>
      <c r="H34" s="205">
        <f>IF(LPCD!D5="","",LPCD!D5)</f>
        <v>1354</v>
      </c>
      <c r="I34" s="210">
        <f>IF(LPCD!F5="","",LPCD!F5)</f>
        <v>971.21318872543736</v>
      </c>
      <c r="J34" s="205">
        <f>IF('Building wise water'!E38="","",'Building wise water'!E38)</f>
        <v>11410.118333333199</v>
      </c>
      <c r="K34" s="205">
        <f>IF('Building wise water'!E39="","",'Building wise water'!E39)</f>
        <v>7230.2691666666597</v>
      </c>
      <c r="L34" s="205">
        <f>IF('Building wise water'!E33="","",'Building wise water'!E33)</f>
        <v>5010.4166666666597</v>
      </c>
      <c r="M34" s="205">
        <f>IF('Building wise water'!E34="","",'Building wise water'!E34)</f>
        <v>7038</v>
      </c>
      <c r="N34" s="205" t="str">
        <f>IF('Power data'!C4="","",'Power data'!C4)</f>
        <v/>
      </c>
      <c r="O34" s="205">
        <f>IF('Power data'!D4="","",'Power data'!D4)</f>
        <v>214546.208333332</v>
      </c>
      <c r="P34" s="211" t="str">
        <f>IF('Power data'!E4="","",'Power data'!E4)</f>
        <v/>
      </c>
      <c r="Q34" s="205">
        <f>IF('Power data'!F4="","",'Power data'!F4)</f>
        <v>2534576.875</v>
      </c>
      <c r="R34" s="212">
        <f>IF('Power data'!G4="","",'Power data'!G4)</f>
        <v>11.813664266963542</v>
      </c>
      <c r="S34" s="205">
        <f>IF('Power data'!H4="","",'Power data'!H4)</f>
        <v>562</v>
      </c>
      <c r="T34" s="205">
        <f>IF('Power data'!I4="","",'Power data'!I4)</f>
        <v>1276</v>
      </c>
      <c r="Y34" s="205">
        <f>IF('DG Units Generated'!E5="","",'DG Units Generated'!E5)</f>
        <v>984</v>
      </c>
      <c r="Z34" s="209">
        <f>IF('DG Units Generated'!G5="","",'DG Units Generated'!G5)</f>
        <v>4.166666666666667</v>
      </c>
      <c r="AA34" s="210">
        <f>IF('DG Units Generated'!H5="","",'DG Units Generated'!H5)</f>
        <v>5.5</v>
      </c>
      <c r="AC34" s="205"/>
      <c r="AD34" s="212"/>
      <c r="AE34" s="205"/>
      <c r="AG34" s="212"/>
      <c r="AH34" s="205"/>
      <c r="AI34" s="205"/>
      <c r="AJ34" s="205">
        <f>IF('Technical manpower cost'!E49="","",'Technical manpower cost'!E49*1000)</f>
        <v>691520</v>
      </c>
      <c r="AK34" s="205">
        <f>IF('Technical manpower cost'!F49="","",'Technical manpower cost'!F49*1000)</f>
        <v>850000</v>
      </c>
      <c r="AL34" s="205">
        <f>IF(Attendance!C5="","",Attendance!C5)</f>
        <v>529</v>
      </c>
      <c r="AM34" s="205">
        <f>IF(Attendance!D5="","",Attendance!D5)</f>
        <v>576</v>
      </c>
      <c r="AN34" s="213">
        <f>IF(Attendance!E5="","",Attendance!E5)</f>
        <v>0.91840277777777779</v>
      </c>
      <c r="AO34" s="205">
        <f>IF(Attendance!F5="","",Attendance!F5)</f>
        <v>120</v>
      </c>
      <c r="AR34" s="210" t="str">
        <f>IFERROR(N34/H34,"")</f>
        <v/>
      </c>
      <c r="AS34" s="205">
        <f>IFERROR(Q34/H34,"")</f>
        <v>1871.9179283604135</v>
      </c>
      <c r="AT34" s="212" t="str">
        <f>IFERROR(IF(OR(AB34="",H34=""),"",AB34/H34),"")</f>
        <v/>
      </c>
      <c r="AU34" s="212"/>
      <c r="AV34" s="213">
        <f>IFERROR(S34/T34,"")</f>
        <v>0.44043887147335425</v>
      </c>
      <c r="AW34" s="210">
        <f>IFERROR(J34*1000/(H34*$B34),"")</f>
        <v>277.05109164120188</v>
      </c>
      <c r="AX34" s="210">
        <f>IFERROR(K34*1000/(H34*$B34),"")</f>
        <v>175.55943829546126</v>
      </c>
      <c r="AY34" s="210">
        <f>IFERROR(L34*1000/(H34*$B34),"")</f>
        <v>121.65880900831611</v>
      </c>
      <c r="AZ34" s="210">
        <f>IFERROR(M34*1000/(H34*$B34),"")</f>
        <v>170.89091681673781</v>
      </c>
      <c r="BA34" s="213">
        <f>IFERROR(K34/(J34+K34),"")</f>
        <v>0.38788191322024362</v>
      </c>
      <c r="BB34" s="210" t="str">
        <f>IFERROR(IF(OR(V34="",H34=""),"",V34/H34),"")</f>
        <v/>
      </c>
      <c r="BC34" s="213" t="str">
        <f>IFERROR(IF(OR(V34="",N34=""),"",V34/N34),"")</f>
        <v/>
      </c>
      <c r="BD34" s="205" t="str">
        <f>IFERROR(IF(OR(X34="",H34=""),"",X34/H34),"")</f>
        <v/>
      </c>
      <c r="BE34" s="212"/>
      <c r="BF34" s="212"/>
      <c r="BG34" s="212"/>
      <c r="BH34" s="212">
        <f>IFERROR(C34*100/H34,"")</f>
        <v>11.576809453471196</v>
      </c>
      <c r="BI34" s="213">
        <f>IFERROR(D34/C34,"")</f>
        <v>0.98883572567783096</v>
      </c>
      <c r="BJ34" s="213">
        <f>IFERROR(F34/C34,"")</f>
        <v>0.29665071770334928</v>
      </c>
      <c r="BK34" s="212">
        <f>IFERROR(E34*1000/H34,"")</f>
        <v>0</v>
      </c>
      <c r="BL34" s="205">
        <f>IFERROR(AJ34/H34,"")</f>
        <v>510.72378138847859</v>
      </c>
      <c r="BM34" s="213">
        <f>IFERROR(AJ34/AK34,"")</f>
        <v>0.81355294117647059</v>
      </c>
      <c r="BN34" s="210">
        <f>IFERROR(AO34*100/AL34,"")</f>
        <v>22.684310018903592</v>
      </c>
      <c r="BO34" s="210" t="str">
        <f>IFERROR(H34/AP34,"")</f>
        <v/>
      </c>
      <c r="BP34" s="205">
        <f>IF(OR(Q34="",AJ34=""),"",Q34+AJ34)</f>
        <v>3226096.875</v>
      </c>
      <c r="BQ34" s="205">
        <f>IFERROR(IF(OR(BP34="",H34=""),"",BP34/H34),"")</f>
        <v>2382.641709748892</v>
      </c>
      <c r="BR34" s="212">
        <f>IFERROR(Y34/H34,"")</f>
        <v>0.72673559822747413</v>
      </c>
    </row>
    <row r="35" spans="1:70" ht="15" x14ac:dyDescent="0.25">
      <c r="A35" s="203" t="s">
        <v>145</v>
      </c>
      <c r="B35">
        <f>365/12</f>
        <v>30.416666666666668</v>
      </c>
      <c r="C35" s="209">
        <f>IF('Complaints summary'!C6="","",'Complaints summary'!C6)</f>
        <v>144.583333333333</v>
      </c>
      <c r="D35" s="209">
        <f>IF('Complaints summary'!F6="","",'Complaints summary'!F6)</f>
        <v>142.5</v>
      </c>
      <c r="E35" s="209">
        <f>IF('Complaints summary'!I6="","",'Complaints summary'!I6)</f>
        <v>0</v>
      </c>
      <c r="F35" s="209">
        <f>IF('Complaints summary'!D6="","",'Complaints summary'!D6)</f>
        <v>1.6666666666666701</v>
      </c>
      <c r="G35" s="205">
        <f>IF(LPCD!C6="","",LPCD!C6/1000)</f>
        <v>47504.705000000002</v>
      </c>
      <c r="H35" s="205">
        <f>IF(LPCD!D6="","",LPCD!D6)</f>
        <v>1354</v>
      </c>
      <c r="I35" s="210">
        <f>IF(LPCD!F6="","",LPCD!F6)</f>
        <v>1153.4701038020273</v>
      </c>
      <c r="J35" s="205">
        <f>IF('Building wise water'!F38="","",'Building wise water'!F38)</f>
        <v>17298.0333333333</v>
      </c>
      <c r="K35" s="205">
        <f>IF('Building wise water'!F39="","",'Building wise water'!F39)</f>
        <v>3584</v>
      </c>
      <c r="L35" s="205">
        <f>IF('Building wise water'!F33="","",'Building wise water'!F33)</f>
        <v>12262.25</v>
      </c>
      <c r="M35" s="205">
        <f>IF('Building wise water'!F34="","",'Building wise water'!F34)</f>
        <v>4009.4166666666702</v>
      </c>
      <c r="N35" s="205">
        <f>IF('Power data'!C5="","",'Power data'!C5)</f>
        <v>184937.5</v>
      </c>
      <c r="O35" s="205">
        <f>IF('Power data'!D5="","",'Power data'!D5)</f>
        <v>187911.833333332</v>
      </c>
      <c r="P35" s="211">
        <f>IF('Power data'!E5="","",'Power data'!E5)</f>
        <v>0.98417165496940306</v>
      </c>
      <c r="Q35" s="205">
        <f>IF('Power data'!F5="","",'Power data'!F5)</f>
        <v>2309764.6812499901</v>
      </c>
      <c r="R35" s="212">
        <f>IF('Power data'!G5="","",'Power data'!G5)</f>
        <v>12.291746827634626</v>
      </c>
      <c r="S35" s="205">
        <f>IF('Power data'!H5="","",'Power data'!H5)</f>
        <v>1117</v>
      </c>
      <c r="T35" s="205">
        <f>IF('Power data'!I5="","",'Power data'!I5)</f>
        <v>1276</v>
      </c>
      <c r="U35" s="212">
        <f>IF(EPI!D5="","",EPI!D5)</f>
        <v>3.5124318801089895</v>
      </c>
      <c r="Y35" s="205">
        <f>IF('DG Units Generated'!E6="","",'DG Units Generated'!E6)</f>
        <v>988.63599999999792</v>
      </c>
      <c r="Z35" s="209">
        <f>IF('DG Units Generated'!G6="","",'DG Units Generated'!G6)</f>
        <v>42</v>
      </c>
      <c r="AA35" s="210">
        <f>IF('DG Units Generated'!H6="","",'DG Units Generated'!H6)</f>
        <v>37</v>
      </c>
      <c r="AB35" s="205">
        <f>IF('HVAC consumption'!N6="","",'HVAC consumption'!N6)</f>
        <v>71200.636230769102</v>
      </c>
      <c r="AC35" s="205"/>
      <c r="AD35" s="212"/>
      <c r="AE35" s="205"/>
      <c r="AG35" s="212"/>
      <c r="AH35" s="205"/>
      <c r="AI35" s="205"/>
      <c r="AJ35" s="205">
        <f>IF('Technical manpower cost'!E50="","",'Technical manpower cost'!E50*1000)</f>
        <v>784240</v>
      </c>
      <c r="AK35" s="205">
        <f>IF('Technical manpower cost'!F50="","",'Technical manpower cost'!F50*1000)</f>
        <v>1022460</v>
      </c>
      <c r="AL35" s="205">
        <f>IF(Attendance!C6="","",Attendance!C6)</f>
        <v>629</v>
      </c>
      <c r="AM35" s="205">
        <f>IF(Attendance!D6="","",Attendance!D6)</f>
        <v>729</v>
      </c>
      <c r="AN35" s="213">
        <f>IF(Attendance!E6="","",Attendance!E6)</f>
        <v>0.86282578875171467</v>
      </c>
      <c r="AO35" s="205">
        <f>IF(Attendance!F6="","",Attendance!F6)</f>
        <v>220</v>
      </c>
      <c r="AR35" s="210">
        <f>IFERROR(N35/H35,"")</f>
        <v>136.58604135893648</v>
      </c>
      <c r="AS35" s="205">
        <f>IFERROR(Q35/H35,"")</f>
        <v>1705.8823347488849</v>
      </c>
      <c r="AT35" s="212">
        <f>IFERROR(IF(OR(AB35="",H35=""),"",AB35/H35),"")</f>
        <v>52.585403420065809</v>
      </c>
      <c r="AU35" s="212"/>
      <c r="AV35" s="213">
        <f>IFERROR(S35/T35,"")</f>
        <v>0.87539184952978055</v>
      </c>
      <c r="AW35" s="210">
        <f>IFERROR(J35*1000/(H35*$B35),"")</f>
        <v>420.01659213694495</v>
      </c>
      <c r="AX35" s="210">
        <f>IFERROR(K35*1000/(H35*$B35),"")</f>
        <v>87.023734849557869</v>
      </c>
      <c r="AY35" s="210">
        <f>IFERROR(L35*1000/(H35*$B35),"")</f>
        <v>297.74185063029881</v>
      </c>
      <c r="AZ35" s="210">
        <f>IFERROR(M35*1000/(H35*$B35),"")</f>
        <v>97.353351814006274</v>
      </c>
      <c r="BA35" s="213">
        <f>IFERROR(K35/(J35+K35),"")</f>
        <v>0.17163079585161753</v>
      </c>
      <c r="BB35" s="210" t="str">
        <f>IFERROR(IF(OR(V35="",H35=""),"",V35/H35),"")</f>
        <v/>
      </c>
      <c r="BC35" s="213" t="str">
        <f>IFERROR(IF(OR(V35="",N35=""),"",V35/N35),"")</f>
        <v/>
      </c>
      <c r="BD35" s="205" t="str">
        <f>IFERROR(IF(OR(X35="",H35=""),"",X35/H35),"")</f>
        <v/>
      </c>
      <c r="BE35" s="212"/>
      <c r="BF35" s="212"/>
      <c r="BG35" s="212"/>
      <c r="BH35" s="212">
        <f>IFERROR(C35*100/H35,"")</f>
        <v>10.67823732151647</v>
      </c>
      <c r="BI35" s="213">
        <f>IFERROR(D35/C35,"")</f>
        <v>0.98559077809798501</v>
      </c>
      <c r="BJ35" s="213">
        <f>IFERROR(F35/C35,"")</f>
        <v>1.1527377521613882E-2</v>
      </c>
      <c r="BK35" s="212">
        <f>IFERROR(E35*1000/H35,"")</f>
        <v>0</v>
      </c>
      <c r="BL35" s="205">
        <f>IFERROR(AJ35/H35,"")</f>
        <v>579.20236336779908</v>
      </c>
      <c r="BM35" s="213">
        <f>IFERROR(AJ35/AK35,"")</f>
        <v>0.76701289047982313</v>
      </c>
      <c r="BN35" s="210">
        <f>IFERROR(AO35*100/AL35,"")</f>
        <v>34.976152623211448</v>
      </c>
      <c r="BO35" s="210" t="str">
        <f>IFERROR(H35/AP35,"")</f>
        <v/>
      </c>
      <c r="BP35" s="205">
        <f>IF(OR(Q35="",AJ35=""),"",Q35+AJ35)</f>
        <v>3094004.6812499901</v>
      </c>
      <c r="BQ35" s="205">
        <f>IFERROR(IF(OR(BP35="",H35=""),"",BP35/H35),"")</f>
        <v>2285.0846981166842</v>
      </c>
      <c r="BR35" s="212">
        <f>IFERROR(Y35/H35,"")</f>
        <v>0.73015952732643863</v>
      </c>
    </row>
    <row r="36" spans="1:70" ht="15" x14ac:dyDescent="0.25">
      <c r="A36" s="203" t="s">
        <v>139</v>
      </c>
      <c r="B36">
        <f>365/12</f>
        <v>30.416666666666668</v>
      </c>
      <c r="C36" s="209">
        <f>IF('Complaints summary'!C7="","",'Complaints summary'!C7)</f>
        <v>85</v>
      </c>
      <c r="D36" s="209">
        <f>IF('Complaints summary'!F7="","",'Complaints summary'!F7)</f>
        <v>85</v>
      </c>
      <c r="E36" s="209">
        <f>IF('Complaints summary'!I7="","",'Complaints summary'!I7)</f>
        <v>0</v>
      </c>
      <c r="F36" s="209">
        <f>IF('Complaints summary'!D7="","",'Complaints summary'!D7)</f>
        <v>2</v>
      </c>
      <c r="G36" s="205">
        <f>IF(LPCD!C7="","",LPCD!C7/1000)</f>
        <v>100168.66666666701</v>
      </c>
      <c r="H36" s="205">
        <f>IF(LPCD!D7="","",LPCD!D7)</f>
        <v>1354</v>
      </c>
      <c r="I36" s="210">
        <f>IF(LPCD!F7="","",LPCD!F7)</f>
        <v>2432.2130268509418</v>
      </c>
      <c r="J36" s="205">
        <f>IF('Building wise water'!G38="","",'Building wise water'!G38)</f>
        <v>29581.0608333333</v>
      </c>
      <c r="K36" s="205">
        <f>IF('Building wise water'!G39="","",'Building wise water'!G39)</f>
        <v>4534.8333333333303</v>
      </c>
      <c r="L36" s="205">
        <f>IF('Building wise water'!G33="","",'Building wise water'!G33)</f>
        <v>10719</v>
      </c>
      <c r="M36" s="205">
        <f>IF('Building wise water'!G34="","",'Building wise water'!G34)</f>
        <v>6035.1666666666597</v>
      </c>
      <c r="N36" s="205">
        <f>IF('Power data'!C6="","",'Power data'!C6)</f>
        <v>132779.5</v>
      </c>
      <c r="O36" s="205">
        <f>IF('Power data'!D6="","",'Power data'!D6)</f>
        <v>137678</v>
      </c>
      <c r="P36" s="211">
        <f>IF('Power data'!E6="","",'Power data'!E6)</f>
        <v>0.96442060459913714</v>
      </c>
      <c r="Q36" s="205">
        <f>IF('Power data'!F6="","",'Power data'!F6)</f>
        <v>1741299.3825892799</v>
      </c>
      <c r="R36" s="212">
        <f>IF('Power data'!G6="","",'Power data'!G6)</f>
        <v>12.647622587408881</v>
      </c>
      <c r="S36" s="205">
        <f>IF('Power data'!H6="","",'Power data'!H6)</f>
        <v>511.03333333333302</v>
      </c>
      <c r="T36" s="205">
        <f>IF('Power data'!I6="","",'Power data'!I6)</f>
        <v>1276</v>
      </c>
      <c r="U36" s="212">
        <f>IF(EPI!D6="","",EPI!D6)</f>
        <v>2.5218192569107489</v>
      </c>
      <c r="V36" s="205">
        <f>IF('Solar Power'!B40="","",'Solar Power'!B40)</f>
        <v>85838.866666666698</v>
      </c>
      <c r="Y36" s="205">
        <f>IF('DG Units Generated'!E7="","",'DG Units Generated'!E7)</f>
        <v>494.27272727272702</v>
      </c>
      <c r="Z36" s="209">
        <f>IF('DG Units Generated'!G7="","",'DG Units Generated'!G7)</f>
        <v>21</v>
      </c>
      <c r="AA36" s="210">
        <f>IF('DG Units Generated'!H7="","",'DG Units Generated'!H7)</f>
        <v>27.25</v>
      </c>
      <c r="AB36" s="205">
        <f>IF('HVAC consumption'!N7="","",'HVAC consumption'!N7)</f>
        <v>20939.0795454545</v>
      </c>
      <c r="AC36" s="205"/>
      <c r="AD36" s="212"/>
      <c r="AE36" s="205"/>
      <c r="AG36" s="212"/>
      <c r="AH36" s="205"/>
      <c r="AI36" s="205"/>
      <c r="AJ36" s="205">
        <f>IF('Technical manpower cost'!E51="","",'Technical manpower cost'!E51*1000)</f>
        <v>750089.25</v>
      </c>
      <c r="AK36" s="205">
        <f>IF('Technical manpower cost'!F51="","",'Technical manpower cost'!F51*1000)</f>
        <v>1079531.66666667</v>
      </c>
      <c r="AL36" s="205">
        <f>IF(Attendance!C7="","",Attendance!C7)</f>
        <v>583.58333333333303</v>
      </c>
      <c r="AM36" s="205">
        <f>IF(Attendance!D7="","",Attendance!D7)</f>
        <v>702.16666666666595</v>
      </c>
      <c r="AN36" s="213">
        <f>IF(Attendance!E7="","",Attendance!E7)</f>
        <v>0.83111796819368666</v>
      </c>
      <c r="AO36" s="205">
        <f>IF(Attendance!F7="","",Attendance!F7)</f>
        <v>129.45454545454501</v>
      </c>
      <c r="AR36" s="210">
        <f>IFERROR(N36/H36,"")</f>
        <v>98.064623338257022</v>
      </c>
      <c r="AS36" s="205">
        <f>IFERROR(Q36/H36,"")</f>
        <v>1286.0409029462924</v>
      </c>
      <c r="AT36" s="212">
        <f>IFERROR(IF(OR(AB36="",H36=""),"",AB36/H36),"")</f>
        <v>15.464608231502586</v>
      </c>
      <c r="AU36" s="212"/>
      <c r="AV36" s="213">
        <f>IFERROR(S36/T36,"")</f>
        <v>0.40049634273772178</v>
      </c>
      <c r="AW36" s="210">
        <f>IFERROR(J36*1000/(H36*$B36),"")</f>
        <v>718.26294490196381</v>
      </c>
      <c r="AX36" s="210">
        <f>IFERROR(K36*1000/(H36*$B36),"")</f>
        <v>110.1110863802836</v>
      </c>
      <c r="AY36" s="210">
        <f>IFERROR(L36*1000/(H36*$B36),"")</f>
        <v>260.26992574006999</v>
      </c>
      <c r="AZ36" s="210">
        <f>IFERROR(M36*1000/(H36*$B36),"")</f>
        <v>146.54094413306066</v>
      </c>
      <c r="BA36" s="213">
        <f>IFERROR(K36/(J36+K36),"")</f>
        <v>0.1329243581064965</v>
      </c>
      <c r="BB36" s="210">
        <f>IFERROR(IF(OR(V36="",H36=""),"",V36/H36),"")</f>
        <v>63.396504185130503</v>
      </c>
      <c r="BC36" s="213">
        <f>IFERROR(IF(OR(V36="",N36=""),"",V36/N36),"")</f>
        <v>0.64647680302054678</v>
      </c>
      <c r="BD36" s="205" t="str">
        <f>IFERROR(IF(OR(X36="",H36=""),"",X36/H36),"")</f>
        <v/>
      </c>
      <c r="BE36" s="212"/>
      <c r="BF36" s="212"/>
      <c r="BG36" s="212"/>
      <c r="BH36" s="212">
        <f>IFERROR(C36*100/H36,"")</f>
        <v>6.277695716395864</v>
      </c>
      <c r="BI36" s="213">
        <f>IFERROR(D36/C36,"")</f>
        <v>1</v>
      </c>
      <c r="BJ36" s="213">
        <f>IFERROR(F36/C36,"")</f>
        <v>2.3529411764705882E-2</v>
      </c>
      <c r="BK36" s="212">
        <f>IFERROR(E36*1000/H36,"")</f>
        <v>0</v>
      </c>
      <c r="BL36" s="205">
        <f>IFERROR(AJ36/H36,"")</f>
        <v>553.98024372230429</v>
      </c>
      <c r="BM36" s="213">
        <f>IFERROR(AJ36/AK36,"")</f>
        <v>0.69482839008890984</v>
      </c>
      <c r="BN36" s="210">
        <f>IFERROR(AO36*100/AL36,"")</f>
        <v>22.182700920384704</v>
      </c>
      <c r="BO36" s="210" t="str">
        <f>IFERROR(H36/AP36,"")</f>
        <v/>
      </c>
      <c r="BP36" s="205">
        <f>IF(OR(Q36="",AJ36=""),"",Q36+AJ36)</f>
        <v>2491388.6325892797</v>
      </c>
      <c r="BQ36" s="205">
        <f>IFERROR(IF(OR(BP36="",H36=""),"",BP36/H36),"")</f>
        <v>1840.0211466685964</v>
      </c>
      <c r="BR36" s="212">
        <f>IFERROR(Y36/H36,"")</f>
        <v>0.36504632738015291</v>
      </c>
    </row>
    <row r="37" spans="1:70" x14ac:dyDescent="0.2">
      <c r="A37" s="201" t="s">
        <v>714</v>
      </c>
    </row>
    <row r="38" spans="1:70" ht="15.75" x14ac:dyDescent="0.25">
      <c r="A38" s="208" t="s">
        <v>715</v>
      </c>
    </row>
    <row r="39" spans="1:70" ht="30" x14ac:dyDescent="0.2">
      <c r="A39" s="202" t="s">
        <v>716</v>
      </c>
      <c r="B39" s="202" t="s">
        <v>142</v>
      </c>
      <c r="C39" s="202" t="s">
        <v>143</v>
      </c>
      <c r="D39" s="202" t="s">
        <v>717</v>
      </c>
      <c r="E39" s="202" t="s">
        <v>718</v>
      </c>
      <c r="F39" s="202" t="s">
        <v>719</v>
      </c>
      <c r="G39" s="202" t="s">
        <v>720</v>
      </c>
      <c r="H39" s="202" t="s">
        <v>721</v>
      </c>
      <c r="I39" s="202" t="s">
        <v>722</v>
      </c>
      <c r="J39" s="202" t="s">
        <v>723</v>
      </c>
      <c r="K39" s="202" t="s">
        <v>724</v>
      </c>
      <c r="L39" s="202" t="s">
        <v>725</v>
      </c>
      <c r="M39" s="202" t="s">
        <v>726</v>
      </c>
    </row>
    <row r="40" spans="1:70" x14ac:dyDescent="0.2">
      <c r="A40" t="s">
        <v>727</v>
      </c>
      <c r="B40" t="s">
        <v>728</v>
      </c>
      <c r="C40" t="s">
        <v>546</v>
      </c>
      <c r="D40" t="s">
        <v>729</v>
      </c>
      <c r="E40" s="209">
        <f>IFERROR(IF($B$3="2026 YTD",IF(COUNT($C$21:$C$32)=0,"",SUM($C$21:$C$32)),INDEX($C$21:$C$32,MATCH($B$3,MIS_Calc!$A$21:$A$32,0))),"")</f>
        <v>216</v>
      </c>
      <c r="F40" s="209">
        <f>IFERROR(IF($B$3="2026 YTD",AVERAGE($C$21:$C$32),INDEX($C$21:$C$32,MATCH($B$3,MIS_Calc!$A$21:$A$32,0))),"")</f>
        <v>216</v>
      </c>
      <c r="G40">
        <f>COUNT($C$21:$C$32)</f>
        <v>5</v>
      </c>
      <c r="H40" s="209">
        <f>IF(C36="","",C36)</f>
        <v>85</v>
      </c>
      <c r="I40" s="209">
        <f>IF(C35="","",C35)</f>
        <v>144.583333333333</v>
      </c>
      <c r="J40" s="221">
        <f t="shared" ref="J40:J65" si="42">IFERROR(IF(OR(F40="",H40=""),"",F40/H40-1),"")</f>
        <v>1.5411764705882351</v>
      </c>
      <c r="K40" s="209">
        <f>IFERROR(IF($B$5="2026 YTD",AVERAGE($C$21:$C$32),INDEX($C$21:$C$32,MATCH($B$5,MIS_Calc!$A$21:$A$32,0))),"")</f>
        <v>216</v>
      </c>
      <c r="L40" s="221">
        <f t="shared" ref="L40:L65" si="43">IFERROR(IF(OR(K40="",H40=""),"",K40/H40-1),"")</f>
        <v>1.5411764705882351</v>
      </c>
      <c r="M40" s="209">
        <f>IF(C34="","",C34)</f>
        <v>156.75</v>
      </c>
    </row>
    <row r="41" spans="1:70" x14ac:dyDescent="0.2">
      <c r="A41" t="s">
        <v>730</v>
      </c>
      <c r="B41" t="s">
        <v>194</v>
      </c>
      <c r="C41" t="s">
        <v>546</v>
      </c>
      <c r="D41" t="s">
        <v>729</v>
      </c>
      <c r="E41" s="209">
        <f>IFERROR(IF($B$3="2026 YTD",IF(COUNT($D$21:$D$32)=0,"",SUM($D$21:$D$32)),INDEX($D$21:$D$32,MATCH($B$3,MIS_Calc!$A$21:$A$32,0))),"")</f>
        <v>146</v>
      </c>
      <c r="F41" s="209">
        <f>IFERROR(IF($B$3="2026 YTD",AVERAGE($D$21:$D$32),INDEX($D$21:$D$32,MATCH($B$3,MIS_Calc!$A$21:$A$32,0))),"")</f>
        <v>146</v>
      </c>
      <c r="G41">
        <f>COUNT($D$21:$D$32)</f>
        <v>5</v>
      </c>
      <c r="H41" s="209">
        <f>IF(D36="","",D36)</f>
        <v>85</v>
      </c>
      <c r="I41" s="209">
        <f>IF(D35="","",D35)</f>
        <v>142.5</v>
      </c>
      <c r="J41" s="221">
        <f t="shared" si="42"/>
        <v>0.7176470588235293</v>
      </c>
      <c r="K41" s="209">
        <f>IFERROR(IF($B$5="2026 YTD",AVERAGE($D$21:$D$32),INDEX($D$21:$D$32,MATCH($B$5,MIS_Calc!$A$21:$A$32,0))),"")</f>
        <v>146</v>
      </c>
      <c r="L41" s="221">
        <f t="shared" si="43"/>
        <v>0.7176470588235293</v>
      </c>
      <c r="M41" s="209">
        <f>IF(D34="","",D34)</f>
        <v>155</v>
      </c>
    </row>
    <row r="42" spans="1:70" x14ac:dyDescent="0.2">
      <c r="A42" t="s">
        <v>731</v>
      </c>
      <c r="B42" t="s">
        <v>732</v>
      </c>
      <c r="C42" t="s">
        <v>546</v>
      </c>
      <c r="D42" t="s">
        <v>733</v>
      </c>
      <c r="E42" s="209" t="str">
        <f>IFERROR(IF($B$3="2026 YTD",IF(COUNT($E$21:$E$32)=0,"",LOOKUP(2,1/($E$21:$E$32&lt;&gt;""),$E$21:$E$32)),INDEX($E$21:$E$32,MATCH($B$3,MIS_Calc!$A$21:$A$32,0))),"")</f>
        <v/>
      </c>
      <c r="F42" s="209" t="str">
        <f>IFERROR(IF($B$3="2026 YTD",LOOKUP(2,1/($E$21:$E$32&lt;&gt;""),$E$21:$E$32),INDEX($E$21:$E$32,MATCH($B$3,MIS_Calc!$A$21:$A$32,0))),"")</f>
        <v/>
      </c>
      <c r="G42">
        <f>COUNT($E$21:$E$32)</f>
        <v>2</v>
      </c>
      <c r="H42" s="209">
        <f>IF(E36="","",E36)</f>
        <v>0</v>
      </c>
      <c r="I42" s="209">
        <f>IF(E35="","",E35)</f>
        <v>0</v>
      </c>
      <c r="J42" s="221" t="str">
        <f t="shared" si="42"/>
        <v/>
      </c>
      <c r="K42" s="209" t="str">
        <f>IFERROR(IF($B$5="2026 YTD",LOOKUP(2,1/($E$21:$E$32&lt;&gt;""),$E$21:$E$32),INDEX($E$21:$E$32,MATCH($B$5,MIS_Calc!$A$21:$A$32,0))),"")</f>
        <v/>
      </c>
      <c r="L42" s="221" t="str">
        <f t="shared" si="43"/>
        <v/>
      </c>
      <c r="M42" s="209">
        <f>IF(E34="","",E34)</f>
        <v>0</v>
      </c>
    </row>
    <row r="43" spans="1:70" x14ac:dyDescent="0.2">
      <c r="A43" t="s">
        <v>734</v>
      </c>
      <c r="B43" t="s">
        <v>735</v>
      </c>
      <c r="C43" t="s">
        <v>546</v>
      </c>
      <c r="D43" t="s">
        <v>729</v>
      </c>
      <c r="E43" s="209">
        <f>IFERROR(IF($B$3="2026 YTD",IF(COUNT($F$21:$F$32)=0,"",SUM($F$21:$F$32)),INDEX($F$21:$F$32,MATCH($B$3,MIS_Calc!$A$21:$A$32,0))),"")</f>
        <v>7</v>
      </c>
      <c r="F43" s="209">
        <f>IFERROR(IF($B$3="2026 YTD",AVERAGE($F$21:$F$32),INDEX($F$21:$F$32,MATCH($B$3,MIS_Calc!$A$21:$A$32,0))),"")</f>
        <v>7</v>
      </c>
      <c r="G43">
        <f>COUNT($F$21:$F$32)</f>
        <v>5</v>
      </c>
      <c r="H43" s="209">
        <f>IF(F36="","",F36)</f>
        <v>2</v>
      </c>
      <c r="I43" s="209">
        <f>IF(F35="","",F35)</f>
        <v>1.6666666666666701</v>
      </c>
      <c r="J43" s="221">
        <f t="shared" si="42"/>
        <v>2.5</v>
      </c>
      <c r="K43" s="209">
        <f>IFERROR(IF($B$5="2026 YTD",AVERAGE($F$21:$F$32),INDEX($F$21:$F$32,MATCH($B$5,MIS_Calc!$A$21:$A$32,0))),"")</f>
        <v>7</v>
      </c>
      <c r="L43" s="221">
        <f t="shared" si="43"/>
        <v>2.5</v>
      </c>
      <c r="M43" s="209">
        <f>IF(F34="","",F34)</f>
        <v>46.5</v>
      </c>
    </row>
    <row r="44" spans="1:70" x14ac:dyDescent="0.2">
      <c r="A44" t="s">
        <v>736</v>
      </c>
      <c r="B44" t="s">
        <v>737</v>
      </c>
      <c r="C44" t="s">
        <v>738</v>
      </c>
      <c r="D44" t="s">
        <v>729</v>
      </c>
      <c r="E44" s="205">
        <f>IFERROR(IF($B$3="2026 YTD",IF(COUNT($G$21:$G$32)=0,"",SUM($G$21:$G$32)),INDEX($G$21:$G$32,MATCH($B$3,MIS_Calc!$A$21:$A$32,0))),"")</f>
        <v>14026</v>
      </c>
      <c r="F44" s="205">
        <f>IFERROR(IF($B$3="2026 YTD",AVERAGE($G$21:$G$32),INDEX($G$21:$G$32,MATCH($B$3,MIS_Calc!$A$21:$A$32,0))),"")</f>
        <v>14026</v>
      </c>
      <c r="G44">
        <f>COUNT($G$21:$G$32)</f>
        <v>8</v>
      </c>
      <c r="H44" s="205">
        <f>IF(G36="","",G36)</f>
        <v>100168.66666666701</v>
      </c>
      <c r="I44" s="205">
        <f>IF(G35="","",G35)</f>
        <v>47504.705000000002</v>
      </c>
      <c r="J44" s="221">
        <f t="shared" si="42"/>
        <v>-0.85997617352066236</v>
      </c>
      <c r="K44" s="205">
        <f>IFERROR(IF($B$5="2026 YTD",AVERAGE($G$21:$G$32),INDEX($G$21:$G$32,MATCH($B$5,MIS_Calc!$A$21:$A$32,0))),"")</f>
        <v>14026</v>
      </c>
      <c r="L44" s="221">
        <f t="shared" si="43"/>
        <v>-0.85997617352066236</v>
      </c>
      <c r="M44" s="205">
        <f>IF(G34="","",G34)</f>
        <v>39998.605833333204</v>
      </c>
    </row>
    <row r="45" spans="1:70" x14ac:dyDescent="0.2">
      <c r="A45" t="s">
        <v>739</v>
      </c>
      <c r="B45" t="s">
        <v>740</v>
      </c>
      <c r="C45" t="s">
        <v>741</v>
      </c>
      <c r="D45" t="s">
        <v>742</v>
      </c>
      <c r="E45" s="205">
        <f>IFERROR(IF($B$3="2026 YTD",AVERAGE($H$21:$H$32),INDEX($H$21:$H$32,MATCH($B$3,MIS_Calc!$A$21:$A$32,0))),"")</f>
        <v>1354</v>
      </c>
      <c r="F45" s="205">
        <f>IFERROR(IF($B$3="2026 YTD",AVERAGE($H$21:$H$32),INDEX($H$21:$H$32,MATCH($B$3,MIS_Calc!$A$21:$A$32,0))),"")</f>
        <v>1354</v>
      </c>
      <c r="G45">
        <f>COUNT($H$21:$H$32)</f>
        <v>12</v>
      </c>
      <c r="H45" s="205">
        <f>IF(H36="","",H36)</f>
        <v>1354</v>
      </c>
      <c r="I45" s="205">
        <f>IF(H35="","",H35)</f>
        <v>1354</v>
      </c>
      <c r="J45" s="221">
        <f t="shared" si="42"/>
        <v>0</v>
      </c>
      <c r="K45" s="205">
        <f>IFERROR(IF($B$5="2026 YTD",AVERAGE($H$21:$H$32),INDEX($H$21:$H$32,MATCH($B$5,MIS_Calc!$A$21:$A$32,0))),"")</f>
        <v>1354</v>
      </c>
      <c r="L45" s="221">
        <f t="shared" si="43"/>
        <v>0</v>
      </c>
      <c r="M45" s="205">
        <f>IF(H34="","",H34)</f>
        <v>1354</v>
      </c>
    </row>
    <row r="46" spans="1:70" x14ac:dyDescent="0.2">
      <c r="A46" t="s">
        <v>743</v>
      </c>
      <c r="B46" t="s">
        <v>50</v>
      </c>
      <c r="C46" t="s">
        <v>161</v>
      </c>
      <c r="D46" t="s">
        <v>742</v>
      </c>
      <c r="E46" s="210">
        <f>IFERROR(IF($B$3="2026 YTD",AVERAGE($I$21:$I$32),INDEX($I$21:$I$32,MATCH($B$3,MIS_Calc!$A$21:$A$32,0))),"")</f>
        <v>334.15924143517418</v>
      </c>
      <c r="F46" s="210">
        <f>IFERROR(IF($B$3="2026 YTD",AVERAGE($I$21:$I$32),INDEX($I$21:$I$32,MATCH($B$3,MIS_Calc!$A$21:$A$32,0))),"")</f>
        <v>334.15924143517418</v>
      </c>
      <c r="G46">
        <f>COUNT($I$21:$I$32)</f>
        <v>8</v>
      </c>
      <c r="H46" s="210">
        <f>IF(I36="","",I36)</f>
        <v>2432.2130268509418</v>
      </c>
      <c r="I46" s="210">
        <f>IF(I35="","",I35)</f>
        <v>1153.4701038020273</v>
      </c>
      <c r="J46" s="221">
        <f t="shared" si="42"/>
        <v>-0.86261103047054233</v>
      </c>
      <c r="K46" s="210">
        <f>IFERROR(IF($B$5="2026 YTD",AVERAGE($I$21:$I$32),INDEX($I$21:$I$32,MATCH($B$5,MIS_Calc!$A$21:$A$32,0))),"")</f>
        <v>334.15924143517418</v>
      </c>
      <c r="L46" s="221">
        <f t="shared" si="43"/>
        <v>-0.86261103047054233</v>
      </c>
      <c r="M46" s="210">
        <f>IF(I34="","",I34)</f>
        <v>971.21318872543736</v>
      </c>
    </row>
    <row r="47" spans="1:70" x14ac:dyDescent="0.2">
      <c r="A47" t="s">
        <v>744</v>
      </c>
      <c r="B47" t="s">
        <v>745</v>
      </c>
      <c r="C47" t="s">
        <v>738</v>
      </c>
      <c r="D47" t="s">
        <v>729</v>
      </c>
      <c r="E47" s="205">
        <f>IFERROR(IF($B$3="2026 YTD",IF(COUNT($J$21:$J$32)=0,"",SUM($J$21:$J$32)),INDEX($J$21:$J$32,MATCH($B$3,MIS_Calc!$A$21:$A$32,0))),"")</f>
        <v>11995</v>
      </c>
      <c r="F47" s="205">
        <f>IFERROR(IF($B$3="2026 YTD",AVERAGE($J$21:$J$32),INDEX($J$21:$J$32,MATCH($B$3,MIS_Calc!$A$21:$A$32,0))),"")</f>
        <v>11995</v>
      </c>
      <c r="G47">
        <f>COUNT($J$21:$J$32)</f>
        <v>8</v>
      </c>
      <c r="H47" s="205">
        <f>IF(J36="","",J36)</f>
        <v>29581.0608333333</v>
      </c>
      <c r="I47" s="205">
        <f>IF(J35="","",J35)</f>
        <v>17298.0333333333</v>
      </c>
      <c r="J47" s="221">
        <f t="shared" si="42"/>
        <v>-0.59450406232613928</v>
      </c>
      <c r="K47" s="205">
        <f>IFERROR(IF($B$5="2026 YTD",AVERAGE($J$21:$J$32),INDEX($J$21:$J$32,MATCH($B$5,MIS_Calc!$A$21:$A$32,0))),"")</f>
        <v>11995</v>
      </c>
      <c r="L47" s="221">
        <f t="shared" si="43"/>
        <v>-0.59450406232613928</v>
      </c>
      <c r="M47" s="205">
        <f>IF(J34="","",J34)</f>
        <v>11410.118333333199</v>
      </c>
    </row>
    <row r="48" spans="1:70" x14ac:dyDescent="0.2">
      <c r="A48" t="s">
        <v>746</v>
      </c>
      <c r="B48" t="s">
        <v>258</v>
      </c>
      <c r="C48" t="s">
        <v>738</v>
      </c>
      <c r="D48" t="s">
        <v>729</v>
      </c>
      <c r="E48" s="205">
        <f>IFERROR(IF($B$3="2026 YTD",IF(COUNT($K$21:$K$32)=0,"",SUM($K$21:$K$32)),INDEX($K$21:$K$32,MATCH($B$3,MIS_Calc!$A$21:$A$32,0))),"")</f>
        <v>2683</v>
      </c>
      <c r="F48" s="205">
        <f>IFERROR(IF($B$3="2026 YTD",AVERAGE($K$21:$K$32),INDEX($K$21:$K$32,MATCH($B$3,MIS_Calc!$A$21:$A$32,0))),"")</f>
        <v>2683</v>
      </c>
      <c r="G48">
        <f>COUNT($K$21:$K$32)</f>
        <v>8</v>
      </c>
      <c r="H48" s="205">
        <f>IF(K36="","",K36)</f>
        <v>4534.8333333333303</v>
      </c>
      <c r="I48" s="205">
        <f>IF(K35="","",K35)</f>
        <v>3584</v>
      </c>
      <c r="J48" s="221">
        <f t="shared" si="42"/>
        <v>-0.40835752875886611</v>
      </c>
      <c r="K48" s="205">
        <f>IFERROR(IF($B$5="2026 YTD",AVERAGE($K$21:$K$32),INDEX($K$21:$K$32,MATCH($B$5,MIS_Calc!$A$21:$A$32,0))),"")</f>
        <v>2683</v>
      </c>
      <c r="L48" s="221">
        <f t="shared" si="43"/>
        <v>-0.40835752875886611</v>
      </c>
      <c r="M48" s="205">
        <f>IF(K34="","",K34)</f>
        <v>7230.2691666666597</v>
      </c>
    </row>
    <row r="49" spans="1:13" x14ac:dyDescent="0.2">
      <c r="A49" t="s">
        <v>747</v>
      </c>
      <c r="B49" t="s">
        <v>748</v>
      </c>
      <c r="C49" t="s">
        <v>738</v>
      </c>
      <c r="D49" t="s">
        <v>729</v>
      </c>
      <c r="E49" s="205">
        <f>IFERROR(IF($B$3="2026 YTD",IF(COUNT($L$21:$L$32)=0,"",SUM($L$21:$L$32)),INDEX($L$21:$L$32,MATCH($B$3,MIS_Calc!$A$21:$A$32,0))),"")</f>
        <v>10986</v>
      </c>
      <c r="F49" s="205">
        <f>IFERROR(IF($B$3="2026 YTD",AVERAGE($L$21:$L$32),INDEX($L$21:$L$32,MATCH($B$3,MIS_Calc!$A$21:$A$32,0))),"")</f>
        <v>10986</v>
      </c>
      <c r="G49">
        <f>COUNT($L$21:$L$32)</f>
        <v>8</v>
      </c>
      <c r="H49" s="205">
        <f>IF(L36="","",L36)</f>
        <v>10719</v>
      </c>
      <c r="I49" s="205">
        <f>IF(L35="","",L35)</f>
        <v>12262.25</v>
      </c>
      <c r="J49" s="221">
        <f t="shared" si="42"/>
        <v>2.4909040022390139E-2</v>
      </c>
      <c r="K49" s="205">
        <f>IFERROR(IF($B$5="2026 YTD",AVERAGE($L$21:$L$32),INDEX($L$21:$L$32,MATCH($B$5,MIS_Calc!$A$21:$A$32,0))),"")</f>
        <v>10986</v>
      </c>
      <c r="L49" s="221">
        <f t="shared" si="43"/>
        <v>2.4909040022390139E-2</v>
      </c>
      <c r="M49" s="205">
        <f>IF(L34="","",L34)</f>
        <v>5010.4166666666597</v>
      </c>
    </row>
    <row r="50" spans="1:13" x14ac:dyDescent="0.2">
      <c r="A50" t="s">
        <v>749</v>
      </c>
      <c r="B50" t="s">
        <v>252</v>
      </c>
      <c r="C50" t="s">
        <v>738</v>
      </c>
      <c r="D50" t="s">
        <v>729</v>
      </c>
      <c r="E50" s="205">
        <f>IFERROR(IF($B$3="2026 YTD",IF(COUNT($M$21:$M$32)=0,"",SUM($M$21:$M$32)),INDEX($M$21:$M$32,MATCH($B$3,MIS_Calc!$A$21:$A$32,0))),"")</f>
        <v>2501</v>
      </c>
      <c r="F50" s="205">
        <f>IFERROR(IF($B$3="2026 YTD",AVERAGE($M$21:$M$32),INDEX($M$21:$M$32,MATCH($B$3,MIS_Calc!$A$21:$A$32,0))),"")</f>
        <v>2501</v>
      </c>
      <c r="G50">
        <f>COUNT($M$21:$M$32)</f>
        <v>8</v>
      </c>
      <c r="H50" s="205">
        <f>IF(M36="","",M36)</f>
        <v>6035.1666666666597</v>
      </c>
      <c r="I50" s="205">
        <f>IF(M35="","",M35)</f>
        <v>4009.4166666666702</v>
      </c>
      <c r="J50" s="221">
        <f t="shared" si="42"/>
        <v>-0.58559553726768065</v>
      </c>
      <c r="K50" s="205">
        <f>IFERROR(IF($B$5="2026 YTD",AVERAGE($M$21:$M$32),INDEX($M$21:$M$32,MATCH($B$5,MIS_Calc!$A$21:$A$32,0))),"")</f>
        <v>2501</v>
      </c>
      <c r="L50" s="221">
        <f t="shared" si="43"/>
        <v>-0.58559553726768065</v>
      </c>
      <c r="M50" s="205">
        <f>IF(M34="","",M34)</f>
        <v>7038</v>
      </c>
    </row>
    <row r="51" spans="1:13" x14ac:dyDescent="0.2">
      <c r="A51" t="s">
        <v>750</v>
      </c>
      <c r="B51" t="s">
        <v>751</v>
      </c>
      <c r="C51" t="s">
        <v>752</v>
      </c>
      <c r="D51" t="s">
        <v>729</v>
      </c>
      <c r="E51" s="205">
        <f>IFERROR(IF($B$3="2026 YTD",IF(COUNT($N$21:$N$32)=0,"",SUM($N$21:$N$32)),INDEX($N$21:$N$32,MATCH($B$3,MIS_Calc!$A$21:$A$32,0))),"")</f>
        <v>146382</v>
      </c>
      <c r="F51" s="205">
        <f>IFERROR(IF($B$3="2026 YTD",AVERAGE($N$21:$N$32),INDEX($N$21:$N$32,MATCH($B$3,MIS_Calc!$A$21:$A$32,0))),"")</f>
        <v>146382</v>
      </c>
      <c r="G51">
        <f>COUNT($N$21:$N$32)</f>
        <v>8</v>
      </c>
      <c r="H51" s="205">
        <f>IF(N36="","",N36)</f>
        <v>132779.5</v>
      </c>
      <c r="I51" s="205">
        <f>IF(N35="","",N35)</f>
        <v>184937.5</v>
      </c>
      <c r="J51" s="221">
        <f t="shared" si="42"/>
        <v>0.10244427791940769</v>
      </c>
      <c r="K51" s="205">
        <f>IFERROR(IF($B$5="2026 YTD",AVERAGE($N$21:$N$32),INDEX($N$21:$N$32,MATCH($B$5,MIS_Calc!$A$21:$A$32,0))),"")</f>
        <v>146382</v>
      </c>
      <c r="L51" s="221">
        <f t="shared" si="43"/>
        <v>0.10244427791940769</v>
      </c>
      <c r="M51" s="205" t="str">
        <f>IF(N34="","",N34)</f>
        <v/>
      </c>
    </row>
    <row r="52" spans="1:13" x14ac:dyDescent="0.2">
      <c r="A52" t="s">
        <v>753</v>
      </c>
      <c r="B52" t="s">
        <v>754</v>
      </c>
      <c r="C52" t="s">
        <v>755</v>
      </c>
      <c r="D52" t="s">
        <v>729</v>
      </c>
      <c r="E52" s="205">
        <f>IFERROR(IF($B$3="2026 YTD",IF(COUNT($O$21:$O$32)=0,"",SUM($O$21:$O$32)),INDEX($O$21:$O$32,MATCH($B$3,MIS_Calc!$A$21:$A$32,0))),"")</f>
        <v>156360</v>
      </c>
      <c r="F52" s="205">
        <f>IFERROR(IF($B$3="2026 YTD",AVERAGE($O$21:$O$32),INDEX($O$21:$O$32,MATCH($B$3,MIS_Calc!$A$21:$A$32,0))),"")</f>
        <v>156360</v>
      </c>
      <c r="G52">
        <f>COUNT($O$21:$O$32)</f>
        <v>8</v>
      </c>
      <c r="H52" s="205">
        <f>IF(O36="","",O36)</f>
        <v>137678</v>
      </c>
      <c r="I52" s="205">
        <f>IF(O35="","",O35)</f>
        <v>187911.833333332</v>
      </c>
      <c r="J52" s="221">
        <f t="shared" si="42"/>
        <v>0.13569342959659503</v>
      </c>
      <c r="K52" s="205">
        <f>IFERROR(IF($B$5="2026 YTD",AVERAGE($O$21:$O$32),INDEX($O$21:$O$32,MATCH($B$5,MIS_Calc!$A$21:$A$32,0))),"")</f>
        <v>156360</v>
      </c>
      <c r="L52" s="221">
        <f t="shared" si="43"/>
        <v>0.13569342959659503</v>
      </c>
      <c r="M52" s="205">
        <f>IF(O34="","",O34)</f>
        <v>214546.208333332</v>
      </c>
    </row>
    <row r="53" spans="1:13" x14ac:dyDescent="0.2">
      <c r="A53" t="s">
        <v>756</v>
      </c>
      <c r="B53" t="s">
        <v>156</v>
      </c>
      <c r="C53" t="s">
        <v>157</v>
      </c>
      <c r="D53" t="s">
        <v>757</v>
      </c>
      <c r="E53" s="211">
        <f>IFERROR(IF($B$3="2026 YTD",SUM($N$21:$N$32)/SUM($O$21:$O$32),INDEX($P$21:$P$32,MATCH($B$3,MIS_Calc!$A$21:$A$32,0))),"")</f>
        <v>0.93618572524942445</v>
      </c>
      <c r="F53" s="211">
        <f>IFERROR(IF($B$3="2026 YTD",SUM($N$21:$N$32)/SUM($O$21:$O$32),INDEX($P$21:$P$32,MATCH($B$3,MIS_Calc!$A$21:$A$32,0))),"")</f>
        <v>0.93618572524942445</v>
      </c>
      <c r="G53">
        <f>COUNT($P$21:$P$32)</f>
        <v>8</v>
      </c>
      <c r="H53" s="211">
        <f>IF(P36="","",P36)</f>
        <v>0.96442060459913714</v>
      </c>
      <c r="I53" s="211">
        <f>IF(P35="","",P35)</f>
        <v>0.98417165496940306</v>
      </c>
      <c r="J53" s="221">
        <f t="shared" si="42"/>
        <v>-2.9276520239266968E-2</v>
      </c>
      <c r="K53" s="211">
        <f>IFERROR(IF($B$5="2026 YTD",SUM($N$21:$N$32)/SUM($O$21:$O$32),INDEX($P$21:$P$32,MATCH($B$5,MIS_Calc!$A$21:$A$32,0))),"")</f>
        <v>0.93618572524942445</v>
      </c>
      <c r="L53" s="221">
        <f t="shared" si="43"/>
        <v>-2.9276520239266968E-2</v>
      </c>
      <c r="M53" s="211" t="str">
        <f>IF(P34="","",P34)</f>
        <v/>
      </c>
    </row>
    <row r="54" spans="1:13" x14ac:dyDescent="0.2">
      <c r="A54" t="s">
        <v>758</v>
      </c>
      <c r="B54" t="s">
        <v>759</v>
      </c>
      <c r="C54" t="s">
        <v>760</v>
      </c>
      <c r="D54" t="s">
        <v>729</v>
      </c>
      <c r="E54" s="205">
        <f>IFERROR(IF($B$3="2026 YTD",IF(COUNT($Q$21:$Q$32)=0,"",SUM($Q$21:$Q$32)),INDEX($Q$21:$Q$32,MATCH($B$3,MIS_Calc!$A$21:$A$32,0))),"")</f>
        <v>1829571</v>
      </c>
      <c r="F54" s="205">
        <f>IFERROR(IF($B$3="2026 YTD",AVERAGE($Q$21:$Q$32),INDEX($Q$21:$Q$32,MATCH($B$3,MIS_Calc!$A$21:$A$32,0))),"")</f>
        <v>1829571</v>
      </c>
      <c r="G54">
        <f>COUNT($Q$21:$Q$32)</f>
        <v>8</v>
      </c>
      <c r="H54" s="205">
        <f>IF(Q36="","",Q36)</f>
        <v>1741299.3825892799</v>
      </c>
      <c r="I54" s="205">
        <f>IF(Q35="","",Q35)</f>
        <v>2309764.6812499901</v>
      </c>
      <c r="J54" s="221">
        <f t="shared" si="42"/>
        <v>5.0692958541949107E-2</v>
      </c>
      <c r="K54" s="205">
        <f>IFERROR(IF($B$5="2026 YTD",AVERAGE($Q$21:$Q$32),INDEX($Q$21:$Q$32,MATCH($B$5,MIS_Calc!$A$21:$A$32,0))),"")</f>
        <v>1829571</v>
      </c>
      <c r="L54" s="221">
        <f t="shared" si="43"/>
        <v>5.0692958541949107E-2</v>
      </c>
      <c r="M54" s="205">
        <f>IF(Q34="","",Q34)</f>
        <v>2534576.875</v>
      </c>
    </row>
    <row r="55" spans="1:13" x14ac:dyDescent="0.2">
      <c r="A55" t="s">
        <v>761</v>
      </c>
      <c r="B55" t="s">
        <v>762</v>
      </c>
      <c r="C55" t="s">
        <v>763</v>
      </c>
      <c r="D55" t="s">
        <v>757</v>
      </c>
      <c r="E55" s="212">
        <f>IFERROR(IF($B$3="2026 YTD",SUM($Q$21:$Q$32)/SUM($O$21:$O$32),INDEX($R$21:$R$32,MATCH($B$3,MIS_Calc!$A$21:$A$32,0))),"")</f>
        <v>11.701016884113583</v>
      </c>
      <c r="F55" s="212">
        <f>IFERROR(IF($B$3="2026 YTD",SUM($Q$21:$Q$32)/SUM($O$21:$O$32),INDEX($R$21:$R$32,MATCH($B$3,MIS_Calc!$A$21:$A$32,0))),"")</f>
        <v>11.701016884113583</v>
      </c>
      <c r="G55">
        <f>COUNT($R$21:$R$32)</f>
        <v>8</v>
      </c>
      <c r="H55" s="212">
        <f>IF(R36="","",R36)</f>
        <v>12.647622587408881</v>
      </c>
      <c r="I55" s="212">
        <f>IF(R35="","",R35)</f>
        <v>12.291746827634626</v>
      </c>
      <c r="J55" s="221">
        <f t="shared" si="42"/>
        <v>-7.4844556496939885E-2</v>
      </c>
      <c r="K55" s="212">
        <f>IFERROR(IF($B$5="2026 YTD",SUM($Q$21:$Q$32)/SUM($O$21:$O$32),INDEX($R$21:$R$32,MATCH($B$5,MIS_Calc!$A$21:$A$32,0))),"")</f>
        <v>11.701016884113583</v>
      </c>
      <c r="L55" s="221">
        <f t="shared" si="43"/>
        <v>-7.4844556496939885E-2</v>
      </c>
      <c r="M55" s="212">
        <f>IF(R34="","",R34)</f>
        <v>11.813664266963542</v>
      </c>
    </row>
    <row r="56" spans="1:13" x14ac:dyDescent="0.2">
      <c r="A56" t="s">
        <v>764</v>
      </c>
      <c r="B56" t="s">
        <v>765</v>
      </c>
      <c r="C56" t="s">
        <v>766</v>
      </c>
      <c r="D56" t="s">
        <v>742</v>
      </c>
      <c r="E56" s="205">
        <f>IFERROR(IF($B$3="2026 YTD",AVERAGE($S$21:$S$32),INDEX($S$21:$S$32,MATCH($B$3,MIS_Calc!$A$21:$A$32,0))),"")</f>
        <v>475</v>
      </c>
      <c r="F56" s="205">
        <f>IFERROR(IF($B$3="2026 YTD",AVERAGE($S$21:$S$32),INDEX($S$21:$S$32,MATCH($B$3,MIS_Calc!$A$21:$A$32,0))),"")</f>
        <v>475</v>
      </c>
      <c r="G56">
        <f>COUNT($S$21:$S$32)</f>
        <v>8</v>
      </c>
      <c r="H56" s="205">
        <f>IF(S36="","",S36)</f>
        <v>511.03333333333302</v>
      </c>
      <c r="I56" s="205">
        <f>IF(S35="","",S35)</f>
        <v>1117</v>
      </c>
      <c r="J56" s="221">
        <f t="shared" si="42"/>
        <v>-7.0510729893678903E-2</v>
      </c>
      <c r="K56" s="205">
        <f>IFERROR(IF($B$5="2026 YTD",AVERAGE($S$21:$S$32),INDEX($S$21:$S$32,MATCH($B$5,MIS_Calc!$A$21:$A$32,0))),"")</f>
        <v>475</v>
      </c>
      <c r="L56" s="221">
        <f t="shared" si="43"/>
        <v>-7.0510729893678903E-2</v>
      </c>
      <c r="M56" s="205">
        <f>IF(S34="","",S34)</f>
        <v>562</v>
      </c>
    </row>
    <row r="57" spans="1:13" x14ac:dyDescent="0.2">
      <c r="A57" t="s">
        <v>767</v>
      </c>
      <c r="B57" t="s">
        <v>306</v>
      </c>
      <c r="C57" t="s">
        <v>766</v>
      </c>
      <c r="D57" t="s">
        <v>742</v>
      </c>
      <c r="E57" s="205">
        <f>IFERROR(IF($B$3="2026 YTD",AVERAGE($T$21:$T$32),INDEX($T$21:$T$32,MATCH($B$3,MIS_Calc!$A$21:$A$32,0))),"")</f>
        <v>1276</v>
      </c>
      <c r="F57" s="205">
        <f>IFERROR(IF($B$3="2026 YTD",AVERAGE($T$21:$T$32),INDEX($T$21:$T$32,MATCH($B$3,MIS_Calc!$A$21:$A$32,0))),"")</f>
        <v>1276</v>
      </c>
      <c r="G57">
        <f>COUNT($T$21:$T$32)</f>
        <v>8</v>
      </c>
      <c r="H57" s="205">
        <f>IF(T36="","",T36)</f>
        <v>1276</v>
      </c>
      <c r="I57" s="205">
        <f>IF(T35="","",T35)</f>
        <v>1276</v>
      </c>
      <c r="J57" s="221">
        <f t="shared" si="42"/>
        <v>0</v>
      </c>
      <c r="K57" s="205">
        <f>IFERROR(IF($B$5="2026 YTD",AVERAGE($T$21:$T$32),INDEX($T$21:$T$32,MATCH($B$5,MIS_Calc!$A$21:$A$32,0))),"")</f>
        <v>1276</v>
      </c>
      <c r="L57" s="221">
        <f t="shared" si="43"/>
        <v>0</v>
      </c>
      <c r="M57" s="205">
        <f>IF(T34="","",T34)</f>
        <v>1276</v>
      </c>
    </row>
    <row r="58" spans="1:13" x14ac:dyDescent="0.2">
      <c r="A58" t="s">
        <v>768</v>
      </c>
      <c r="B58" t="s">
        <v>153</v>
      </c>
      <c r="C58" t="s">
        <v>154</v>
      </c>
      <c r="D58" t="s">
        <v>742</v>
      </c>
      <c r="E58" s="212">
        <f>IFERROR(IF($B$3="2026 YTD",AVERAGE($U$21:$U$32),INDEX($U$21:$U$32,MATCH($B$3,MIS_Calc!$A$21:$A$32,0))),"")</f>
        <v>2.7801652097282279</v>
      </c>
      <c r="F58" s="212">
        <f>IFERROR(IF($B$3="2026 YTD",AVERAGE($U$21:$U$32),INDEX($U$21:$U$32,MATCH($B$3,MIS_Calc!$A$21:$A$32,0))),"")</f>
        <v>2.7801652097282279</v>
      </c>
      <c r="G58">
        <f>COUNT($U$21:$U$32)</f>
        <v>8</v>
      </c>
      <c r="H58" s="212">
        <f>IF(U36="","",U36)</f>
        <v>2.5218192569107489</v>
      </c>
      <c r="I58" s="212">
        <f>IF(U35="","",U35)</f>
        <v>3.5124318801089895</v>
      </c>
      <c r="J58" s="221">
        <f t="shared" si="42"/>
        <v>0.10244427791940769</v>
      </c>
      <c r="K58" s="212">
        <f>IFERROR(IF($B$5="2026 YTD",AVERAGE($U$21:$U$32),INDEX($U$21:$U$32,MATCH($B$5,MIS_Calc!$A$21:$A$32,0))),"")</f>
        <v>2.7801652097282279</v>
      </c>
      <c r="L58" s="221">
        <f t="shared" si="43"/>
        <v>0.10244427791940769</v>
      </c>
      <c r="M58" s="212" t="str">
        <f>IF(U34="","",U34)</f>
        <v/>
      </c>
    </row>
    <row r="59" spans="1:13" x14ac:dyDescent="0.2">
      <c r="A59" t="s">
        <v>769</v>
      </c>
      <c r="B59" t="s">
        <v>770</v>
      </c>
      <c r="C59" t="s">
        <v>752</v>
      </c>
      <c r="D59" t="s">
        <v>729</v>
      </c>
      <c r="E59" s="205">
        <f>IFERROR(IF($B$3="2026 YTD",IF(COUNT($V$21:$V$32)=0,"",SUM($V$21:$V$32)),INDEX($V$21:$V$32,MATCH($B$3,MIS_Calc!$A$21:$A$32,0))),"")</f>
        <v>115911</v>
      </c>
      <c r="F59" s="205">
        <f>IFERROR(IF($B$3="2026 YTD",AVERAGE($V$21:$V$32),INDEX($V$21:$V$32,MATCH($B$3,MIS_Calc!$A$21:$A$32,0))),"")</f>
        <v>115911</v>
      </c>
      <c r="G59">
        <f>COUNT($V$21:$V$32)</f>
        <v>8</v>
      </c>
      <c r="H59" s="205">
        <f>IF(V36="","",V36)</f>
        <v>85838.866666666698</v>
      </c>
      <c r="I59" s="205" t="str">
        <f>IF(V35="","",V35)</f>
        <v/>
      </c>
      <c r="J59" s="221">
        <f t="shared" si="42"/>
        <v>0.35033236692314151</v>
      </c>
      <c r="K59" s="205">
        <f>IFERROR(IF($B$5="2026 YTD",AVERAGE($V$21:$V$32),INDEX($V$21:$V$32,MATCH($B$5,MIS_Calc!$A$21:$A$32,0))),"")</f>
        <v>115911</v>
      </c>
      <c r="L59" s="221">
        <f t="shared" si="43"/>
        <v>0.35033236692314151</v>
      </c>
      <c r="M59" s="205" t="str">
        <f>IF(V34="","",V34)</f>
        <v/>
      </c>
    </row>
    <row r="60" spans="1:13" x14ac:dyDescent="0.2">
      <c r="A60" t="s">
        <v>771</v>
      </c>
      <c r="B60" t="s">
        <v>772</v>
      </c>
      <c r="C60" t="s">
        <v>752</v>
      </c>
      <c r="D60" t="s">
        <v>729</v>
      </c>
      <c r="E60" s="205">
        <f>IFERROR(IF($B$3="2026 YTD",IF(COUNT($W$21:$W$32)=0,"",SUM($W$21:$W$32)),INDEX($W$21:$W$32,MATCH($B$3,MIS_Calc!$A$21:$A$32,0))),"")</f>
        <v>115911</v>
      </c>
      <c r="F60" s="205">
        <f>IFERROR(IF($B$3="2026 YTD",AVERAGE($W$21:$W$32),INDEX($W$21:$W$32,MATCH($B$3,MIS_Calc!$A$21:$A$32,0))),"")</f>
        <v>115911</v>
      </c>
      <c r="G60">
        <f>COUNT($W$21:$W$32)</f>
        <v>8</v>
      </c>
      <c r="H60" s="205" t="str">
        <f>IF(W36="","",W36)</f>
        <v/>
      </c>
      <c r="I60" s="205" t="str">
        <f>IF(W35="","",W35)</f>
        <v/>
      </c>
      <c r="J60" s="221" t="str">
        <f t="shared" si="42"/>
        <v/>
      </c>
      <c r="K60" s="205">
        <f>IFERROR(IF($B$5="2026 YTD",AVERAGE($W$21:$W$32),INDEX($W$21:$W$32,MATCH($B$5,MIS_Calc!$A$21:$A$32,0))),"")</f>
        <v>115911</v>
      </c>
      <c r="L60" s="221" t="str">
        <f t="shared" si="43"/>
        <v/>
      </c>
      <c r="M60" s="205" t="str">
        <f>IF(W34="","",W34)</f>
        <v/>
      </c>
    </row>
    <row r="61" spans="1:13" x14ac:dyDescent="0.2">
      <c r="A61" t="s">
        <v>773</v>
      </c>
      <c r="B61" t="s">
        <v>774</v>
      </c>
      <c r="C61" t="s">
        <v>760</v>
      </c>
      <c r="D61" t="s">
        <v>729</v>
      </c>
      <c r="E61" s="205">
        <f>IFERROR(IF($B$3="2026 YTD",IF(COUNT($X$21:$X$32)=0,"",SUM($X$21:$X$32)),INDEX($X$21:$X$32,MATCH($B$3,MIS_Calc!$A$21:$A$32,0))),"")</f>
        <v>1367749.8</v>
      </c>
      <c r="F61" s="205">
        <f>IFERROR(IF($B$3="2026 YTD",AVERAGE($X$21:$X$32),INDEX($X$21:$X$32,MATCH($B$3,MIS_Calc!$A$21:$A$32,0))),"")</f>
        <v>1367749.8</v>
      </c>
      <c r="G61">
        <f>COUNT($X$21:$X$32)</f>
        <v>8</v>
      </c>
      <c r="H61" s="205" t="str">
        <f>IF(X36="","",X36)</f>
        <v/>
      </c>
      <c r="I61" s="205" t="str">
        <f>IF(X35="","",X35)</f>
        <v/>
      </c>
      <c r="J61" s="221" t="str">
        <f t="shared" si="42"/>
        <v/>
      </c>
      <c r="K61" s="205">
        <f>IFERROR(IF($B$5="2026 YTD",AVERAGE($X$21:$X$32),INDEX($X$21:$X$32,MATCH($B$5,MIS_Calc!$A$21:$A$32,0))),"")</f>
        <v>1367749.8</v>
      </c>
      <c r="L61" s="221" t="str">
        <f t="shared" si="43"/>
        <v/>
      </c>
      <c r="M61" s="205" t="str">
        <f>IF(X34="","",X34)</f>
        <v/>
      </c>
    </row>
    <row r="62" spans="1:13" x14ac:dyDescent="0.2">
      <c r="A62" t="s">
        <v>775</v>
      </c>
      <c r="B62" t="s">
        <v>776</v>
      </c>
      <c r="C62" t="s">
        <v>752</v>
      </c>
      <c r="D62" t="s">
        <v>729</v>
      </c>
      <c r="E62" s="205">
        <f>IFERROR(IF($B$3="2026 YTD",IF(COUNT($Y$21:$Y$32)=0,"",SUM($Y$21:$Y$32)),INDEX($Y$21:$Y$32,MATCH($B$3,MIS_Calc!$A$21:$A$32,0))),"")</f>
        <v>11</v>
      </c>
      <c r="F62" s="205">
        <f>IFERROR(IF($B$3="2026 YTD",AVERAGE($Y$21:$Y$32),INDEX($Y$21:$Y$32,MATCH($B$3,MIS_Calc!$A$21:$A$32,0))),"")</f>
        <v>11</v>
      </c>
      <c r="G62">
        <f>COUNT($Y$21:$Y$32)</f>
        <v>8</v>
      </c>
      <c r="H62" s="205">
        <f>IF(Y36="","",Y36)</f>
        <v>494.27272727272702</v>
      </c>
      <c r="I62" s="205">
        <f>IF(Y35="","",Y35)</f>
        <v>988.63599999999792</v>
      </c>
      <c r="J62" s="221">
        <f t="shared" si="42"/>
        <v>-0.97774508000735694</v>
      </c>
      <c r="K62" s="205">
        <f>IFERROR(IF($B$5="2026 YTD",AVERAGE($Y$21:$Y$32),INDEX($Y$21:$Y$32,MATCH($B$5,MIS_Calc!$A$21:$A$32,0))),"")</f>
        <v>11</v>
      </c>
      <c r="L62" s="221">
        <f t="shared" si="43"/>
        <v>-0.97774508000735694</v>
      </c>
      <c r="M62" s="205">
        <f>IF(Y34="","",Y34)</f>
        <v>984</v>
      </c>
    </row>
    <row r="63" spans="1:13" x14ac:dyDescent="0.2">
      <c r="A63" t="s">
        <v>777</v>
      </c>
      <c r="B63" t="s">
        <v>778</v>
      </c>
      <c r="C63" t="s">
        <v>546</v>
      </c>
      <c r="D63" t="s">
        <v>729</v>
      </c>
      <c r="E63" s="209">
        <f>IFERROR(IF($B$3="2026 YTD",IF(COUNT($Z$21:$Z$32)=0,"",SUM($Z$21:$Z$32)),INDEX($Z$21:$Z$32,MATCH($B$3,MIS_Calc!$A$21:$A$32,0))),"")</f>
        <v>1</v>
      </c>
      <c r="F63" s="209">
        <f>IFERROR(IF($B$3="2026 YTD",AVERAGE($Z$21:$Z$32),INDEX($Z$21:$Z$32,MATCH($B$3,MIS_Calc!$A$21:$A$32,0))),"")</f>
        <v>1</v>
      </c>
      <c r="G63">
        <f>COUNT($Z$21:$Z$32)</f>
        <v>8</v>
      </c>
      <c r="H63" s="209">
        <f>IF(Z36="","",Z36)</f>
        <v>21</v>
      </c>
      <c r="I63" s="209">
        <f>IF(Z35="","",Z35)</f>
        <v>42</v>
      </c>
      <c r="J63" s="221">
        <f t="shared" si="42"/>
        <v>-0.95238095238095233</v>
      </c>
      <c r="K63" s="209">
        <f>IFERROR(IF($B$5="2026 YTD",AVERAGE($Z$21:$Z$32),INDEX($Z$21:$Z$32,MATCH($B$5,MIS_Calc!$A$21:$A$32,0))),"")</f>
        <v>1</v>
      </c>
      <c r="L63" s="221">
        <f t="shared" si="43"/>
        <v>-0.95238095238095233</v>
      </c>
      <c r="M63" s="209">
        <f>IF(Z34="","",Z34)</f>
        <v>4.166666666666667</v>
      </c>
    </row>
    <row r="64" spans="1:13" x14ac:dyDescent="0.2">
      <c r="A64" t="s">
        <v>779</v>
      </c>
      <c r="B64" t="s">
        <v>780</v>
      </c>
      <c r="C64" t="s">
        <v>781</v>
      </c>
      <c r="D64" t="s">
        <v>729</v>
      </c>
      <c r="E64" s="210">
        <f>IFERROR(IF($B$3="2026 YTD",IF(COUNT($AA$21:$AA$32)=0,"",SUM($AA$21:$AA$32)),INDEX($AA$21:$AA$32,MATCH($B$3,MIS_Calc!$A$21:$A$32,0))),"")</f>
        <v>0.15</v>
      </c>
      <c r="F64" s="210">
        <f>IFERROR(IF($B$3="2026 YTD",AVERAGE($AA$21:$AA$32),INDEX($AA$21:$AA$32,MATCH($B$3,MIS_Calc!$A$21:$A$32,0))),"")</f>
        <v>0.15</v>
      </c>
      <c r="G64">
        <f>COUNT($AA$21:$AA$32)</f>
        <v>8</v>
      </c>
      <c r="H64" s="210">
        <f>IF(AA36="","",AA36)</f>
        <v>27.25</v>
      </c>
      <c r="I64" s="210">
        <f>IF(AA35="","",AA35)</f>
        <v>37</v>
      </c>
      <c r="J64" s="221">
        <f t="shared" si="42"/>
        <v>-0.99449541284403675</v>
      </c>
      <c r="K64" s="210">
        <f>IFERROR(IF($B$5="2026 YTD",AVERAGE($AA$21:$AA$32),INDEX($AA$21:$AA$32,MATCH($B$5,MIS_Calc!$A$21:$A$32,0))),"")</f>
        <v>0.15</v>
      </c>
      <c r="L64" s="221">
        <f t="shared" si="43"/>
        <v>-0.99449541284403675</v>
      </c>
      <c r="M64" s="210">
        <f>IF(AA34="","",AA34)</f>
        <v>5.5</v>
      </c>
    </row>
    <row r="65" spans="1:13" x14ac:dyDescent="0.2">
      <c r="A65" t="s">
        <v>782</v>
      </c>
      <c r="B65" t="s">
        <v>783</v>
      </c>
      <c r="C65" t="s">
        <v>752</v>
      </c>
      <c r="D65" t="s">
        <v>729</v>
      </c>
      <c r="E65" s="205">
        <f>IFERROR(IF($B$3="2026 YTD",IF(COUNT($AB$21:$AB$32)=0,"",SUM($AB$21:$AB$32)),INDEX($AB$21:$AB$32,MATCH($B$3,MIS_Calc!$A$21:$A$32,0))),"")</f>
        <v>21957.88</v>
      </c>
      <c r="F65" s="205">
        <f>IFERROR(IF($B$3="2026 YTD",AVERAGE($AB$21:$AB$32),INDEX($AB$21:$AB$32,MATCH($B$3,MIS_Calc!$A$21:$A$32,0))),"")</f>
        <v>21957.88</v>
      </c>
      <c r="G65">
        <f>COUNT($AB$21:$AB$32)</f>
        <v>8</v>
      </c>
      <c r="H65" s="205">
        <f>IF(AB36="","",AB36)</f>
        <v>20939.0795454545</v>
      </c>
      <c r="I65" s="205">
        <f>IF(AB35="","",AB35)</f>
        <v>71200.636230769102</v>
      </c>
      <c r="J65" s="221">
        <f t="shared" si="42"/>
        <v>4.8655455572146344E-2</v>
      </c>
      <c r="K65" s="205">
        <f>IFERROR(IF($B$5="2026 YTD",AVERAGE($AB$21:$AB$32),INDEX($AB$21:$AB$32,MATCH($B$5,MIS_Calc!$A$21:$A$32,0))),"")</f>
        <v>21957.88</v>
      </c>
      <c r="L65" s="221">
        <f t="shared" si="43"/>
        <v>4.8655455572146344E-2</v>
      </c>
      <c r="M65" s="205" t="str">
        <f>IF(AB34="","",AB34)</f>
        <v/>
      </c>
    </row>
    <row r="66" spans="1:13" x14ac:dyDescent="0.2">
      <c r="E66" s="205"/>
      <c r="F66" s="205"/>
      <c r="H66" s="205"/>
      <c r="I66" s="205"/>
      <c r="J66" s="221"/>
      <c r="K66" s="205"/>
      <c r="L66" s="221"/>
      <c r="M66" s="205"/>
    </row>
    <row r="67" spans="1:13" x14ac:dyDescent="0.2">
      <c r="E67" s="212"/>
      <c r="F67" s="212"/>
      <c r="H67" s="212"/>
      <c r="I67" s="212"/>
      <c r="J67" s="221"/>
      <c r="K67" s="212"/>
      <c r="L67" s="221"/>
      <c r="M67" s="212"/>
    </row>
    <row r="68" spans="1:13" x14ac:dyDescent="0.2">
      <c r="E68" s="205"/>
      <c r="F68" s="205"/>
      <c r="H68" s="205"/>
      <c r="I68" s="205"/>
      <c r="J68" s="221"/>
      <c r="K68" s="205"/>
      <c r="L68" s="221"/>
      <c r="M68" s="205"/>
    </row>
    <row r="69" spans="1:13" x14ac:dyDescent="0.2">
      <c r="E69" s="205"/>
      <c r="F69" s="205"/>
      <c r="H69" s="205"/>
      <c r="I69" s="205"/>
      <c r="J69" s="221"/>
      <c r="K69" s="205"/>
      <c r="L69" s="221"/>
      <c r="M69" s="205"/>
    </row>
    <row r="70" spans="1:13" x14ac:dyDescent="0.2">
      <c r="E70" s="212"/>
      <c r="F70" s="212"/>
      <c r="H70" s="212"/>
      <c r="I70" s="212"/>
      <c r="J70" s="221"/>
      <c r="K70" s="212"/>
      <c r="L70" s="221"/>
      <c r="M70" s="212"/>
    </row>
    <row r="71" spans="1:13" x14ac:dyDescent="0.2">
      <c r="E71" s="205"/>
      <c r="F71" s="205"/>
      <c r="H71" s="205"/>
      <c r="I71" s="205"/>
      <c r="J71" s="221"/>
      <c r="K71" s="205"/>
      <c r="L71" s="221"/>
      <c r="M71" s="205"/>
    </row>
    <row r="72" spans="1:13" x14ac:dyDescent="0.2">
      <c r="E72" s="205"/>
      <c r="F72" s="205"/>
      <c r="H72" s="205"/>
      <c r="I72" s="205"/>
      <c r="J72" s="221"/>
      <c r="K72" s="205"/>
      <c r="L72" s="221"/>
      <c r="M72" s="205"/>
    </row>
    <row r="73" spans="1:13" x14ac:dyDescent="0.2">
      <c r="A73" t="s">
        <v>784</v>
      </c>
      <c r="B73" t="s">
        <v>785</v>
      </c>
      <c r="C73" t="s">
        <v>760</v>
      </c>
      <c r="D73" t="s">
        <v>729</v>
      </c>
      <c r="E73" s="205" t="str">
        <f>IFERROR(IF($B$3="2026 YTD",IF(COUNT($AJ$21:$AJ$32)=0,"",SUM($AJ$21:$AJ$32)),INDEX($AJ$21:$AJ$32,MATCH($B$3,MIS_Calc!$A$21:$A$32,0))),"")</f>
        <v/>
      </c>
      <c r="F73" s="205" t="str">
        <f>IFERROR(IF($B$3="2026 YTD",AVERAGE($AJ$21:$AJ$32),INDEX($AJ$21:$AJ$32,MATCH($B$3,MIS_Calc!$A$21:$A$32,0))),"")</f>
        <v/>
      </c>
      <c r="G73">
        <f>COUNT($AJ$21:$AJ$32)</f>
        <v>2</v>
      </c>
      <c r="H73" s="205">
        <f>IF(AJ36="","",AJ36)</f>
        <v>750089.25</v>
      </c>
      <c r="I73" s="205">
        <f>IF(AJ35="","",AJ35)</f>
        <v>784240</v>
      </c>
      <c r="J73" s="221" t="str">
        <f t="shared" ref="J73:J83" si="44">IFERROR(IF(OR(F73="",H73=""),"",F73/H73-1),"")</f>
        <v/>
      </c>
      <c r="K73" s="205" t="str">
        <f>IFERROR(IF($B$5="2026 YTD",AVERAGE($AJ$21:$AJ$32),INDEX($AJ$21:$AJ$32,MATCH($B$5,MIS_Calc!$A$21:$A$32,0))),"")</f>
        <v/>
      </c>
      <c r="L73" s="221" t="str">
        <f t="shared" ref="L73:L83" si="45">IFERROR(IF(OR(K73="",H73=""),"",K73/H73-1),"")</f>
        <v/>
      </c>
      <c r="M73" s="205">
        <f>IF(AJ34="","",AJ34)</f>
        <v>691520</v>
      </c>
    </row>
    <row r="74" spans="1:13" x14ac:dyDescent="0.2">
      <c r="A74" t="s">
        <v>786</v>
      </c>
      <c r="B74" t="s">
        <v>787</v>
      </c>
      <c r="C74" t="s">
        <v>760</v>
      </c>
      <c r="D74" t="s">
        <v>729</v>
      </c>
      <c r="E74" s="205" t="str">
        <f>IFERROR(IF($B$3="2026 YTD",IF(COUNT($AK$21:$AK$32)=0,"",SUM($AK$21:$AK$32)),INDEX($AK$21:$AK$32,MATCH($B$3,MIS_Calc!$A$21:$A$32,0))),"")</f>
        <v/>
      </c>
      <c r="F74" s="205" t="str">
        <f>IFERROR(IF($B$3="2026 YTD",AVERAGE($AK$21:$AK$32),INDEX($AK$21:$AK$32,MATCH($B$3,MIS_Calc!$A$21:$A$32,0))),"")</f>
        <v/>
      </c>
      <c r="G74">
        <f>COUNT($AK$21:$AK$32)</f>
        <v>2</v>
      </c>
      <c r="H74" s="205">
        <f>IF(AK36="","",AK36)</f>
        <v>1079531.66666667</v>
      </c>
      <c r="I74" s="205">
        <f>IF(AK35="","",AK35)</f>
        <v>1022460</v>
      </c>
      <c r="J74" s="221" t="str">
        <f t="shared" si="44"/>
        <v/>
      </c>
      <c r="K74" s="205" t="str">
        <f>IFERROR(IF($B$5="2026 YTD",AVERAGE($AK$21:$AK$32),INDEX($AK$21:$AK$32,MATCH($B$5,MIS_Calc!$A$21:$A$32,0))),"")</f>
        <v/>
      </c>
      <c r="L74" s="221" t="str">
        <f t="shared" si="45"/>
        <v/>
      </c>
      <c r="M74" s="205">
        <f>IF(AK34="","",AK34)</f>
        <v>850000</v>
      </c>
    </row>
    <row r="75" spans="1:13" x14ac:dyDescent="0.2">
      <c r="A75" t="s">
        <v>788</v>
      </c>
      <c r="B75" t="s">
        <v>789</v>
      </c>
      <c r="C75" t="s">
        <v>790</v>
      </c>
      <c r="D75" t="s">
        <v>729</v>
      </c>
      <c r="E75" s="205">
        <f>IFERROR(IF($B$3="2026 YTD",IF(COUNT($AL$21:$AL$32)=0,"",SUM($AL$21:$AL$32)),INDEX($AL$21:$AL$32,MATCH($B$3,MIS_Calc!$A$21:$A$32,0))),"")</f>
        <v>543</v>
      </c>
      <c r="F75" s="205">
        <f>IFERROR(IF($B$3="2026 YTD",AVERAGE($AL$21:$AL$32),INDEX($AL$21:$AL$32,MATCH($B$3,MIS_Calc!$A$21:$A$32,0))),"")</f>
        <v>543</v>
      </c>
      <c r="G75">
        <f>COUNT($AL$21:$AL$32)</f>
        <v>8</v>
      </c>
      <c r="H75" s="205">
        <f>IF(AL36="","",AL36)</f>
        <v>583.58333333333303</v>
      </c>
      <c r="I75" s="205">
        <f>IF(AL35="","",AL35)</f>
        <v>629</v>
      </c>
      <c r="J75" s="221">
        <f t="shared" si="44"/>
        <v>-6.9541625017848996E-2</v>
      </c>
      <c r="K75" s="205">
        <f>IFERROR(IF($B$5="2026 YTD",AVERAGE($AL$21:$AL$32),INDEX($AL$21:$AL$32,MATCH($B$5,MIS_Calc!$A$21:$A$32,0))),"")</f>
        <v>543</v>
      </c>
      <c r="L75" s="221">
        <f t="shared" si="45"/>
        <v>-6.9541625017848996E-2</v>
      </c>
      <c r="M75" s="205">
        <f>IF(AL34="","",AL34)</f>
        <v>529</v>
      </c>
    </row>
    <row r="76" spans="1:13" x14ac:dyDescent="0.2">
      <c r="A76" t="s">
        <v>791</v>
      </c>
      <c r="B76" t="s">
        <v>792</v>
      </c>
      <c r="C76" t="s">
        <v>790</v>
      </c>
      <c r="D76" t="s">
        <v>729</v>
      </c>
      <c r="E76" s="205">
        <f>IFERROR(IF($B$3="2026 YTD",IF(COUNT($AM$21:$AM$32)=0,"",SUM($AM$21:$AM$32)),INDEX($AM$21:$AM$32,MATCH($B$3,MIS_Calc!$A$21:$A$32,0))),"")</f>
        <v>640</v>
      </c>
      <c r="F76" s="205">
        <f>IFERROR(IF($B$3="2026 YTD",AVERAGE($AM$21:$AM$32),INDEX($AM$21:$AM$32,MATCH($B$3,MIS_Calc!$A$21:$A$32,0))),"")</f>
        <v>640</v>
      </c>
      <c r="G76">
        <f>COUNT($AM$21:$AM$32)</f>
        <v>8</v>
      </c>
      <c r="H76" s="205">
        <f>IF(AM36="","",AM36)</f>
        <v>702.16666666666595</v>
      </c>
      <c r="I76" s="205">
        <f>IF(AM35="","",AM35)</f>
        <v>729</v>
      </c>
      <c r="J76" s="221">
        <f t="shared" si="44"/>
        <v>-8.8535485402325254E-2</v>
      </c>
      <c r="K76" s="205">
        <f>IFERROR(IF($B$5="2026 YTD",AVERAGE($AM$21:$AM$32),INDEX($AM$21:$AM$32,MATCH($B$5,MIS_Calc!$A$21:$A$32,0))),"")</f>
        <v>640</v>
      </c>
      <c r="L76" s="221">
        <f t="shared" si="45"/>
        <v>-8.8535485402325254E-2</v>
      </c>
      <c r="M76" s="205">
        <f>IF(AM34="","",AM34)</f>
        <v>576</v>
      </c>
    </row>
    <row r="77" spans="1:13" x14ac:dyDescent="0.2">
      <c r="A77" t="s">
        <v>793</v>
      </c>
      <c r="B77" t="s">
        <v>181</v>
      </c>
      <c r="C77" t="s">
        <v>166</v>
      </c>
      <c r="D77" t="s">
        <v>757</v>
      </c>
      <c r="E77" s="213">
        <f>IFERROR(IF($B$3="2026 YTD",SUM($AL$21:$AL$32)/SUM($AM$21:$AM$32),INDEX($AN$21:$AN$32,MATCH($B$3,MIS_Calc!$A$21:$A$32,0))),"")</f>
        <v>0.84843749999999996</v>
      </c>
      <c r="F77" s="213">
        <f>IFERROR(IF($B$3="2026 YTD",SUM($AL$21:$AL$32)/SUM($AM$21:$AM$32),INDEX($AN$21:$AN$32,MATCH($B$3,MIS_Calc!$A$21:$A$32,0))),"")</f>
        <v>0.84843749999999996</v>
      </c>
      <c r="G77">
        <f>COUNT($AN$21:$AN$32)</f>
        <v>8</v>
      </c>
      <c r="H77" s="213">
        <f>IF(AN36="","",AN36)</f>
        <v>0.83111796819368666</v>
      </c>
      <c r="I77" s="213">
        <f>IF(AN35="","",AN35)</f>
        <v>0.86282578875171467</v>
      </c>
      <c r="J77" s="221">
        <f t="shared" si="44"/>
        <v>2.0838836927030702E-2</v>
      </c>
      <c r="K77" s="213">
        <f>IFERROR(IF($B$5="2026 YTD",SUM($AL$21:$AL$32)/SUM($AM$21:$AM$32),INDEX($AN$21:$AN$32,MATCH($B$5,MIS_Calc!$A$21:$A$32,0))),"")</f>
        <v>0.84843749999999996</v>
      </c>
      <c r="L77" s="221">
        <f t="shared" si="45"/>
        <v>2.0838836927030702E-2</v>
      </c>
      <c r="M77" s="213">
        <f>IF(AN34="","",AN34)</f>
        <v>0.91840277777777779</v>
      </c>
    </row>
    <row r="78" spans="1:13" x14ac:dyDescent="0.2">
      <c r="A78" t="s">
        <v>794</v>
      </c>
      <c r="B78" t="s">
        <v>795</v>
      </c>
      <c r="C78" t="s">
        <v>781</v>
      </c>
      <c r="D78" t="s">
        <v>729</v>
      </c>
      <c r="E78" s="205" t="str">
        <f>IFERROR(IF($B$3="2026 YTD",IF(COUNT($AO$21:$AO$32)=0,"",SUM($AO$21:$AO$32)),INDEX($AO$21:$AO$32,MATCH($B$3,MIS_Calc!$A$21:$A$32,0))),"")</f>
        <v/>
      </c>
      <c r="F78" s="205" t="str">
        <f>IFERROR(IF($B$3="2026 YTD",AVERAGE($AO$21:$AO$32),INDEX($AO$21:$AO$32,MATCH($B$3,MIS_Calc!$A$21:$A$32,0))),"")</f>
        <v/>
      </c>
      <c r="G78">
        <f>COUNT($AO$21:$AO$32)</f>
        <v>3</v>
      </c>
      <c r="H78" s="205">
        <f>IF(AO36="","",AO36)</f>
        <v>129.45454545454501</v>
      </c>
      <c r="I78" s="205">
        <f>IF(AO35="","",AO35)</f>
        <v>220</v>
      </c>
      <c r="J78" s="221" t="str">
        <f t="shared" si="44"/>
        <v/>
      </c>
      <c r="K78" s="205" t="str">
        <f>IFERROR(IF($B$5="2026 YTD",AVERAGE($AO$21:$AO$32),INDEX($AO$21:$AO$32,MATCH($B$5,MIS_Calc!$A$21:$A$32,0))),"")</f>
        <v/>
      </c>
      <c r="L78" s="221" t="str">
        <f t="shared" si="45"/>
        <v/>
      </c>
      <c r="M78" s="205">
        <f>IF(AO34="","",AO34)</f>
        <v>120</v>
      </c>
    </row>
    <row r="79" spans="1:13" x14ac:dyDescent="0.2">
      <c r="A79" t="s">
        <v>796</v>
      </c>
      <c r="B79" t="s">
        <v>797</v>
      </c>
      <c r="C79" t="s">
        <v>741</v>
      </c>
      <c r="D79" t="s">
        <v>742</v>
      </c>
      <c r="E79" s="209">
        <f>IFERROR(IF($B$3="2026 YTD",AVERAGE($AP$21:$AP$32),INDEX($AP$21:$AP$32,MATCH($B$3,MIS_Calc!$A$21:$A$32,0))),"")</f>
        <v>27</v>
      </c>
      <c r="F79" s="209">
        <f>IFERROR(IF($B$3="2026 YTD",AVERAGE($AP$21:$AP$32),INDEX($AP$21:$AP$32,MATCH($B$3,MIS_Calc!$A$21:$A$32,0))),"")</f>
        <v>27</v>
      </c>
      <c r="G79">
        <f>COUNT($AP$21:$AP$32)</f>
        <v>8</v>
      </c>
      <c r="H79" s="209" t="str">
        <f>IF(AP36="","",AP36)</f>
        <v/>
      </c>
      <c r="I79" s="209" t="str">
        <f>IF(AP35="","",AP35)</f>
        <v/>
      </c>
      <c r="J79" s="221" t="str">
        <f t="shared" si="44"/>
        <v/>
      </c>
      <c r="K79" s="209">
        <f>IFERROR(IF($B$5="2026 YTD",AVERAGE($AP$21:$AP$32),INDEX($AP$21:$AP$32,MATCH($B$5,MIS_Calc!$A$21:$A$32,0))),"")</f>
        <v>27</v>
      </c>
      <c r="L79" s="221" t="str">
        <f t="shared" si="45"/>
        <v/>
      </c>
      <c r="M79" s="209" t="str">
        <f>IF(AP34="","",AP34)</f>
        <v/>
      </c>
    </row>
    <row r="80" spans="1:13" x14ac:dyDescent="0.2">
      <c r="A80" t="s">
        <v>798</v>
      </c>
      <c r="B80" t="s">
        <v>799</v>
      </c>
      <c r="C80" t="s">
        <v>166</v>
      </c>
      <c r="D80" t="s">
        <v>742</v>
      </c>
      <c r="E80" s="214">
        <f>IFERROR(IF($B$3="2026 YTD",AVERAGE($AQ$21:$AQ$32),INDEX($AQ$21:$AQ$32,MATCH($B$3,MIS_Calc!$A$21:$A$32,0))),"")</f>
        <v>0.875</v>
      </c>
      <c r="F80" s="214">
        <f>IFERROR(IF($B$3="2026 YTD",AVERAGE($AQ$21:$AQ$32),INDEX($AQ$21:$AQ$32,MATCH($B$3,MIS_Calc!$A$21:$A$32,0))),"")</f>
        <v>0.875</v>
      </c>
      <c r="G80">
        <f>COUNT($AQ$21:$AQ$32)</f>
        <v>8</v>
      </c>
      <c r="H80" s="214" t="str">
        <f>IF(AQ36="","",AQ36)</f>
        <v/>
      </c>
      <c r="I80" s="214" t="str">
        <f>IF(AQ35="","",AQ35)</f>
        <v/>
      </c>
      <c r="J80" s="221" t="str">
        <f t="shared" si="44"/>
        <v/>
      </c>
      <c r="K80" s="214">
        <f>IFERROR(IF($B$5="2026 YTD",AVERAGE($AQ$21:$AQ$32),INDEX($AQ$21:$AQ$32,MATCH($B$5,MIS_Calc!$A$21:$A$32,0))),"")</f>
        <v>0.875</v>
      </c>
      <c r="L80" s="221" t="str">
        <f t="shared" si="45"/>
        <v/>
      </c>
      <c r="M80" s="214" t="str">
        <f>IF(AQ34="","",AQ34)</f>
        <v/>
      </c>
    </row>
    <row r="81" spans="1:13" x14ac:dyDescent="0.2">
      <c r="A81" t="s">
        <v>800</v>
      </c>
      <c r="B81" t="s">
        <v>149</v>
      </c>
      <c r="C81" t="s">
        <v>150</v>
      </c>
      <c r="D81" t="s">
        <v>742</v>
      </c>
      <c r="E81" s="210">
        <f>IFERROR(IF($B$3="2026 YTD",AVERAGE($AR$21:$AR$32),INDEX($AR$21:$AR$32,MATCH($B$3,MIS_Calc!$A$21:$A$32,0))),"")</f>
        <v>108.11078286558346</v>
      </c>
      <c r="F81" s="210">
        <f>IFERROR(IF($B$3="2026 YTD",AVERAGE($AR$21:$AR$32),INDEX($AR$21:$AR$32,MATCH($B$3,MIS_Calc!$A$21:$A$32,0))),"")</f>
        <v>108.11078286558346</v>
      </c>
      <c r="G81">
        <f>COUNT($AR$21:$AR$32)</f>
        <v>8</v>
      </c>
      <c r="H81" s="210">
        <f>IF(AR36="","",AR36)</f>
        <v>98.064623338257022</v>
      </c>
      <c r="I81" s="210">
        <f>IF(AR35="","",AR35)</f>
        <v>136.58604135893648</v>
      </c>
      <c r="J81" s="221">
        <f t="shared" si="44"/>
        <v>0.10244427791940769</v>
      </c>
      <c r="K81" s="210">
        <f>IFERROR(IF($B$5="2026 YTD",AVERAGE($AR$21:$AR$32),INDEX($AR$21:$AR$32,MATCH($B$5,MIS_Calc!$A$21:$A$32,0))),"")</f>
        <v>108.11078286558346</v>
      </c>
      <c r="L81" s="221">
        <f t="shared" si="45"/>
        <v>0.10244427791940769</v>
      </c>
      <c r="M81" s="210" t="str">
        <f>IF(AR34="","",AR34)</f>
        <v/>
      </c>
    </row>
    <row r="82" spans="1:13" x14ac:dyDescent="0.2">
      <c r="A82" t="s">
        <v>801</v>
      </c>
      <c r="B82" t="s">
        <v>151</v>
      </c>
      <c r="C82" t="s">
        <v>152</v>
      </c>
      <c r="D82" t="s">
        <v>742</v>
      </c>
      <c r="E82" s="205">
        <f>IFERROR(IF($B$3="2026 YTD",AVERAGE($AS$21:$AS$32),INDEX($AS$21:$AS$32,MATCH($B$3,MIS_Calc!$A$21:$A$32,0))),"")</f>
        <v>1351.2341211225996</v>
      </c>
      <c r="F82" s="205">
        <f>IFERROR(IF($B$3="2026 YTD",AVERAGE($AS$21:$AS$32),INDEX($AS$21:$AS$32,MATCH($B$3,MIS_Calc!$A$21:$A$32,0))),"")</f>
        <v>1351.2341211225996</v>
      </c>
      <c r="G82">
        <f>COUNT($AS$21:$AS$32)</f>
        <v>8</v>
      </c>
      <c r="H82" s="205">
        <f>IF(AS36="","",AS36)</f>
        <v>1286.0409029462924</v>
      </c>
      <c r="I82" s="205">
        <f>IF(AS35="","",AS35)</f>
        <v>1705.8823347488849</v>
      </c>
      <c r="J82" s="221">
        <f t="shared" si="44"/>
        <v>5.0692958541949107E-2</v>
      </c>
      <c r="K82" s="205">
        <f>IFERROR(IF($B$5="2026 YTD",AVERAGE($AS$21:$AS$32),INDEX($AS$21:$AS$32,MATCH($B$5,MIS_Calc!$A$21:$A$32,0))),"")</f>
        <v>1351.2341211225996</v>
      </c>
      <c r="L82" s="221">
        <f t="shared" si="45"/>
        <v>5.0692958541949107E-2</v>
      </c>
      <c r="M82" s="205">
        <f>IF(AS34="","",AS34)</f>
        <v>1871.9179283604135</v>
      </c>
    </row>
    <row r="83" spans="1:13" x14ac:dyDescent="0.2">
      <c r="A83" t="s">
        <v>802</v>
      </c>
      <c r="B83" t="s">
        <v>155</v>
      </c>
      <c r="C83" t="s">
        <v>150</v>
      </c>
      <c r="D83" t="s">
        <v>742</v>
      </c>
      <c r="E83" s="212">
        <f>IFERROR(IF($B$3="2026 YTD",AVERAGE($AT$21:$AT$32),INDEX($AT$21:$AT$32,MATCH($B$3,MIS_Calc!$A$21:$A$32,0))),"")</f>
        <v>16.21704579025111</v>
      </c>
      <c r="F83" s="212">
        <f>IFERROR(IF($B$3="2026 YTD",AVERAGE($AT$21:$AT$32),INDEX($AT$21:$AT$32,MATCH($B$3,MIS_Calc!$A$21:$A$32,0))),"")</f>
        <v>16.21704579025111</v>
      </c>
      <c r="G83">
        <f>COUNT($AT$21:$AT$32)</f>
        <v>8</v>
      </c>
      <c r="H83" s="212">
        <f>IF(AT36="","",AT36)</f>
        <v>15.464608231502586</v>
      </c>
      <c r="I83" s="212">
        <f>IF(AT35="","",AT35)</f>
        <v>52.585403420065809</v>
      </c>
      <c r="J83" s="221">
        <f t="shared" si="44"/>
        <v>4.8655455572146344E-2</v>
      </c>
      <c r="K83" s="212">
        <f>IFERROR(IF($B$5="2026 YTD",AVERAGE($AT$21:$AT$32),INDEX($AT$21:$AT$32,MATCH($B$5,MIS_Calc!$A$21:$A$32,0))),"")</f>
        <v>16.21704579025111</v>
      </c>
      <c r="L83" s="221">
        <f t="shared" si="45"/>
        <v>4.8655455572146344E-2</v>
      </c>
      <c r="M83" s="212" t="str">
        <f>IF(AT34="","",AT34)</f>
        <v/>
      </c>
    </row>
    <row r="84" spans="1:13" x14ac:dyDescent="0.2">
      <c r="E84" s="212"/>
      <c r="F84" s="212"/>
      <c r="H84" s="212"/>
      <c r="I84" s="212"/>
      <c r="J84" s="221"/>
      <c r="K84" s="212"/>
      <c r="L84" s="221"/>
      <c r="M84" s="212"/>
    </row>
    <row r="85" spans="1:13" x14ac:dyDescent="0.2">
      <c r="A85" t="s">
        <v>803</v>
      </c>
      <c r="B85" t="s">
        <v>804</v>
      </c>
      <c r="C85" t="s">
        <v>159</v>
      </c>
      <c r="D85" t="s">
        <v>742</v>
      </c>
      <c r="E85" s="213">
        <f>IFERROR(IF($B$3="2026 YTD",AVERAGE($AV$21:$AV$32),INDEX($AV$21:$AV$32,MATCH($B$3,MIS_Calc!$A$21:$A$32,0))),"")</f>
        <v>0.37225705329153608</v>
      </c>
      <c r="F85" s="213">
        <f>IFERROR(IF($B$3="2026 YTD",AVERAGE($AV$21:$AV$32),INDEX($AV$21:$AV$32,MATCH($B$3,MIS_Calc!$A$21:$A$32,0))),"")</f>
        <v>0.37225705329153608</v>
      </c>
      <c r="G85">
        <f>COUNT($AV$21:$AV$32)</f>
        <v>8</v>
      </c>
      <c r="H85" s="213">
        <f>IF(AV36="","",AV36)</f>
        <v>0.40049634273772178</v>
      </c>
      <c r="I85" s="213">
        <f>IF(AV35="","",AV35)</f>
        <v>0.87539184952978055</v>
      </c>
      <c r="J85" s="221">
        <f t="shared" ref="J85:J93" si="46">IFERROR(IF(OR(F85="",H85=""),"",F85/H85-1),"")</f>
        <v>-7.0510729893678792E-2</v>
      </c>
      <c r="K85" s="213">
        <f>IFERROR(IF($B$5="2026 YTD",AVERAGE($AV$21:$AV$32),INDEX($AV$21:$AV$32,MATCH($B$5,MIS_Calc!$A$21:$A$32,0))),"")</f>
        <v>0.37225705329153608</v>
      </c>
      <c r="L85" s="221">
        <f t="shared" ref="L85:L93" si="47">IFERROR(IF(OR(K85="",H85=""),"",K85/H85-1),"")</f>
        <v>-7.0510729893678792E-2</v>
      </c>
      <c r="M85" s="213">
        <f>IF(AV34="","",AV34)</f>
        <v>0.44043887147335425</v>
      </c>
    </row>
    <row r="86" spans="1:13" x14ac:dyDescent="0.2">
      <c r="A86" t="s">
        <v>805</v>
      </c>
      <c r="B86" t="s">
        <v>162</v>
      </c>
      <c r="C86" t="s">
        <v>161</v>
      </c>
      <c r="D86" t="s">
        <v>742</v>
      </c>
      <c r="E86" s="210">
        <f>IFERROR(IF($B$3="2026 YTD",AVERAGE($AW$21:$AW$32),INDEX($AW$21:$AW$32,MATCH($B$3,MIS_Calc!$A$21:$A$32,0))),"")</f>
        <v>285.77214466098059</v>
      </c>
      <c r="F86" s="210">
        <f>IFERROR(IF($B$3="2026 YTD",AVERAGE($AW$21:$AW$32),INDEX($AW$21:$AW$32,MATCH($B$3,MIS_Calc!$A$21:$A$32,0))),"")</f>
        <v>285.77214466098059</v>
      </c>
      <c r="G86">
        <f>COUNT($AW$21:$AW$32)</f>
        <v>8</v>
      </c>
      <c r="H86" s="210">
        <f>IF(AW36="","",AW36)</f>
        <v>718.26294490196381</v>
      </c>
      <c r="I86" s="210">
        <f>IF(AW35="","",AW35)</f>
        <v>420.01659213694495</v>
      </c>
      <c r="J86" s="221">
        <f t="shared" si="46"/>
        <v>-0.60213436222860439</v>
      </c>
      <c r="K86" s="210">
        <f>IFERROR(IF($B$5="2026 YTD",AVERAGE($AW$21:$AW$32),INDEX($AW$21:$AW$32,MATCH($B$5,MIS_Calc!$A$21:$A$32,0))),"")</f>
        <v>285.77214466098059</v>
      </c>
      <c r="L86" s="221">
        <f t="shared" si="47"/>
        <v>-0.60213436222860439</v>
      </c>
      <c r="M86" s="210">
        <f>IF(AW34="","",AW34)</f>
        <v>277.05109164120188</v>
      </c>
    </row>
    <row r="87" spans="1:13" x14ac:dyDescent="0.2">
      <c r="A87" t="s">
        <v>806</v>
      </c>
      <c r="B87" t="s">
        <v>164</v>
      </c>
      <c r="C87" t="s">
        <v>161</v>
      </c>
      <c r="D87" t="s">
        <v>742</v>
      </c>
      <c r="E87" s="210">
        <f>IFERROR(IF($B$3="2026 YTD",AVERAGE($AX$21:$AX$32),INDEX($AX$21:$AX$32,MATCH($B$3,MIS_Calc!$A$21:$A$32,0))),"")</f>
        <v>63.920522228045932</v>
      </c>
      <c r="F87" s="210">
        <f>IFERROR(IF($B$3="2026 YTD",AVERAGE($AX$21:$AX$32),INDEX($AX$21:$AX$32,MATCH($B$3,MIS_Calc!$A$21:$A$32,0))),"")</f>
        <v>63.920522228045932</v>
      </c>
      <c r="G87">
        <f>COUNT($AX$21:$AX$32)</f>
        <v>8</v>
      </c>
      <c r="H87" s="210">
        <f>IF(AX36="","",AX36)</f>
        <v>110.1110863802836</v>
      </c>
      <c r="I87" s="210">
        <f>IF(AX35="","",AX35)</f>
        <v>87.023734849557869</v>
      </c>
      <c r="J87" s="221">
        <f t="shared" si="46"/>
        <v>-0.4194905860134035</v>
      </c>
      <c r="K87" s="210">
        <f>IFERROR(IF($B$5="2026 YTD",AVERAGE($AX$21:$AX$32),INDEX($AX$21:$AX$32,MATCH($B$5,MIS_Calc!$A$21:$A$32,0))),"")</f>
        <v>63.920522228045932</v>
      </c>
      <c r="L87" s="221">
        <f t="shared" si="47"/>
        <v>-0.4194905860134035</v>
      </c>
      <c r="M87" s="210">
        <f>IF(AX34="","",AX34)</f>
        <v>175.55943829546126</v>
      </c>
    </row>
    <row r="88" spans="1:13" x14ac:dyDescent="0.2">
      <c r="A88" t="s">
        <v>807</v>
      </c>
      <c r="B88" t="s">
        <v>808</v>
      </c>
      <c r="C88" t="s">
        <v>161</v>
      </c>
      <c r="D88" t="s">
        <v>742</v>
      </c>
      <c r="E88" s="210">
        <f>IFERROR(IF($B$3="2026 YTD",AVERAGE($AY$21:$AY$32),INDEX($AY$21:$AY$32,MATCH($B$3,MIS_Calc!$A$21:$A$32,0))),"")</f>
        <v>261.73345404297896</v>
      </c>
      <c r="F88" s="210">
        <f>IFERROR(IF($B$3="2026 YTD",AVERAGE($AY$21:$AY$32),INDEX($AY$21:$AY$32,MATCH($B$3,MIS_Calc!$A$21:$A$32,0))),"")</f>
        <v>261.73345404297896</v>
      </c>
      <c r="G88">
        <f>COUNT($AY$21:$AY$32)</f>
        <v>8</v>
      </c>
      <c r="H88" s="210">
        <f>IF(AY36="","",AY36)</f>
        <v>260.26992574006999</v>
      </c>
      <c r="I88" s="210">
        <f>IF(AY35="","",AY35)</f>
        <v>297.74185063029881</v>
      </c>
      <c r="J88" s="221">
        <f t="shared" si="46"/>
        <v>5.623117226269958E-3</v>
      </c>
      <c r="K88" s="210">
        <f>IFERROR(IF($B$5="2026 YTD",AVERAGE($AY$21:$AY$32),INDEX($AY$21:$AY$32,MATCH($B$5,MIS_Calc!$A$21:$A$32,0))),"")</f>
        <v>261.73345404297896</v>
      </c>
      <c r="L88" s="221">
        <f t="shared" si="47"/>
        <v>5.623117226269958E-3</v>
      </c>
      <c r="M88" s="210">
        <f>IF(AY34="","",AY34)</f>
        <v>121.65880900831611</v>
      </c>
    </row>
    <row r="89" spans="1:13" x14ac:dyDescent="0.2">
      <c r="A89" t="s">
        <v>809</v>
      </c>
      <c r="B89" t="s">
        <v>810</v>
      </c>
      <c r="C89" t="s">
        <v>161</v>
      </c>
      <c r="D89" t="s">
        <v>742</v>
      </c>
      <c r="E89" s="210">
        <f>IFERROR(IF($B$3="2026 YTD",AVERAGE($AZ$21:$AZ$32),INDEX($AZ$21:$AZ$32,MATCH($B$3,MIS_Calc!$A$21:$A$32,0))),"")</f>
        <v>59.584504693381618</v>
      </c>
      <c r="F89" s="210">
        <f>IFERROR(IF($B$3="2026 YTD",AVERAGE($AZ$21:$AZ$32),INDEX($AZ$21:$AZ$32,MATCH($B$3,MIS_Calc!$A$21:$A$32,0))),"")</f>
        <v>59.584504693381618</v>
      </c>
      <c r="G89">
        <f>COUNT($AZ$21:$AZ$32)</f>
        <v>8</v>
      </c>
      <c r="H89" s="210">
        <f>IF(AZ36="","",AZ36)</f>
        <v>146.54094413306066</v>
      </c>
      <c r="I89" s="210">
        <f>IF(AZ35="","",AZ35)</f>
        <v>97.353351814006274</v>
      </c>
      <c r="J89" s="221">
        <f t="shared" si="46"/>
        <v>-0.59339347070619197</v>
      </c>
      <c r="K89" s="210">
        <f>IFERROR(IF($B$5="2026 YTD",AVERAGE($AZ$21:$AZ$32),INDEX($AZ$21:$AZ$32,MATCH($B$5,MIS_Calc!$A$21:$A$32,0))),"")</f>
        <v>59.584504693381618</v>
      </c>
      <c r="L89" s="221">
        <f t="shared" si="47"/>
        <v>-0.59339347070619197</v>
      </c>
      <c r="M89" s="210">
        <f>IF(AZ34="","",AZ34)</f>
        <v>170.89091681673781</v>
      </c>
    </row>
    <row r="90" spans="1:13" x14ac:dyDescent="0.2">
      <c r="A90" t="s">
        <v>811</v>
      </c>
      <c r="B90" t="s">
        <v>165</v>
      </c>
      <c r="C90" t="s">
        <v>166</v>
      </c>
      <c r="D90" t="s">
        <v>757</v>
      </c>
      <c r="E90" s="213">
        <f>IFERROR(IF($B$3="2026 YTD",SUM($K$21:$K$32)/(SUM($J$21:$J$32)+SUM($K$21:$K$32)),INDEX($BA$21:$BA$32,MATCH($B$3,MIS_Calc!$A$21:$A$32,0))),"")</f>
        <v>0.182790570922469</v>
      </c>
      <c r="F90" s="213">
        <f>IFERROR(IF($B$3="2026 YTD",SUM($K$21:$K$32)/(SUM($J$21:$J$32)+SUM($K$21:$K$32)),INDEX($BA$21:$BA$32,MATCH($B$3,MIS_Calc!$A$21:$A$32,0))),"")</f>
        <v>0.182790570922469</v>
      </c>
      <c r="G90">
        <f>COUNT($BA$21:$BA$32)</f>
        <v>8</v>
      </c>
      <c r="H90" s="213">
        <f>IF(BA36="","",BA36)</f>
        <v>0.1329243581064965</v>
      </c>
      <c r="I90" s="213">
        <f>IF(BA35="","",BA35)</f>
        <v>0.17163079585161753</v>
      </c>
      <c r="J90" s="221">
        <f t="shared" si="46"/>
        <v>0.37514729073222708</v>
      </c>
      <c r="K90" s="213">
        <f>IFERROR(IF($B$5="2026 YTD",SUM($K$21:$K$32)/(SUM($J$21:$J$32)+SUM($K$21:$K$32)),INDEX($BA$21:$BA$32,MATCH($B$5,MIS_Calc!$A$21:$A$32,0))),"")</f>
        <v>0.182790570922469</v>
      </c>
      <c r="L90" s="221">
        <f t="shared" si="47"/>
        <v>0.37514729073222708</v>
      </c>
      <c r="M90" s="213">
        <f>IF(BA34="","",BA34)</f>
        <v>0.38788191322024362</v>
      </c>
    </row>
    <row r="91" spans="1:13" x14ac:dyDescent="0.2">
      <c r="A91" t="s">
        <v>812</v>
      </c>
      <c r="B91" t="s">
        <v>170</v>
      </c>
      <c r="C91" t="s">
        <v>150</v>
      </c>
      <c r="D91" t="s">
        <v>742</v>
      </c>
      <c r="E91" s="210">
        <f>IFERROR(IF($B$3="2026 YTD",AVERAGE($BB$21:$BB$32),INDEX($BB$21:$BB$32,MATCH($B$3,MIS_Calc!$A$21:$A$32,0))),"")</f>
        <v>85.606351550960113</v>
      </c>
      <c r="F91" s="210">
        <f>IFERROR(IF($B$3="2026 YTD",AVERAGE($BB$21:$BB$32),INDEX($BB$21:$BB$32,MATCH($B$3,MIS_Calc!$A$21:$A$32,0))),"")</f>
        <v>85.606351550960113</v>
      </c>
      <c r="G91">
        <f>COUNT($BB$21:$BB$32)</f>
        <v>8</v>
      </c>
      <c r="H91" s="210">
        <f>IF(BB36="","",BB36)</f>
        <v>63.396504185130503</v>
      </c>
      <c r="I91" s="210" t="str">
        <f>IF(BB35="","",BB35)</f>
        <v/>
      </c>
      <c r="J91" s="221">
        <f t="shared" si="46"/>
        <v>0.35033236692314151</v>
      </c>
      <c r="K91" s="210">
        <f>IFERROR(IF($B$5="2026 YTD",AVERAGE($BB$21:$BB$32),INDEX($BB$21:$BB$32,MATCH($B$5,MIS_Calc!$A$21:$A$32,0))),"")</f>
        <v>85.606351550960113</v>
      </c>
      <c r="L91" s="221">
        <f t="shared" si="47"/>
        <v>0.35033236692314151</v>
      </c>
      <c r="M91" s="210" t="str">
        <f>IF(BB34="","",BB34)</f>
        <v/>
      </c>
    </row>
    <row r="92" spans="1:13" x14ac:dyDescent="0.2">
      <c r="A92" t="s">
        <v>813</v>
      </c>
      <c r="B92" t="s">
        <v>171</v>
      </c>
      <c r="C92" t="s">
        <v>166</v>
      </c>
      <c r="D92" t="s">
        <v>757</v>
      </c>
      <c r="E92" s="213">
        <f>IFERROR(IF($B$3="2026 YTD",SUMIFS($V$21:$V$32,$N$21:$N$32,"&gt;0")/SUMIFS($N$21:$N$32,$V$21:$V$32,"&gt;=0"),INDEX($BC$21:$BC$32,MATCH($B$3,MIS_Calc!$A$21:$A$32,0))),"")</f>
        <v>0.7918391605525269</v>
      </c>
      <c r="F92" s="213">
        <f>IFERROR(IF($B$3="2026 YTD",SUMIFS($V$21:$V$32,$N$21:$N$32,"&gt;0")/SUMIFS($N$21:$N$32,$V$21:$V$32,"&gt;=0"),INDEX($BC$21:$BC$32,MATCH($B$3,MIS_Calc!$A$21:$A$32,0))),"")</f>
        <v>0.7918391605525269</v>
      </c>
      <c r="G92">
        <f>COUNT($BC$21:$BC$32)</f>
        <v>8</v>
      </c>
      <c r="H92" s="213">
        <f>IF(BC36="","",BC36)</f>
        <v>0.64647680302054678</v>
      </c>
      <c r="I92" s="213" t="str">
        <f>IF(BC35="","",BC35)</f>
        <v/>
      </c>
      <c r="J92" s="221">
        <f t="shared" si="46"/>
        <v>0.22485316851710779</v>
      </c>
      <c r="K92" s="213">
        <f>IFERROR(IF($B$5="2026 YTD",SUMIFS($V$21:$V$32,$N$21:$N$32,"&gt;0")/SUMIFS($N$21:$N$32,$V$21:$V$32,"&gt;=0"),INDEX($BC$21:$BC$32,MATCH($B$5,MIS_Calc!$A$21:$A$32,0))),"")</f>
        <v>0.7918391605525269</v>
      </c>
      <c r="L92" s="221">
        <f t="shared" si="47"/>
        <v>0.22485316851710779</v>
      </c>
      <c r="M92" s="213" t="str">
        <f>IF(BC34="","",BC34)</f>
        <v/>
      </c>
    </row>
    <row r="93" spans="1:13" x14ac:dyDescent="0.2">
      <c r="A93" t="s">
        <v>814</v>
      </c>
      <c r="B93" t="s">
        <v>815</v>
      </c>
      <c r="C93" t="s">
        <v>152</v>
      </c>
      <c r="D93" t="s">
        <v>742</v>
      </c>
      <c r="E93" s="205">
        <f>IFERROR(IF($B$3="2026 YTD",AVERAGE($BD$21:$BD$32),INDEX($BD$21:$BD$32,MATCH($B$3,MIS_Calc!$A$21:$A$32,0))),"")</f>
        <v>1010.1549483013295</v>
      </c>
      <c r="F93" s="205">
        <f>IFERROR(IF($B$3="2026 YTD",AVERAGE($BD$21:$BD$32),INDEX($BD$21:$BD$32,MATCH($B$3,MIS_Calc!$A$21:$A$32,0))),"")</f>
        <v>1010.1549483013295</v>
      </c>
      <c r="G93">
        <f>COUNT($BD$21:$BD$32)</f>
        <v>8</v>
      </c>
      <c r="H93" s="205" t="str">
        <f>IF(BD36="","",BD36)</f>
        <v/>
      </c>
      <c r="I93" s="205" t="str">
        <f>IF(BD35="","",BD35)</f>
        <v/>
      </c>
      <c r="J93" s="221" t="str">
        <f t="shared" si="46"/>
        <v/>
      </c>
      <c r="K93" s="205">
        <f>IFERROR(IF($B$5="2026 YTD",AVERAGE($BD$21:$BD$32),INDEX($BD$21:$BD$32,MATCH($B$5,MIS_Calc!$A$21:$A$32,0))),"")</f>
        <v>1010.1549483013295</v>
      </c>
      <c r="L93" s="221" t="str">
        <f t="shared" si="47"/>
        <v/>
      </c>
      <c r="M93" s="205" t="str">
        <f>IF(BD34="","",BD34)</f>
        <v/>
      </c>
    </row>
    <row r="94" spans="1:13" x14ac:dyDescent="0.2">
      <c r="E94" s="212"/>
      <c r="F94" s="212"/>
      <c r="H94" s="212"/>
      <c r="I94" s="212"/>
      <c r="J94" s="221"/>
      <c r="K94" s="212"/>
      <c r="L94" s="221"/>
      <c r="M94" s="212"/>
    </row>
    <row r="95" spans="1:13" x14ac:dyDescent="0.2">
      <c r="E95" s="212"/>
      <c r="F95" s="212"/>
      <c r="H95" s="212"/>
      <c r="I95" s="212"/>
      <c r="J95" s="221"/>
      <c r="K95" s="212"/>
      <c r="L95" s="221"/>
      <c r="M95" s="212"/>
    </row>
    <row r="96" spans="1:13" x14ac:dyDescent="0.2">
      <c r="E96" s="212"/>
      <c r="F96" s="212"/>
      <c r="H96" s="212"/>
      <c r="I96" s="212"/>
      <c r="J96" s="221"/>
      <c r="K96" s="212"/>
      <c r="L96" s="221"/>
      <c r="M96" s="212"/>
    </row>
    <row r="97" spans="1:23" x14ac:dyDescent="0.2">
      <c r="A97" t="s">
        <v>816</v>
      </c>
      <c r="B97" t="s">
        <v>174</v>
      </c>
      <c r="C97" t="s">
        <v>175</v>
      </c>
      <c r="D97" t="s">
        <v>742</v>
      </c>
      <c r="E97" s="212">
        <f>IFERROR(IF($B$3="2026 YTD",AVERAGE($BH$21:$BH$32),INDEX($BH$21:$BH$32,MATCH($B$3,MIS_Calc!$A$21:$A$32,0))),"")</f>
        <v>15.952732644017726</v>
      </c>
      <c r="F97" s="212">
        <f>IFERROR(IF($B$3="2026 YTD",AVERAGE($BH$21:$BH$32),INDEX($BH$21:$BH$32,MATCH($B$3,MIS_Calc!$A$21:$A$32,0))),"")</f>
        <v>15.952732644017726</v>
      </c>
      <c r="G97">
        <f>COUNT($BH$21:$BH$32)</f>
        <v>5</v>
      </c>
      <c r="H97" s="212">
        <f>IF(BH36="","",BH36)</f>
        <v>6.277695716395864</v>
      </c>
      <c r="I97" s="212">
        <f>IF(BH35="","",BH35)</f>
        <v>10.67823732151647</v>
      </c>
      <c r="J97" s="221">
        <f t="shared" ref="J97:J107" si="48">IFERROR(IF(OR(F97="",H97=""),"",F97/H97-1),"")</f>
        <v>1.5411764705882356</v>
      </c>
      <c r="K97" s="212">
        <f>IFERROR(IF($B$5="2026 YTD",AVERAGE($BH$21:$BH$32),INDEX($BH$21:$BH$32,MATCH($B$5,MIS_Calc!$A$21:$A$32,0))),"")</f>
        <v>15.952732644017726</v>
      </c>
      <c r="L97" s="221">
        <f t="shared" ref="L97:L107" si="49">IFERROR(IF(OR(K97="",H97=""),"",K97/H97-1),"")</f>
        <v>1.5411764705882356</v>
      </c>
      <c r="M97" s="212">
        <f>IF(BH34="","",BH34)</f>
        <v>11.576809453471196</v>
      </c>
    </row>
    <row r="98" spans="1:23" x14ac:dyDescent="0.2">
      <c r="A98" t="s">
        <v>817</v>
      </c>
      <c r="B98" t="s">
        <v>176</v>
      </c>
      <c r="C98" t="s">
        <v>166</v>
      </c>
      <c r="D98" t="s">
        <v>757</v>
      </c>
      <c r="E98" s="213">
        <f>IFERROR(IF($B$3="2026 YTD",SUM($D$21:$D$32)/SUM($C$21:$C$32),INDEX($BI$21:$BI$32,MATCH($B$3,MIS_Calc!$A$21:$A$32,0))),"")</f>
        <v>0.67592592592592593</v>
      </c>
      <c r="F98" s="213">
        <f>IFERROR(IF($B$3="2026 YTD",SUM($D$21:$D$32)/SUM($C$21:$C$32),INDEX($BI$21:$BI$32,MATCH($B$3,MIS_Calc!$A$21:$A$32,0))),"")</f>
        <v>0.67592592592592593</v>
      </c>
      <c r="G98">
        <f>COUNT($BI$21:$BI$32)</f>
        <v>5</v>
      </c>
      <c r="H98" s="213">
        <f>IF(BI36="","",BI36)</f>
        <v>1</v>
      </c>
      <c r="I98" s="213">
        <f>IF(BI35="","",BI35)</f>
        <v>0.98559077809798501</v>
      </c>
      <c r="J98" s="221">
        <f t="shared" si="48"/>
        <v>-0.32407407407407407</v>
      </c>
      <c r="K98" s="213">
        <f>IFERROR(IF($B$5="2026 YTD",SUM($D$21:$D$32)/SUM($C$21:$C$32),INDEX($BI$21:$BI$32,MATCH($B$5,MIS_Calc!$A$21:$A$32,0))),"")</f>
        <v>0.67592592592592593</v>
      </c>
      <c r="L98" s="221">
        <f t="shared" si="49"/>
        <v>-0.32407407407407407</v>
      </c>
      <c r="M98" s="213">
        <f>IF(BI34="","",BI34)</f>
        <v>0.98883572567783096</v>
      </c>
    </row>
    <row r="99" spans="1:23" x14ac:dyDescent="0.2">
      <c r="A99" t="s">
        <v>818</v>
      </c>
      <c r="B99" t="s">
        <v>819</v>
      </c>
      <c r="C99" t="s">
        <v>166</v>
      </c>
      <c r="D99" t="s">
        <v>757</v>
      </c>
      <c r="E99" s="213">
        <f>IFERROR(IF($B$3="2026 YTD",SUM($F$21:$F$32)/SUM($C$21:$C$32),INDEX($BJ$21:$BJ$32,MATCH($B$3,MIS_Calc!$A$21:$A$32,0))),"")</f>
        <v>3.2407407407407406E-2</v>
      </c>
      <c r="F99" s="213">
        <f>IFERROR(IF($B$3="2026 YTD",SUM($F$21:$F$32)/SUM($C$21:$C$32),INDEX($BJ$21:$BJ$32,MATCH($B$3,MIS_Calc!$A$21:$A$32,0))),"")</f>
        <v>3.2407407407407406E-2</v>
      </c>
      <c r="G99">
        <f>COUNT($BJ$21:$BJ$32)</f>
        <v>5</v>
      </c>
      <c r="H99" s="213">
        <f>IF(BJ36="","",BJ36)</f>
        <v>2.3529411764705882E-2</v>
      </c>
      <c r="I99" s="213">
        <f>IF(BJ35="","",BJ35)</f>
        <v>1.1527377521613882E-2</v>
      </c>
      <c r="J99" s="221">
        <f t="shared" si="48"/>
        <v>0.37731481481481466</v>
      </c>
      <c r="K99" s="213">
        <f>IFERROR(IF($B$5="2026 YTD",SUM($F$21:$F$32)/SUM($C$21:$C$32),INDEX($BJ$21:$BJ$32,MATCH($B$5,MIS_Calc!$A$21:$A$32,0))),"")</f>
        <v>3.2407407407407406E-2</v>
      </c>
      <c r="L99" s="221">
        <f t="shared" si="49"/>
        <v>0.37731481481481466</v>
      </c>
      <c r="M99" s="213">
        <f>IF(BJ34="","",BJ34)</f>
        <v>0.29665071770334928</v>
      </c>
    </row>
    <row r="100" spans="1:23" x14ac:dyDescent="0.2">
      <c r="A100" t="s">
        <v>820</v>
      </c>
      <c r="B100" t="s">
        <v>177</v>
      </c>
      <c r="C100" t="s">
        <v>178</v>
      </c>
      <c r="D100" t="s">
        <v>733</v>
      </c>
      <c r="E100" s="212" t="str">
        <f>IFERROR(IF($B$3="2026 YTD",LOOKUP(2,1/($BK$21:$BK$32&lt;&gt;""),$BK$21:$BK$32),INDEX($BK$21:$BK$32,MATCH($B$3,MIS_Calc!$A$21:$A$32,0))),"")</f>
        <v/>
      </c>
      <c r="F100" s="212" t="str">
        <f>IFERROR(IF($B$3="2026 YTD",LOOKUP(2,1/($BK$21:$BK$32&lt;&gt;""),$BK$21:$BK$32),INDEX($BK$21:$BK$32,MATCH($B$3,MIS_Calc!$A$21:$A$32,0))),"")</f>
        <v/>
      </c>
      <c r="G100">
        <f>COUNT($BK$21:$BK$32)</f>
        <v>2</v>
      </c>
      <c r="H100" s="212">
        <f>IF(BK36="","",BK36)</f>
        <v>0</v>
      </c>
      <c r="I100" s="212">
        <f>IF(BK35="","",BK35)</f>
        <v>0</v>
      </c>
      <c r="J100" s="221" t="str">
        <f t="shared" si="48"/>
        <v/>
      </c>
      <c r="K100" s="212" t="str">
        <f>IFERROR(IF($B$5="2026 YTD",LOOKUP(2,1/($BK$21:$BK$32&lt;&gt;""),$BK$21:$BK$32),INDEX($BK$21:$BK$32,MATCH($B$5,MIS_Calc!$A$21:$A$32,0))),"")</f>
        <v/>
      </c>
      <c r="L100" s="221" t="str">
        <f t="shared" si="49"/>
        <v/>
      </c>
      <c r="M100" s="212">
        <f>IF(BK34="","",BK34)</f>
        <v>0</v>
      </c>
    </row>
    <row r="101" spans="1:23" x14ac:dyDescent="0.2">
      <c r="A101" t="s">
        <v>821</v>
      </c>
      <c r="B101" t="s">
        <v>184</v>
      </c>
      <c r="C101" t="s">
        <v>152</v>
      </c>
      <c r="D101" t="s">
        <v>742</v>
      </c>
      <c r="E101" s="205" t="str">
        <f>IFERROR(IF($B$3="2026 YTD",AVERAGE($BL$21:$BL$32),INDEX($BL$21:$BL$32,MATCH($B$3,MIS_Calc!$A$21:$A$32,0))),"")</f>
        <v/>
      </c>
      <c r="F101" s="205" t="str">
        <f>IFERROR(IF($B$3="2026 YTD",AVERAGE($BL$21:$BL$32),INDEX($BL$21:$BL$32,MATCH($B$3,MIS_Calc!$A$21:$A$32,0))),"")</f>
        <v/>
      </c>
      <c r="G101">
        <f>COUNT($BL$21:$BL$32)</f>
        <v>2</v>
      </c>
      <c r="H101" s="205">
        <f>IF(BL36="","",BL36)</f>
        <v>553.98024372230429</v>
      </c>
      <c r="I101" s="205">
        <f>IF(BL35="","",BL35)</f>
        <v>579.20236336779908</v>
      </c>
      <c r="J101" s="221" t="str">
        <f t="shared" si="48"/>
        <v/>
      </c>
      <c r="K101" s="205" t="str">
        <f>IFERROR(IF($B$5="2026 YTD",AVERAGE($BL$21:$BL$32),INDEX($BL$21:$BL$32,MATCH($B$5,MIS_Calc!$A$21:$A$32,0))),"")</f>
        <v/>
      </c>
      <c r="L101" s="221" t="str">
        <f t="shared" si="49"/>
        <v/>
      </c>
      <c r="M101" s="205">
        <f>IF(BL34="","",BL34)</f>
        <v>510.72378138847859</v>
      </c>
    </row>
    <row r="102" spans="1:23" x14ac:dyDescent="0.2">
      <c r="A102" t="s">
        <v>822</v>
      </c>
      <c r="B102" t="s">
        <v>823</v>
      </c>
      <c r="C102" t="s">
        <v>166</v>
      </c>
      <c r="D102" t="s">
        <v>742</v>
      </c>
      <c r="E102" s="213" t="str">
        <f>IFERROR(IF($B$3="2026 YTD",AVERAGE($BM$21:$BM$32),INDEX($BM$21:$BM$32,MATCH($B$3,MIS_Calc!$A$21:$A$32,0))),"")</f>
        <v/>
      </c>
      <c r="F102" s="213" t="str">
        <f>IFERROR(IF($B$3="2026 YTD",AVERAGE($BM$21:$BM$32),INDEX($BM$21:$BM$32,MATCH($B$3,MIS_Calc!$A$21:$A$32,0))),"")</f>
        <v/>
      </c>
      <c r="G102">
        <f>COUNT($BM$21:$BM$32)</f>
        <v>2</v>
      </c>
      <c r="H102" s="213">
        <f>IF(BM36="","",BM36)</f>
        <v>0.69482839008890984</v>
      </c>
      <c r="I102" s="213">
        <f>IF(BM35="","",BM35)</f>
        <v>0.76701289047982313</v>
      </c>
      <c r="J102" s="221" t="str">
        <f t="shared" si="48"/>
        <v/>
      </c>
      <c r="K102" s="213" t="str">
        <f>IFERROR(IF($B$5="2026 YTD",AVERAGE($BM$21:$BM$32),INDEX($BM$21:$BM$32,MATCH($B$5,MIS_Calc!$A$21:$A$32,0))),"")</f>
        <v/>
      </c>
      <c r="L102" s="221" t="str">
        <f t="shared" si="49"/>
        <v/>
      </c>
      <c r="M102" s="213">
        <f>IF(BM34="","",BM34)</f>
        <v>0.81355294117647059</v>
      </c>
    </row>
    <row r="103" spans="1:23" x14ac:dyDescent="0.2">
      <c r="A103" t="s">
        <v>824</v>
      </c>
      <c r="B103" t="s">
        <v>182</v>
      </c>
      <c r="C103" t="s">
        <v>183</v>
      </c>
      <c r="D103" t="s">
        <v>742</v>
      </c>
      <c r="E103" s="210" t="str">
        <f>IFERROR(IF($B$3="2026 YTD",AVERAGE($BN$21:$BN$32),INDEX($BN$21:$BN$32,MATCH($B$3,MIS_Calc!$A$21:$A$32,0))),"")</f>
        <v/>
      </c>
      <c r="F103" s="210" t="str">
        <f>IFERROR(IF($B$3="2026 YTD",AVERAGE($BN$21:$BN$32),INDEX($BN$21:$BN$32,MATCH($B$3,MIS_Calc!$A$21:$A$32,0))),"")</f>
        <v/>
      </c>
      <c r="G103">
        <f>COUNT($BN$21:$BN$32)</f>
        <v>3</v>
      </c>
      <c r="H103" s="210">
        <f>IF(BN36="","",BN36)</f>
        <v>22.182700920384704</v>
      </c>
      <c r="I103" s="210">
        <f>IF(BN35="","",BN35)</f>
        <v>34.976152623211448</v>
      </c>
      <c r="J103" s="221" t="str">
        <f t="shared" si="48"/>
        <v/>
      </c>
      <c r="K103" s="210" t="str">
        <f>IFERROR(IF($B$5="2026 YTD",AVERAGE($BN$21:$BN$32),INDEX($BN$21:$BN$32,MATCH($B$5,MIS_Calc!$A$21:$A$32,0))),"")</f>
        <v/>
      </c>
      <c r="L103" s="221" t="str">
        <f t="shared" si="49"/>
        <v/>
      </c>
      <c r="M103" s="210">
        <f>IF(BN34="","",BN34)</f>
        <v>22.684310018903592</v>
      </c>
    </row>
    <row r="104" spans="1:23" x14ac:dyDescent="0.2">
      <c r="A104" t="s">
        <v>825</v>
      </c>
      <c r="B104" t="s">
        <v>826</v>
      </c>
      <c r="C104" t="s">
        <v>187</v>
      </c>
      <c r="D104" t="s">
        <v>742</v>
      </c>
      <c r="E104" s="210">
        <f>IFERROR(IF($B$3="2026 YTD",AVERAGE($BO$21:$BO$32),INDEX($BO$21:$BO$32,MATCH($B$3,MIS_Calc!$A$21:$A$32,0))),"")</f>
        <v>50.148148148148145</v>
      </c>
      <c r="F104" s="210">
        <f>IFERROR(IF($B$3="2026 YTD",AVERAGE($BO$21:$BO$32),INDEX($BO$21:$BO$32,MATCH($B$3,MIS_Calc!$A$21:$A$32,0))),"")</f>
        <v>50.148148148148145</v>
      </c>
      <c r="G104">
        <f>COUNT($BO$21:$BO$32)</f>
        <v>8</v>
      </c>
      <c r="H104" s="210" t="str">
        <f>IF(BO36="","",BO36)</f>
        <v/>
      </c>
      <c r="I104" s="210" t="str">
        <f>IF(BO35="","",BO35)</f>
        <v/>
      </c>
      <c r="J104" s="221" t="str">
        <f t="shared" si="48"/>
        <v/>
      </c>
      <c r="K104" s="210">
        <f>IFERROR(IF($B$5="2026 YTD",AVERAGE($BO$21:$BO$32),INDEX($BO$21:$BO$32,MATCH($B$5,MIS_Calc!$A$21:$A$32,0))),"")</f>
        <v>50.148148148148145</v>
      </c>
      <c r="L104" s="221" t="str">
        <f t="shared" si="49"/>
        <v/>
      </c>
      <c r="M104" s="210" t="str">
        <f>IF(BO34="","",BO34)</f>
        <v/>
      </c>
    </row>
    <row r="105" spans="1:23" x14ac:dyDescent="0.2">
      <c r="A105" t="s">
        <v>827</v>
      </c>
      <c r="B105" t="s">
        <v>828</v>
      </c>
      <c r="C105" t="s">
        <v>760</v>
      </c>
      <c r="D105" t="s">
        <v>729</v>
      </c>
      <c r="E105" s="205" t="str">
        <f>IFERROR(IF($B$3="2026 YTD",IF(COUNT($BP$21:$BP$32)=0,"",SUM($BP$21:$BP$32)),INDEX($BP$21:$BP$32,MATCH($B$3,MIS_Calc!$A$21:$A$32,0))),"")</f>
        <v/>
      </c>
      <c r="F105" s="205" t="str">
        <f>IFERROR(IF($B$3="2026 YTD",AVERAGE($BP$21:$BP$32),INDEX($BP$21:$BP$32,MATCH($B$3,MIS_Calc!$A$21:$A$32,0))),"")</f>
        <v/>
      </c>
      <c r="G105">
        <f>COUNT($BP$21:$BP$32)</f>
        <v>2</v>
      </c>
      <c r="H105" s="205">
        <f>IF(BP36="","",BP36)</f>
        <v>2491388.6325892797</v>
      </c>
      <c r="I105" s="205">
        <f>IF(BP35="","",BP35)</f>
        <v>3094004.6812499901</v>
      </c>
      <c r="J105" s="221" t="str">
        <f t="shared" si="48"/>
        <v/>
      </c>
      <c r="K105" s="205" t="str">
        <f>IFERROR(IF($B$5="2026 YTD",AVERAGE($BP$21:$BP$32),INDEX($BP$21:$BP$32,MATCH($B$5,MIS_Calc!$A$21:$A$32,0))),"")</f>
        <v/>
      </c>
      <c r="L105" s="221" t="str">
        <f t="shared" si="49"/>
        <v/>
      </c>
      <c r="M105" s="205">
        <f>IF(BP34="","",BP34)</f>
        <v>3226096.875</v>
      </c>
    </row>
    <row r="106" spans="1:23" x14ac:dyDescent="0.2">
      <c r="A106" t="s">
        <v>829</v>
      </c>
      <c r="B106" t="s">
        <v>830</v>
      </c>
      <c r="C106" t="s">
        <v>152</v>
      </c>
      <c r="D106" t="s">
        <v>742</v>
      </c>
      <c r="E106" s="205" t="str">
        <f>IFERROR(IF($B$3="2026 YTD",AVERAGE($BQ$21:$BQ$32),INDEX($BQ$21:$BQ$32,MATCH($B$3,MIS_Calc!$A$21:$A$32,0))),"")</f>
        <v/>
      </c>
      <c r="F106" s="205" t="str">
        <f>IFERROR(IF($B$3="2026 YTD",AVERAGE($BQ$21:$BQ$32),INDEX($BQ$21:$BQ$32,MATCH($B$3,MIS_Calc!$A$21:$A$32,0))),"")</f>
        <v/>
      </c>
      <c r="G106">
        <f>COUNT($BQ$21:$BQ$32)</f>
        <v>2</v>
      </c>
      <c r="H106" s="205">
        <f>IF(BQ36="","",BQ36)</f>
        <v>1840.0211466685964</v>
      </c>
      <c r="I106" s="205">
        <f>IF(BQ35="","",BQ35)</f>
        <v>2285.0846981166842</v>
      </c>
      <c r="J106" s="221" t="str">
        <f t="shared" si="48"/>
        <v/>
      </c>
      <c r="K106" s="205" t="str">
        <f>IFERROR(IF($B$5="2026 YTD",AVERAGE($BQ$21:$BQ$32),INDEX($BQ$21:$BQ$32,MATCH($B$5,MIS_Calc!$A$21:$A$32,0))),"")</f>
        <v/>
      </c>
      <c r="L106" s="221" t="str">
        <f t="shared" si="49"/>
        <v/>
      </c>
      <c r="M106" s="205">
        <f>IF(BQ34="","",BQ34)</f>
        <v>2382.641709748892</v>
      </c>
    </row>
    <row r="107" spans="1:23" x14ac:dyDescent="0.2">
      <c r="A107" t="s">
        <v>831</v>
      </c>
      <c r="B107" t="s">
        <v>832</v>
      </c>
      <c r="C107" t="s">
        <v>150</v>
      </c>
      <c r="D107" t="s">
        <v>742</v>
      </c>
      <c r="E107" s="212">
        <f>IFERROR(IF($B$3="2026 YTD",AVERAGE($BR$21:$BR$32),INDEX($BR$21:$BR$32,MATCH($B$3,MIS_Calc!$A$21:$A$32,0))),"")</f>
        <v>8.1240768094534704E-3</v>
      </c>
      <c r="F107" s="212">
        <f>IFERROR(IF($B$3="2026 YTD",AVERAGE($BR$21:$BR$32),INDEX($BR$21:$BR$32,MATCH($B$3,MIS_Calc!$A$21:$A$32,0))),"")</f>
        <v>8.1240768094534704E-3</v>
      </c>
      <c r="G107">
        <f>COUNT($BR$21:$BR$32)</f>
        <v>8</v>
      </c>
      <c r="H107" s="212">
        <f>IF(BR36="","",BR36)</f>
        <v>0.36504632738015291</v>
      </c>
      <c r="I107" s="212">
        <f>IF(BR35="","",BR35)</f>
        <v>0.73015952732643863</v>
      </c>
      <c r="J107" s="221">
        <f t="shared" si="48"/>
        <v>-0.97774508000735694</v>
      </c>
      <c r="K107" s="212">
        <f>IFERROR(IF($B$5="2026 YTD",AVERAGE($BR$21:$BR$32),INDEX($BR$21:$BR$32,MATCH($B$5,MIS_Calc!$A$21:$A$32,0))),"")</f>
        <v>8.1240768094534704E-3</v>
      </c>
      <c r="L107" s="221">
        <f t="shared" si="49"/>
        <v>-0.97774508000735694</v>
      </c>
      <c r="M107" s="212">
        <f>IF(BR34="","",BR34)</f>
        <v>0.72673559822747413</v>
      </c>
    </row>
    <row r="110" spans="1:23" ht="15.75" x14ac:dyDescent="0.25">
      <c r="A110" s="208" t="s">
        <v>833</v>
      </c>
    </row>
    <row r="111" spans="1:23" ht="30" x14ac:dyDescent="0.2">
      <c r="A111" s="202" t="s">
        <v>122</v>
      </c>
      <c r="B111" s="202" t="s">
        <v>41</v>
      </c>
      <c r="C111" s="202" t="s">
        <v>123</v>
      </c>
      <c r="D111" s="202" t="s">
        <v>124</v>
      </c>
      <c r="E111" s="202" t="s">
        <v>125</v>
      </c>
      <c r="F111" s="202" t="s">
        <v>126</v>
      </c>
      <c r="G111" s="202" t="s">
        <v>127</v>
      </c>
      <c r="H111" s="202" t="s">
        <v>128</v>
      </c>
      <c r="I111" s="202" t="s">
        <v>129</v>
      </c>
      <c r="J111" s="202" t="s">
        <v>7</v>
      </c>
      <c r="K111" s="202" t="s">
        <v>130</v>
      </c>
      <c r="L111" s="202" t="s">
        <v>131</v>
      </c>
      <c r="M111" s="202" t="s">
        <v>132</v>
      </c>
      <c r="N111" s="202" t="s">
        <v>133</v>
      </c>
      <c r="O111" s="202" t="s">
        <v>139</v>
      </c>
      <c r="P111" s="202" t="s">
        <v>834</v>
      </c>
      <c r="Q111" s="202" t="s">
        <v>835</v>
      </c>
      <c r="R111" s="202" t="s">
        <v>836</v>
      </c>
      <c r="S111" s="202" t="s">
        <v>837</v>
      </c>
      <c r="T111" s="202" t="s">
        <v>137</v>
      </c>
      <c r="U111" s="202" t="s">
        <v>838</v>
      </c>
      <c r="V111" s="202" t="s">
        <v>720</v>
      </c>
      <c r="W111" s="202" t="s">
        <v>316</v>
      </c>
    </row>
    <row r="112" spans="1:23" x14ac:dyDescent="0.2">
      <c r="A112" t="str">
        <f>'Building wise water'!C11</f>
        <v>SR-1</v>
      </c>
      <c r="B112" t="str">
        <f>'Building wise water'!D11</f>
        <v>Residence</v>
      </c>
      <c r="C112" s="205">
        <f>IF('Building wise water'!I11="","",'Building wise water'!I11)</f>
        <v>264</v>
      </c>
      <c r="D112" s="205">
        <f>IF('Building wise water'!J11="","",'Building wise water'!J11)</f>
        <v>239</v>
      </c>
      <c r="E112" s="205">
        <f>IF('Building wise water'!K11="","",'Building wise water'!K11)</f>
        <v>280</v>
      </c>
      <c r="F112" s="205">
        <f>IF('Building wise water'!L11="","",'Building wise water'!L11)</f>
        <v>201</v>
      </c>
      <c r="G112" s="205">
        <f>IF('Building wise water'!M11="","",'Building wise water'!M11)</f>
        <v>189</v>
      </c>
      <c r="H112" s="205">
        <f>IF('Building wise water'!N11="","",'Building wise water'!N11)</f>
        <v>91</v>
      </c>
      <c r="I112" s="205">
        <f>IF('Building wise water'!O11="","",'Building wise water'!O11)</f>
        <v>224</v>
      </c>
      <c r="J112" s="205">
        <f>IF('Building wise water'!P11="","",'Building wise water'!P11)</f>
        <v>329</v>
      </c>
      <c r="K112" s="205" t="str">
        <f>IF('Building wise water'!Q11="","",'Building wise water'!Q11)</f>
        <v/>
      </c>
      <c r="L112" s="205" t="str">
        <f>IF('Building wise water'!R11="","",'Building wise water'!R11)</f>
        <v/>
      </c>
      <c r="M112" s="205" t="str">
        <f>IF('Building wise water'!S11="","",'Building wise water'!S11)</f>
        <v/>
      </c>
      <c r="N112" s="205" t="str">
        <f>IF('Building wise water'!T11="","",'Building wise water'!T11)</f>
        <v/>
      </c>
      <c r="O112" s="205">
        <f>IF('Building wise water'!G11="","",'Building wise water'!G11)</f>
        <v>1180.5833333333301</v>
      </c>
      <c r="P112" s="205">
        <f>IF('Building wise water'!H11="","",'Building wise water'!H11)</f>
        <v>388.5</v>
      </c>
      <c r="Q112" s="205">
        <f t="shared" ref="Q112:Q131" si="50">IFERROR(IF($B$3="2026 YTD",AVERAGE($C112:$N112),INDEX($C112:$N112,MATCH($B$3,$E$4:$E$15,0))),"")</f>
        <v>329</v>
      </c>
      <c r="R112" s="205">
        <f t="shared" ref="R112:R131" si="51">IF(COUNT(C112:N112)=0,"",SUM(C112:N112))</f>
        <v>1817</v>
      </c>
      <c r="S112" s="222">
        <f t="shared" ref="S112:S131" si="52">IFERROR(IF(OR(Q112="",P112="",P112=0),"",Q112/P112-1),"")</f>
        <v>-0.15315315315315314</v>
      </c>
      <c r="T112" s="213">
        <f t="shared" ref="T112:T131" si="53">IFERROR(Q112/SUM($Q$112:$Q$131),"")</f>
        <v>4.6812749003984064E-2</v>
      </c>
      <c r="U112" s="205">
        <f t="shared" ref="U112:U131" si="54">IFERROR(IF($B$5="2026 YTD",AVERAGE($C112:$N112),INDEX($C112:$N112,MATCH($B$5,$E$4:$E$15,0))),"")</f>
        <v>329</v>
      </c>
      <c r="V112">
        <f t="shared" ref="V112:V131" si="55">COUNT(C112:N112)</f>
        <v>8</v>
      </c>
      <c r="W112" s="205">
        <f t="shared" ref="W112:W131" si="56">IFERROR(AVERAGE(C112:N112),"")</f>
        <v>227.125</v>
      </c>
    </row>
    <row r="113" spans="1:23" x14ac:dyDescent="0.2">
      <c r="A113" t="str">
        <f>'Building wise water'!C12</f>
        <v>SR-2</v>
      </c>
      <c r="B113" t="str">
        <f>'Building wise water'!D12</f>
        <v>Residence</v>
      </c>
      <c r="C113" s="205">
        <f>IF('Building wise water'!I12="","",'Building wise water'!I12)</f>
        <v>267</v>
      </c>
      <c r="D113" s="205">
        <f>IF('Building wise water'!J12="","",'Building wise water'!J12)</f>
        <v>427</v>
      </c>
      <c r="E113" s="205">
        <f>IF('Building wise water'!K12="","",'Building wise water'!K12)</f>
        <v>111</v>
      </c>
      <c r="F113" s="205">
        <f>IF('Building wise water'!L12="","",'Building wise water'!L12)</f>
        <v>100</v>
      </c>
      <c r="G113" s="205">
        <f>IF('Building wise water'!M12="","",'Building wise water'!M12)</f>
        <v>102</v>
      </c>
      <c r="H113" s="205">
        <f>IF('Building wise water'!N12="","",'Building wise water'!N12)</f>
        <v>87</v>
      </c>
      <c r="I113" s="205">
        <f>IF('Building wise water'!O12="","",'Building wise water'!O12)</f>
        <v>125</v>
      </c>
      <c r="J113" s="205">
        <f>IF('Building wise water'!P12="","",'Building wise water'!P12)</f>
        <v>312</v>
      </c>
      <c r="K113" s="205" t="str">
        <f>IF('Building wise water'!Q12="","",'Building wise water'!Q12)</f>
        <v/>
      </c>
      <c r="L113" s="205" t="str">
        <f>IF('Building wise water'!R12="","",'Building wise water'!R12)</f>
        <v/>
      </c>
      <c r="M113" s="205" t="str">
        <f>IF('Building wise water'!S12="","",'Building wise water'!S12)</f>
        <v/>
      </c>
      <c r="N113" s="205" t="str">
        <f>IF('Building wise water'!T12="","",'Building wise water'!T12)</f>
        <v/>
      </c>
      <c r="O113" s="205">
        <f>IF('Building wise water'!G12="","",'Building wise water'!G12)</f>
        <v>1194.8333333333301</v>
      </c>
      <c r="P113" s="205">
        <f>IF('Building wise water'!H12="","",'Building wise water'!H12)</f>
        <v>199.333333333333</v>
      </c>
      <c r="Q113" s="205">
        <f t="shared" si="50"/>
        <v>312</v>
      </c>
      <c r="R113" s="205">
        <f t="shared" si="51"/>
        <v>1531</v>
      </c>
      <c r="S113" s="222">
        <f t="shared" si="52"/>
        <v>0.56521739130435034</v>
      </c>
      <c r="T113" s="213">
        <f t="shared" si="53"/>
        <v>4.4393853158793399E-2</v>
      </c>
      <c r="U113" s="205">
        <f t="shared" si="54"/>
        <v>312</v>
      </c>
      <c r="V113">
        <f t="shared" si="55"/>
        <v>8</v>
      </c>
      <c r="W113" s="205">
        <f t="shared" si="56"/>
        <v>191.375</v>
      </c>
    </row>
    <row r="114" spans="1:23" x14ac:dyDescent="0.2">
      <c r="A114" t="str">
        <f>'Building wise water'!C13</f>
        <v>SR-3</v>
      </c>
      <c r="B114" t="str">
        <f>'Building wise water'!D13</f>
        <v>Residence</v>
      </c>
      <c r="C114" s="205">
        <f>IF('Building wise water'!I13="","",'Building wise water'!I13)</f>
        <v>205</v>
      </c>
      <c r="D114" s="205">
        <f>IF('Building wise water'!J13="","",'Building wise water'!J13)</f>
        <v>111</v>
      </c>
      <c r="E114" s="205">
        <f>IF('Building wise water'!K13="","",'Building wise water'!K13)</f>
        <v>8</v>
      </c>
      <c r="F114" s="205">
        <f>IF('Building wise water'!L13="","",'Building wise water'!L13)</f>
        <v>60</v>
      </c>
      <c r="G114" s="205">
        <f>IF('Building wise water'!M13="","",'Building wise water'!M13)</f>
        <v>58</v>
      </c>
      <c r="H114" s="205">
        <f>IF('Building wise water'!N13="","",'Building wise water'!N13)</f>
        <v>60</v>
      </c>
      <c r="I114" s="205">
        <f>IF('Building wise water'!O13="","",'Building wise water'!O13)</f>
        <v>62</v>
      </c>
      <c r="J114" s="205">
        <f>IF('Building wise water'!P13="","",'Building wise water'!P13)</f>
        <v>64</v>
      </c>
      <c r="K114" s="205" t="str">
        <f>IF('Building wise water'!Q13="","",'Building wise water'!Q13)</f>
        <v/>
      </c>
      <c r="L114" s="205" t="str">
        <f>IF('Building wise water'!R13="","",'Building wise water'!R13)</f>
        <v/>
      </c>
      <c r="M114" s="205" t="str">
        <f>IF('Building wise water'!S13="","",'Building wise water'!S13)</f>
        <v/>
      </c>
      <c r="N114" s="205" t="str">
        <f>IF('Building wise water'!T13="","",'Building wise water'!T13)</f>
        <v/>
      </c>
      <c r="O114" s="205">
        <f>IF('Building wise water'!G13="","",'Building wise water'!G13)</f>
        <v>1274.9166666666599</v>
      </c>
      <c r="P114" s="205">
        <f>IF('Building wise water'!H13="","",'Building wise water'!H13)</f>
        <v>171.333333333333</v>
      </c>
      <c r="Q114" s="205">
        <f t="shared" si="50"/>
        <v>64</v>
      </c>
      <c r="R114" s="205">
        <f t="shared" si="51"/>
        <v>628</v>
      </c>
      <c r="S114" s="222">
        <f t="shared" si="52"/>
        <v>-0.62645914396887092</v>
      </c>
      <c r="T114" s="213">
        <f t="shared" si="53"/>
        <v>9.1064314171883896E-3</v>
      </c>
      <c r="U114" s="205">
        <f t="shared" si="54"/>
        <v>64</v>
      </c>
      <c r="V114">
        <f t="shared" si="55"/>
        <v>8</v>
      </c>
      <c r="W114" s="205">
        <f t="shared" si="56"/>
        <v>78.5</v>
      </c>
    </row>
    <row r="115" spans="1:23" x14ac:dyDescent="0.2">
      <c r="A115" t="str">
        <f>'Building wise water'!C14</f>
        <v>SR-4</v>
      </c>
      <c r="B115" t="str">
        <f>'Building wise water'!D14</f>
        <v>Residence</v>
      </c>
      <c r="C115" s="205">
        <f>IF('Building wise water'!I14="","",'Building wise water'!I14)</f>
        <v>136</v>
      </c>
      <c r="D115" s="205">
        <f>IF('Building wise water'!J14="","",'Building wise water'!J14)</f>
        <v>136</v>
      </c>
      <c r="E115" s="205">
        <f>IF('Building wise water'!K14="","",'Building wise water'!K14)</f>
        <v>337</v>
      </c>
      <c r="F115" s="205">
        <f>IF('Building wise water'!L14="","",'Building wise water'!L14)</f>
        <v>337</v>
      </c>
      <c r="G115" s="205">
        <f>IF('Building wise water'!M14="","",'Building wise water'!M14)</f>
        <v>233</v>
      </c>
      <c r="H115" s="205">
        <f>IF('Building wise water'!N14="","",'Building wise water'!N14)</f>
        <v>221</v>
      </c>
      <c r="I115" s="205">
        <f>IF('Building wise water'!O14="","",'Building wise water'!O14)</f>
        <v>146</v>
      </c>
      <c r="J115" s="205">
        <f>IF('Building wise water'!P14="","",'Building wise water'!P14)</f>
        <v>194</v>
      </c>
      <c r="K115" s="205" t="str">
        <f>IF('Building wise water'!Q14="","",'Building wise water'!Q14)</f>
        <v/>
      </c>
      <c r="L115" s="205" t="str">
        <f>IF('Building wise water'!R14="","",'Building wise water'!R14)</f>
        <v/>
      </c>
      <c r="M115" s="205" t="str">
        <f>IF('Building wise water'!S14="","",'Building wise water'!S14)</f>
        <v/>
      </c>
      <c r="N115" s="205" t="str">
        <f>IF('Building wise water'!T14="","",'Building wise water'!T14)</f>
        <v/>
      </c>
      <c r="O115" s="205">
        <f>IF('Building wise water'!G14="","",'Building wise water'!G14)</f>
        <v>1677.1666666666599</v>
      </c>
      <c r="P115" s="205">
        <f>IF('Building wise water'!H14="","",'Building wise water'!H14)</f>
        <v>162.083333333333</v>
      </c>
      <c r="Q115" s="205">
        <f t="shared" si="50"/>
        <v>194</v>
      </c>
      <c r="R115" s="205">
        <f t="shared" si="51"/>
        <v>1740</v>
      </c>
      <c r="S115" s="222">
        <f t="shared" si="52"/>
        <v>0.19691516709511814</v>
      </c>
      <c r="T115" s="213">
        <f t="shared" si="53"/>
        <v>2.7603870233352305E-2</v>
      </c>
      <c r="U115" s="205">
        <f t="shared" si="54"/>
        <v>194</v>
      </c>
      <c r="V115">
        <f t="shared" si="55"/>
        <v>8</v>
      </c>
      <c r="W115" s="205">
        <f t="shared" si="56"/>
        <v>217.5</v>
      </c>
    </row>
    <row r="116" spans="1:23" x14ac:dyDescent="0.2">
      <c r="A116" t="str">
        <f>'Building wise water'!C15</f>
        <v>SR-9-10B1A</v>
      </c>
      <c r="B116" t="str">
        <f>'Building wise water'!D15</f>
        <v>Residence</v>
      </c>
      <c r="C116" s="205">
        <f>IF('Building wise water'!I15="","",'Building wise water'!I15)</f>
        <v>568</v>
      </c>
      <c r="D116" s="205">
        <f>IF('Building wise water'!J15="","",'Building wise water'!J15)</f>
        <v>716</v>
      </c>
      <c r="E116" s="205">
        <f>IF('Building wise water'!K15="","",'Building wise water'!K15)</f>
        <v>835</v>
      </c>
      <c r="F116" s="205">
        <f>IF('Building wise water'!L15="","",'Building wise water'!L15)</f>
        <v>1045</v>
      </c>
      <c r="G116" s="205">
        <f>IF('Building wise water'!M15="","",'Building wise water'!M15)</f>
        <v>781</v>
      </c>
      <c r="H116" s="205">
        <f>IF('Building wise water'!N15="","",'Building wise water'!N15)</f>
        <v>279</v>
      </c>
      <c r="I116" s="205">
        <f>IF('Building wise water'!O15="","",'Building wise water'!O15)</f>
        <v>1320</v>
      </c>
      <c r="J116" s="205">
        <f>IF('Building wise water'!P15="","",'Building wise water'!P15)</f>
        <v>1468</v>
      </c>
      <c r="K116" s="205" t="str">
        <f>IF('Building wise water'!Q15="","",'Building wise water'!Q15)</f>
        <v/>
      </c>
      <c r="L116" s="205" t="str">
        <f>IF('Building wise water'!R15="","",'Building wise water'!R15)</f>
        <v/>
      </c>
      <c r="M116" s="205" t="str">
        <f>IF('Building wise water'!S15="","",'Building wise water'!S15)</f>
        <v/>
      </c>
      <c r="N116" s="205" t="str">
        <f>IF('Building wise water'!T15="","",'Building wise water'!T15)</f>
        <v/>
      </c>
      <c r="O116" s="205">
        <f>IF('Building wise water'!G15="","",'Building wise water'!G15)</f>
        <v>2503.1666666666702</v>
      </c>
      <c r="P116" s="205">
        <f>IF('Building wise water'!H15="","",'Building wise water'!H15)</f>
        <v>458.75</v>
      </c>
      <c r="Q116" s="205">
        <f t="shared" si="50"/>
        <v>1468</v>
      </c>
      <c r="R116" s="205">
        <f t="shared" si="51"/>
        <v>7012</v>
      </c>
      <c r="S116" s="222">
        <f t="shared" si="52"/>
        <v>2.2000000000000002</v>
      </c>
      <c r="T116" s="213">
        <f t="shared" si="53"/>
        <v>0.20887877063175869</v>
      </c>
      <c r="U116" s="205">
        <f t="shared" si="54"/>
        <v>1468</v>
      </c>
      <c r="V116">
        <f t="shared" si="55"/>
        <v>8</v>
      </c>
      <c r="W116" s="205">
        <f t="shared" si="56"/>
        <v>876.5</v>
      </c>
    </row>
    <row r="117" spans="1:23" x14ac:dyDescent="0.2">
      <c r="A117" t="str">
        <f>'Building wise water'!C16</f>
        <v>SR-9-10B1B</v>
      </c>
      <c r="B117" t="str">
        <f>'Building wise water'!D16</f>
        <v>Residence</v>
      </c>
      <c r="C117" s="205">
        <f>IF('Building wise water'!I16="","",'Building wise water'!I16)</f>
        <v>209</v>
      </c>
      <c r="D117" s="205">
        <f>IF('Building wise water'!J16="","",'Building wise water'!J16)</f>
        <v>73</v>
      </c>
      <c r="E117" s="205">
        <f>IF('Building wise water'!K16="","",'Building wise water'!K16)</f>
        <v>268</v>
      </c>
      <c r="F117" s="205">
        <f>IF('Building wise water'!L16="","",'Building wise water'!L16)</f>
        <v>149</v>
      </c>
      <c r="G117" s="205">
        <f>IF('Building wise water'!M16="","",'Building wise water'!M16)</f>
        <v>167</v>
      </c>
      <c r="H117" s="205">
        <f>IF('Building wise water'!N16="","",'Building wise water'!N16)</f>
        <v>46</v>
      </c>
      <c r="I117" s="205">
        <f>IF('Building wise water'!O16="","",'Building wise water'!O16)</f>
        <v>42</v>
      </c>
      <c r="J117" s="205">
        <f>IF('Building wise water'!P16="","",'Building wise water'!P16)</f>
        <v>45</v>
      </c>
      <c r="K117" s="205" t="str">
        <f>IF('Building wise water'!Q16="","",'Building wise water'!Q16)</f>
        <v/>
      </c>
      <c r="L117" s="205" t="str">
        <f>IF('Building wise water'!R16="","",'Building wise water'!R16)</f>
        <v/>
      </c>
      <c r="M117" s="205" t="str">
        <f>IF('Building wise water'!S16="","",'Building wise water'!S16)</f>
        <v/>
      </c>
      <c r="N117" s="205" t="str">
        <f>IF('Building wise water'!T16="","",'Building wise water'!T16)</f>
        <v/>
      </c>
      <c r="O117" s="205">
        <f>IF('Building wise water'!G16="","",'Building wise water'!G16)</f>
        <v>2943.25</v>
      </c>
      <c r="P117" s="205">
        <f>IF('Building wise water'!H16="","",'Building wise water'!H16)</f>
        <v>454.25</v>
      </c>
      <c r="Q117" s="205">
        <f t="shared" si="50"/>
        <v>45</v>
      </c>
      <c r="R117" s="205">
        <f t="shared" si="51"/>
        <v>999</v>
      </c>
      <c r="S117" s="222">
        <f t="shared" si="52"/>
        <v>-0.90093560814529439</v>
      </c>
      <c r="T117" s="213">
        <f t="shared" si="53"/>
        <v>6.4029595902105859E-3</v>
      </c>
      <c r="U117" s="205">
        <f t="shared" si="54"/>
        <v>45</v>
      </c>
      <c r="V117">
        <f t="shared" si="55"/>
        <v>8</v>
      </c>
      <c r="W117" s="205">
        <f t="shared" si="56"/>
        <v>124.875</v>
      </c>
    </row>
    <row r="118" spans="1:23" x14ac:dyDescent="0.2">
      <c r="A118" t="str">
        <f>'Building wise water'!C17</f>
        <v>SR-11-12CA</v>
      </c>
      <c r="B118" t="str">
        <f>'Building wise water'!D17</f>
        <v>Residence</v>
      </c>
      <c r="C118" s="205">
        <f>IF('Building wise water'!I17="","",'Building wise water'!I17)</f>
        <v>233</v>
      </c>
      <c r="D118" s="205">
        <f>IF('Building wise water'!J17="","",'Building wise water'!J17)</f>
        <v>285</v>
      </c>
      <c r="E118" s="205">
        <f>IF('Building wise water'!K17="","",'Building wise water'!K17)</f>
        <v>337</v>
      </c>
      <c r="F118" s="205">
        <f>IF('Building wise water'!L17="","",'Building wise water'!L17)</f>
        <v>377</v>
      </c>
      <c r="G118" s="205">
        <f>IF('Building wise water'!M17="","",'Building wise water'!M17)</f>
        <v>358</v>
      </c>
      <c r="H118" s="205">
        <f>IF('Building wise water'!N17="","",'Building wise water'!N17)</f>
        <v>200</v>
      </c>
      <c r="I118" s="205">
        <f>IF('Building wise water'!O17="","",'Building wise water'!O17)</f>
        <v>647</v>
      </c>
      <c r="J118" s="205">
        <f>IF('Building wise water'!P17="","",'Building wise water'!P17)</f>
        <v>710</v>
      </c>
      <c r="K118" s="205" t="str">
        <f>IF('Building wise water'!Q17="","",'Building wise water'!Q17)</f>
        <v/>
      </c>
      <c r="L118" s="205" t="str">
        <f>IF('Building wise water'!R17="","",'Building wise water'!R17)</f>
        <v/>
      </c>
      <c r="M118" s="205" t="str">
        <f>IF('Building wise water'!S17="","",'Building wise water'!S17)</f>
        <v/>
      </c>
      <c r="N118" s="205" t="str">
        <f>IF('Building wise water'!T17="","",'Building wise water'!T17)</f>
        <v/>
      </c>
      <c r="O118" s="205">
        <f>IF('Building wise water'!G17="","",'Building wise water'!G17)</f>
        <v>2175.4166666666702</v>
      </c>
      <c r="P118" s="205">
        <f>IF('Building wise water'!H17="","",'Building wise water'!H17)</f>
        <v>341.25</v>
      </c>
      <c r="Q118" s="205">
        <f t="shared" si="50"/>
        <v>710</v>
      </c>
      <c r="R118" s="205">
        <f t="shared" si="51"/>
        <v>3147</v>
      </c>
      <c r="S118" s="222">
        <f t="shared" si="52"/>
        <v>1.0805860805860807</v>
      </c>
      <c r="T118" s="213">
        <f t="shared" si="53"/>
        <v>0.1010244735344337</v>
      </c>
      <c r="U118" s="205">
        <f t="shared" si="54"/>
        <v>710</v>
      </c>
      <c r="V118">
        <f t="shared" si="55"/>
        <v>8</v>
      </c>
      <c r="W118" s="205">
        <f t="shared" si="56"/>
        <v>393.375</v>
      </c>
    </row>
    <row r="119" spans="1:23" x14ac:dyDescent="0.2">
      <c r="A119" t="str">
        <f>'Building wise water'!C18</f>
        <v>SR-11-12CB</v>
      </c>
      <c r="B119" t="str">
        <f>'Building wise water'!D18</f>
        <v>Residence</v>
      </c>
      <c r="C119" s="205">
        <f>IF('Building wise water'!I18="","",'Building wise water'!I18)</f>
        <v>0</v>
      </c>
      <c r="D119" s="205">
        <f>IF('Building wise water'!J18="","",'Building wise water'!J18)</f>
        <v>101</v>
      </c>
      <c r="E119" s="205">
        <f>IF('Building wise water'!K18="","",'Building wise water'!K18)</f>
        <v>450</v>
      </c>
      <c r="F119" s="205">
        <f>IF('Building wise water'!L18="","",'Building wise water'!L18)</f>
        <v>399</v>
      </c>
      <c r="G119" s="205">
        <f>IF('Building wise water'!M18="","",'Building wise water'!M18)</f>
        <v>205</v>
      </c>
      <c r="H119" s="205">
        <f>IF('Building wise water'!N18="","",'Building wise water'!N18)</f>
        <v>50</v>
      </c>
      <c r="I119" s="205">
        <f>IF('Building wise water'!O18="","",'Building wise water'!O18)</f>
        <v>0</v>
      </c>
      <c r="J119" s="205">
        <f>IF('Building wise water'!P18="","",'Building wise water'!P18)</f>
        <v>0</v>
      </c>
      <c r="K119" s="205" t="str">
        <f>IF('Building wise water'!Q18="","",'Building wise water'!Q18)</f>
        <v/>
      </c>
      <c r="L119" s="205" t="str">
        <f>IF('Building wise water'!R18="","",'Building wise water'!R18)</f>
        <v/>
      </c>
      <c r="M119" s="205" t="str">
        <f>IF('Building wise water'!S18="","",'Building wise water'!S18)</f>
        <v/>
      </c>
      <c r="N119" s="205" t="str">
        <f>IF('Building wise water'!T18="","",'Building wise water'!T18)</f>
        <v/>
      </c>
      <c r="O119" s="205">
        <f>IF('Building wise water'!G18="","",'Building wise water'!G18)</f>
        <v>2811.4166666666702</v>
      </c>
      <c r="P119" s="205">
        <f>IF('Building wise water'!H18="","",'Building wise water'!H18)</f>
        <v>463.08333333333201</v>
      </c>
      <c r="Q119" s="205">
        <f t="shared" si="50"/>
        <v>0</v>
      </c>
      <c r="R119" s="205">
        <f t="shared" si="51"/>
        <v>1205</v>
      </c>
      <c r="S119" s="222">
        <f t="shared" si="52"/>
        <v>-1</v>
      </c>
      <c r="T119" s="213">
        <f t="shared" si="53"/>
        <v>0</v>
      </c>
      <c r="U119" s="205">
        <f t="shared" si="54"/>
        <v>0</v>
      </c>
      <c r="V119">
        <f t="shared" si="55"/>
        <v>8</v>
      </c>
      <c r="W119" s="205">
        <f t="shared" si="56"/>
        <v>150.625</v>
      </c>
    </row>
    <row r="120" spans="1:23" x14ac:dyDescent="0.2">
      <c r="A120" t="str">
        <f>'Building wise water'!C19</f>
        <v>Junior School-1&amp;2</v>
      </c>
      <c r="B120" t="str">
        <f>'Building wise water'!D19</f>
        <v>Academic</v>
      </c>
      <c r="C120" s="205">
        <f>IF('Building wise water'!I19="","",'Building wise water'!I19)</f>
        <v>0</v>
      </c>
      <c r="D120" s="205">
        <f>IF('Building wise water'!J19="","",'Building wise water'!J19)</f>
        <v>0</v>
      </c>
      <c r="E120" s="205">
        <f>IF('Building wise water'!K19="","",'Building wise water'!K19)</f>
        <v>1</v>
      </c>
      <c r="F120" s="205">
        <f>IF('Building wise water'!L19="","",'Building wise water'!L19)</f>
        <v>0</v>
      </c>
      <c r="G120" s="205">
        <f>IF('Building wise water'!M19="","",'Building wise water'!M19)</f>
        <v>0</v>
      </c>
      <c r="H120" s="205">
        <f>IF('Building wise water'!N19="","",'Building wise water'!N19)</f>
        <v>1</v>
      </c>
      <c r="I120" s="205">
        <f>IF('Building wise water'!O19="","",'Building wise water'!O19)</f>
        <v>0</v>
      </c>
      <c r="J120" s="205">
        <f>IF('Building wise water'!P19="","",'Building wise water'!P19)</f>
        <v>0</v>
      </c>
      <c r="K120" s="205" t="str">
        <f>IF('Building wise water'!Q19="","",'Building wise water'!Q19)</f>
        <v/>
      </c>
      <c r="L120" s="205" t="str">
        <f>IF('Building wise water'!R19="","",'Building wise water'!R19)</f>
        <v/>
      </c>
      <c r="M120" s="205" t="str">
        <f>IF('Building wise water'!S19="","",'Building wise water'!S19)</f>
        <v/>
      </c>
      <c r="N120" s="205" t="str">
        <f>IF('Building wise water'!T19="","",'Building wise water'!T19)</f>
        <v/>
      </c>
      <c r="O120" s="205">
        <f>IF('Building wise water'!G19="","",'Building wise water'!G19)</f>
        <v>2368.75</v>
      </c>
      <c r="P120" s="205">
        <f>IF('Building wise water'!H19="","",'Building wise water'!H19)</f>
        <v>204.333333333333</v>
      </c>
      <c r="Q120" s="205">
        <f t="shared" si="50"/>
        <v>0</v>
      </c>
      <c r="R120" s="205">
        <f t="shared" si="51"/>
        <v>2</v>
      </c>
      <c r="S120" s="222">
        <f t="shared" si="52"/>
        <v>-1</v>
      </c>
      <c r="T120" s="213">
        <f t="shared" si="53"/>
        <v>0</v>
      </c>
      <c r="U120" s="205">
        <f t="shared" si="54"/>
        <v>0</v>
      </c>
      <c r="V120">
        <f t="shared" si="55"/>
        <v>8</v>
      </c>
      <c r="W120" s="205">
        <f t="shared" si="56"/>
        <v>0.25</v>
      </c>
    </row>
    <row r="121" spans="1:23" x14ac:dyDescent="0.2">
      <c r="A121" t="str">
        <f>'Building wise water'!C20</f>
        <v>Junior School-3</v>
      </c>
      <c r="B121" t="str">
        <f>'Building wise water'!D20</f>
        <v>Academic</v>
      </c>
      <c r="C121" s="205">
        <f>IF('Building wise water'!I20="","",'Building wise water'!I20)</f>
        <v>27</v>
      </c>
      <c r="D121" s="205">
        <f>IF('Building wise water'!J20="","",'Building wise water'!J20)</f>
        <v>22</v>
      </c>
      <c r="E121" s="205">
        <f>IF('Building wise water'!K20="","",'Building wise water'!K20)</f>
        <v>40</v>
      </c>
      <c r="F121" s="205">
        <f>IF('Building wise water'!L20="","",'Building wise water'!L20)</f>
        <v>25</v>
      </c>
      <c r="G121" s="205">
        <f>IF('Building wise water'!M20="","",'Building wise water'!M20)</f>
        <v>28</v>
      </c>
      <c r="H121" s="205">
        <f>IF('Building wise water'!N20="","",'Building wise water'!N20)</f>
        <v>7</v>
      </c>
      <c r="I121" s="205">
        <f>IF('Building wise water'!O20="","",'Building wise water'!O20)</f>
        <v>87</v>
      </c>
      <c r="J121" s="205">
        <f>IF('Building wise water'!P20="","",'Building wise water'!P20)</f>
        <v>120</v>
      </c>
      <c r="K121" s="205" t="str">
        <f>IF('Building wise water'!Q20="","",'Building wise water'!Q20)</f>
        <v/>
      </c>
      <c r="L121" s="205" t="str">
        <f>IF('Building wise water'!R20="","",'Building wise water'!R20)</f>
        <v/>
      </c>
      <c r="M121" s="205" t="str">
        <f>IF('Building wise water'!S20="","",'Building wise water'!S20)</f>
        <v/>
      </c>
      <c r="N121" s="205" t="str">
        <f>IF('Building wise water'!T20="","",'Building wise water'!T20)</f>
        <v/>
      </c>
      <c r="O121" s="205">
        <f>IF('Building wise water'!G20="","",'Building wise water'!G20)</f>
        <v>6906.1666666666597</v>
      </c>
      <c r="P121" s="205">
        <f>IF('Building wise water'!H20="","",'Building wise water'!H20)</f>
        <v>308.66666666666703</v>
      </c>
      <c r="Q121" s="205">
        <f t="shared" si="50"/>
        <v>120</v>
      </c>
      <c r="R121" s="205">
        <f t="shared" si="51"/>
        <v>356</v>
      </c>
      <c r="S121" s="222">
        <f t="shared" si="52"/>
        <v>-0.61123110151187943</v>
      </c>
      <c r="T121" s="213">
        <f t="shared" si="53"/>
        <v>1.707455890722823E-2</v>
      </c>
      <c r="U121" s="205">
        <f t="shared" si="54"/>
        <v>120</v>
      </c>
      <c r="V121">
        <f t="shared" si="55"/>
        <v>8</v>
      </c>
      <c r="W121" s="205">
        <f t="shared" si="56"/>
        <v>44.5</v>
      </c>
    </row>
    <row r="122" spans="1:23" x14ac:dyDescent="0.2">
      <c r="A122" t="str">
        <f>'Building wise water'!C21</f>
        <v>Senior School-1</v>
      </c>
      <c r="B122" t="str">
        <f>'Building wise water'!D21</f>
        <v>Academic</v>
      </c>
      <c r="C122" s="205">
        <f>IF('Building wise water'!I21="","",'Building wise water'!I21)</f>
        <v>101</v>
      </c>
      <c r="D122" s="205">
        <f>IF('Building wise water'!J21="","",'Building wise water'!J21)</f>
        <v>50</v>
      </c>
      <c r="E122" s="205">
        <f>IF('Building wise water'!K21="","",'Building wise water'!K21)</f>
        <v>61</v>
      </c>
      <c r="F122" s="205">
        <f>IF('Building wise water'!L21="","",'Building wise water'!L21)</f>
        <v>90</v>
      </c>
      <c r="G122" s="205">
        <f>IF('Building wise water'!M21="","",'Building wise water'!M21)</f>
        <v>7</v>
      </c>
      <c r="H122" s="205">
        <f>IF('Building wise water'!N21="","",'Building wise water'!N21)</f>
        <v>0</v>
      </c>
      <c r="I122" s="205">
        <f>IF('Building wise water'!O21="","",'Building wise water'!O21)</f>
        <v>78</v>
      </c>
      <c r="J122" s="205">
        <f>IF('Building wise water'!P21="","",'Building wise water'!P21)</f>
        <v>82</v>
      </c>
      <c r="K122" s="205" t="str">
        <f>IF('Building wise water'!Q21="","",'Building wise water'!Q21)</f>
        <v/>
      </c>
      <c r="L122" s="205" t="str">
        <f>IF('Building wise water'!R21="","",'Building wise water'!R21)</f>
        <v/>
      </c>
      <c r="M122" s="205" t="str">
        <f>IF('Building wise water'!S21="","",'Building wise water'!S21)</f>
        <v/>
      </c>
      <c r="N122" s="205" t="str">
        <f>IF('Building wise water'!T21="","",'Building wise water'!T21)</f>
        <v/>
      </c>
      <c r="O122" s="205">
        <f>IF('Building wise water'!G21="","",'Building wise water'!G21)</f>
        <v>2929.3333333333198</v>
      </c>
      <c r="P122" s="205">
        <f>IF('Building wise water'!H21="","",'Building wise water'!H21)</f>
        <v>367.5</v>
      </c>
      <c r="Q122" s="205">
        <f t="shared" si="50"/>
        <v>82</v>
      </c>
      <c r="R122" s="205">
        <f t="shared" si="51"/>
        <v>469</v>
      </c>
      <c r="S122" s="222">
        <f t="shared" si="52"/>
        <v>-0.77687074829931979</v>
      </c>
      <c r="T122" s="213">
        <f t="shared" si="53"/>
        <v>1.1667615253272624E-2</v>
      </c>
      <c r="U122" s="205">
        <f t="shared" si="54"/>
        <v>82</v>
      </c>
      <c r="V122">
        <f t="shared" si="55"/>
        <v>8</v>
      </c>
      <c r="W122" s="205">
        <f t="shared" si="56"/>
        <v>58.625</v>
      </c>
    </row>
    <row r="123" spans="1:23" x14ac:dyDescent="0.2">
      <c r="A123" t="str">
        <f>'Building wise water'!C22</f>
        <v>Senior School-2</v>
      </c>
      <c r="B123" t="str">
        <f>'Building wise water'!D22</f>
        <v>Academic</v>
      </c>
      <c r="C123" s="205">
        <f>IF('Building wise water'!I22="","",'Building wise water'!I22)</f>
        <v>33</v>
      </c>
      <c r="D123" s="205">
        <f>IF('Building wise water'!J22="","",'Building wise water'!J22)</f>
        <v>41</v>
      </c>
      <c r="E123" s="205">
        <f>IF('Building wise water'!K22="","",'Building wise water'!K22)</f>
        <v>15</v>
      </c>
      <c r="F123" s="205">
        <f>IF('Building wise water'!L22="","",'Building wise water'!L22)</f>
        <v>121</v>
      </c>
      <c r="G123" s="205">
        <f>IF('Building wise water'!M22="","",'Building wise water'!M22)</f>
        <v>272</v>
      </c>
      <c r="H123" s="205">
        <f>IF('Building wise water'!N22="","",'Building wise water'!N22)</f>
        <v>5</v>
      </c>
      <c r="I123" s="205">
        <f>IF('Building wise water'!O22="","",'Building wise water'!O22)</f>
        <v>26</v>
      </c>
      <c r="J123" s="205">
        <f>IF('Building wise water'!P22="","",'Building wise water'!P22)</f>
        <v>45</v>
      </c>
      <c r="K123" s="205" t="str">
        <f>IF('Building wise water'!Q22="","",'Building wise water'!Q22)</f>
        <v/>
      </c>
      <c r="L123" s="205" t="str">
        <f>IF('Building wise water'!R22="","",'Building wise water'!R22)</f>
        <v/>
      </c>
      <c r="M123" s="205" t="str">
        <f>IF('Building wise water'!S22="","",'Building wise water'!S22)</f>
        <v/>
      </c>
      <c r="N123" s="205" t="str">
        <f>IF('Building wise water'!T22="","",'Building wise water'!T22)</f>
        <v/>
      </c>
      <c r="O123" s="205">
        <f>IF('Building wise water'!G22="","",'Building wise water'!G22)</f>
        <v>33.8333333333333</v>
      </c>
      <c r="P123" s="205">
        <f>IF('Building wise water'!H22="","",'Building wise water'!H22)</f>
        <v>33.8333333333333</v>
      </c>
      <c r="Q123" s="205">
        <f t="shared" si="50"/>
        <v>45</v>
      </c>
      <c r="R123" s="205">
        <f t="shared" si="51"/>
        <v>558</v>
      </c>
      <c r="S123" s="222">
        <f t="shared" si="52"/>
        <v>0.3300492610837451</v>
      </c>
      <c r="T123" s="213">
        <f t="shared" si="53"/>
        <v>6.4029595902105859E-3</v>
      </c>
      <c r="U123" s="205">
        <f t="shared" si="54"/>
        <v>45</v>
      </c>
      <c r="V123">
        <f t="shared" si="55"/>
        <v>8</v>
      </c>
      <c r="W123" s="205">
        <f t="shared" si="56"/>
        <v>69.75</v>
      </c>
    </row>
    <row r="124" spans="1:23" x14ac:dyDescent="0.2">
      <c r="A124" t="str">
        <f>'Building wise water'!C23</f>
        <v>Senior School-3</v>
      </c>
      <c r="B124" t="str">
        <f>'Building wise water'!D23</f>
        <v>Academic</v>
      </c>
      <c r="C124" s="205">
        <f>IF('Building wise water'!I23="","",'Building wise water'!I23)</f>
        <v>0</v>
      </c>
      <c r="D124" s="205">
        <f>IF('Building wise water'!J23="","",'Building wise water'!J23)</f>
        <v>0</v>
      </c>
      <c r="E124" s="205">
        <f>IF('Building wise water'!K23="","",'Building wise water'!K23)</f>
        <v>0</v>
      </c>
      <c r="F124" s="205">
        <f>IF('Building wise water'!L23="","",'Building wise water'!L23)</f>
        <v>0</v>
      </c>
      <c r="G124" s="205">
        <f>IF('Building wise water'!M23="","",'Building wise water'!M23)</f>
        <v>0</v>
      </c>
      <c r="H124" s="205">
        <f>IF('Building wise water'!N23="","",'Building wise water'!N23)</f>
        <v>13</v>
      </c>
      <c r="I124" s="205">
        <f>IF('Building wise water'!O23="","",'Building wise water'!O23)</f>
        <v>0</v>
      </c>
      <c r="J124" s="205">
        <f>IF('Building wise water'!P23="","",'Building wise water'!P23)</f>
        <v>0</v>
      </c>
      <c r="K124" s="205" t="str">
        <f>IF('Building wise water'!Q23="","",'Building wise water'!Q23)</f>
        <v/>
      </c>
      <c r="L124" s="205" t="str">
        <f>IF('Building wise water'!R23="","",'Building wise water'!R23)</f>
        <v/>
      </c>
      <c r="M124" s="205" t="str">
        <f>IF('Building wise water'!S23="","",'Building wise water'!S23)</f>
        <v/>
      </c>
      <c r="N124" s="205" t="str">
        <f>IF('Building wise water'!T23="","",'Building wise water'!T23)</f>
        <v/>
      </c>
      <c r="O124" s="205">
        <f>IF('Building wise water'!G23="","",'Building wise water'!G23)</f>
        <v>2981.5833333333198</v>
      </c>
      <c r="P124" s="205">
        <f>IF('Building wise water'!H23="","",'Building wise water'!H23)</f>
        <v>98.9166666666667</v>
      </c>
      <c r="Q124" s="205">
        <f t="shared" si="50"/>
        <v>0</v>
      </c>
      <c r="R124" s="205">
        <f t="shared" si="51"/>
        <v>13</v>
      </c>
      <c r="S124" s="222">
        <f t="shared" si="52"/>
        <v>-1</v>
      </c>
      <c r="T124" s="213">
        <f t="shared" si="53"/>
        <v>0</v>
      </c>
      <c r="U124" s="205">
        <f t="shared" si="54"/>
        <v>0</v>
      </c>
      <c r="V124">
        <f t="shared" si="55"/>
        <v>8</v>
      </c>
      <c r="W124" s="205">
        <f t="shared" si="56"/>
        <v>1.625</v>
      </c>
    </row>
    <row r="125" spans="1:23" x14ac:dyDescent="0.2">
      <c r="A125" t="str">
        <f>'Building wise water'!C24</f>
        <v>Academy Building</v>
      </c>
      <c r="B125" t="str">
        <f>'Building wise water'!D24</f>
        <v>Academic</v>
      </c>
      <c r="C125" s="205">
        <f>IF('Building wise water'!I24="","",'Building wise water'!I24)</f>
        <v>1</v>
      </c>
      <c r="D125" s="205">
        <f>IF('Building wise water'!J24="","",'Building wise water'!J24)</f>
        <v>25</v>
      </c>
      <c r="E125" s="205">
        <f>IF('Building wise water'!K24="","",'Building wise water'!K24)</f>
        <v>53</v>
      </c>
      <c r="F125" s="205">
        <f>IF('Building wise water'!L24="","",'Building wise water'!L24)</f>
        <v>329</v>
      </c>
      <c r="G125" s="205">
        <f>IF('Building wise water'!M24="","",'Building wise water'!M24)</f>
        <v>224</v>
      </c>
      <c r="H125" s="205">
        <f>IF('Building wise water'!N24="","",'Building wise water'!N24)</f>
        <v>61</v>
      </c>
      <c r="I125" s="205">
        <f>IF('Building wise water'!O24="","",'Building wise water'!O24)</f>
        <v>78</v>
      </c>
      <c r="J125" s="205">
        <f>IF('Building wise water'!P24="","",'Building wise water'!P24)</f>
        <v>38</v>
      </c>
      <c r="K125" s="205" t="str">
        <f>IF('Building wise water'!Q24="","",'Building wise water'!Q24)</f>
        <v/>
      </c>
      <c r="L125" s="205" t="str">
        <f>IF('Building wise water'!R24="","",'Building wise water'!R24)</f>
        <v/>
      </c>
      <c r="M125" s="205" t="str">
        <f>IF('Building wise water'!S24="","",'Building wise water'!S24)</f>
        <v/>
      </c>
      <c r="N125" s="205" t="str">
        <f>IF('Building wise water'!T24="","",'Building wise water'!T24)</f>
        <v/>
      </c>
      <c r="O125" s="205">
        <f>IF('Building wise water'!G24="","",'Building wise water'!G24)</f>
        <v>0.75</v>
      </c>
      <c r="P125" s="205">
        <f>IF('Building wise water'!H24="","",'Building wise water'!H24)</f>
        <v>8.75</v>
      </c>
      <c r="Q125" s="205">
        <f t="shared" si="50"/>
        <v>38</v>
      </c>
      <c r="R125" s="205">
        <f t="shared" si="51"/>
        <v>809</v>
      </c>
      <c r="S125" s="222">
        <f t="shared" si="52"/>
        <v>3.3428571428571425</v>
      </c>
      <c r="T125" s="213">
        <f t="shared" si="53"/>
        <v>5.4069436539556058E-3</v>
      </c>
      <c r="U125" s="205">
        <f t="shared" si="54"/>
        <v>38</v>
      </c>
      <c r="V125">
        <f t="shared" si="55"/>
        <v>8</v>
      </c>
      <c r="W125" s="205">
        <f t="shared" si="56"/>
        <v>101.125</v>
      </c>
    </row>
    <row r="126" spans="1:23" x14ac:dyDescent="0.2">
      <c r="A126" t="str">
        <f>'Building wise water'!C25</f>
        <v>Commons</v>
      </c>
      <c r="B126" t="str">
        <f>'Building wise water'!D25</f>
        <v>Amenity</v>
      </c>
      <c r="C126" s="205">
        <f>IF('Building wise water'!I25="","",'Building wise water'!I25)</f>
        <v>180</v>
      </c>
      <c r="D126" s="205">
        <f>IF('Building wise water'!J25="","",'Building wise water'!J25)</f>
        <v>186</v>
      </c>
      <c r="E126" s="205">
        <f>IF('Building wise water'!K25="","",'Building wise water'!K25)</f>
        <v>587</v>
      </c>
      <c r="F126" s="205">
        <f>IF('Building wise water'!L25="","",'Building wise water'!L25)</f>
        <v>28</v>
      </c>
      <c r="G126" s="205">
        <f>IF('Building wise water'!M25="","",'Building wise water'!M25)</f>
        <v>73</v>
      </c>
      <c r="H126" s="205">
        <f>IF('Building wise water'!N25="","",'Building wise water'!N25)</f>
        <v>77</v>
      </c>
      <c r="I126" s="205">
        <f>IF('Building wise water'!O25="","",'Building wise water'!O25)</f>
        <v>1089</v>
      </c>
      <c r="J126" s="205">
        <f>IF('Building wise water'!P25="","",'Building wise water'!P25)</f>
        <v>1094</v>
      </c>
      <c r="K126" s="205" t="str">
        <f>IF('Building wise water'!Q25="","",'Building wise water'!Q25)</f>
        <v/>
      </c>
      <c r="L126" s="205" t="str">
        <f>IF('Building wise water'!R25="","",'Building wise water'!R25)</f>
        <v/>
      </c>
      <c r="M126" s="205" t="str">
        <f>IF('Building wise water'!S25="","",'Building wise water'!S25)</f>
        <v/>
      </c>
      <c r="N126" s="205" t="str">
        <f>IF('Building wise water'!T25="","",'Building wise water'!T25)</f>
        <v/>
      </c>
      <c r="O126" s="205">
        <f>IF('Building wise water'!G25="","",'Building wise water'!G25)</f>
        <v>2679.8333333333198</v>
      </c>
      <c r="P126" s="205">
        <f>IF('Building wise water'!H25="","",'Building wise water'!H25)</f>
        <v>183.25</v>
      </c>
      <c r="Q126" s="205">
        <f t="shared" si="50"/>
        <v>1094</v>
      </c>
      <c r="R126" s="205">
        <f t="shared" si="51"/>
        <v>3314</v>
      </c>
      <c r="S126" s="222">
        <f t="shared" si="52"/>
        <v>4.9699863574351975</v>
      </c>
      <c r="T126" s="213">
        <f t="shared" si="53"/>
        <v>0.15566306203756403</v>
      </c>
      <c r="U126" s="205">
        <f t="shared" si="54"/>
        <v>1094</v>
      </c>
      <c r="V126">
        <f t="shared" si="55"/>
        <v>8</v>
      </c>
      <c r="W126" s="205">
        <f t="shared" si="56"/>
        <v>414.25</v>
      </c>
    </row>
    <row r="127" spans="1:23" x14ac:dyDescent="0.2">
      <c r="A127" t="str">
        <f>'Building wise water'!C26</f>
        <v>Swimming Pool</v>
      </c>
      <c r="B127" t="str">
        <f>'Building wise water'!D26</f>
        <v>Amenity</v>
      </c>
      <c r="C127" s="205">
        <f>IF('Building wise water'!I26="","",'Building wise water'!I26)</f>
        <v>526</v>
      </c>
      <c r="D127" s="205">
        <f>IF('Building wise water'!J26="","",'Building wise water'!J26)</f>
        <v>576</v>
      </c>
      <c r="E127" s="205">
        <f>IF('Building wise water'!K26="","",'Building wise water'!K26)</f>
        <v>633</v>
      </c>
      <c r="F127" s="205">
        <f>IF('Building wise water'!L26="","",'Building wise water'!L26)</f>
        <v>661</v>
      </c>
      <c r="G127" s="205">
        <f>IF('Building wise water'!M26="","",'Building wise water'!M26)</f>
        <v>482</v>
      </c>
      <c r="H127" s="205">
        <f>IF('Building wise water'!N26="","",'Building wise water'!N26)</f>
        <v>477</v>
      </c>
      <c r="I127" s="205">
        <f>IF('Building wise water'!O26="","",'Building wise water'!O26)</f>
        <v>1640</v>
      </c>
      <c r="J127" s="205">
        <f>IF('Building wise water'!P26="","",'Building wise water'!P26)</f>
        <v>1559</v>
      </c>
      <c r="K127" s="205" t="str">
        <f>IF('Building wise water'!Q26="","",'Building wise water'!Q26)</f>
        <v/>
      </c>
      <c r="L127" s="205" t="str">
        <f>IF('Building wise water'!R26="","",'Building wise water'!R26)</f>
        <v/>
      </c>
      <c r="M127" s="205" t="str">
        <f>IF('Building wise water'!S26="","",'Building wise water'!S26)</f>
        <v/>
      </c>
      <c r="N127" s="205" t="str">
        <f>IF('Building wise water'!T26="","",'Building wise water'!T26)</f>
        <v/>
      </c>
      <c r="O127" s="205">
        <f>IF('Building wise water'!G26="","",'Building wise water'!G26)</f>
        <v>650.16666666666595</v>
      </c>
      <c r="P127" s="205">
        <f>IF('Building wise water'!H26="","",'Building wise water'!H26)</f>
        <v>452.91666666666703</v>
      </c>
      <c r="Q127" s="205">
        <f t="shared" si="50"/>
        <v>1559</v>
      </c>
      <c r="R127" s="205">
        <f t="shared" si="51"/>
        <v>6554</v>
      </c>
      <c r="S127" s="222">
        <f t="shared" si="52"/>
        <v>2.4421343146274124</v>
      </c>
      <c r="T127" s="213">
        <f t="shared" si="53"/>
        <v>0.22182697780307342</v>
      </c>
      <c r="U127" s="205">
        <f t="shared" si="54"/>
        <v>1559</v>
      </c>
      <c r="V127">
        <f t="shared" si="55"/>
        <v>8</v>
      </c>
      <c r="W127" s="205">
        <f t="shared" si="56"/>
        <v>819.25</v>
      </c>
    </row>
    <row r="128" spans="1:23" x14ac:dyDescent="0.2">
      <c r="A128" t="str">
        <f>'Building wise water'!C27</f>
        <v>Athletic Centre</v>
      </c>
      <c r="B128" t="str">
        <f>'Building wise water'!D27</f>
        <v>Amenity</v>
      </c>
      <c r="C128" s="205">
        <f>IF('Building wise water'!I27="","",'Building wise water'!I27)</f>
        <v>151</v>
      </c>
      <c r="D128" s="205">
        <f>IF('Building wise water'!J27="","",'Building wise water'!J27)</f>
        <v>121</v>
      </c>
      <c r="E128" s="205">
        <f>IF('Building wise water'!K27="","",'Building wise water'!K27)</f>
        <v>53</v>
      </c>
      <c r="F128" s="205">
        <f>IF('Building wise water'!L27="","",'Building wise water'!L27)</f>
        <v>46</v>
      </c>
      <c r="G128" s="205">
        <f>IF('Building wise water'!M27="","",'Building wise water'!M27)</f>
        <v>106</v>
      </c>
      <c r="H128" s="205">
        <f>IF('Building wise water'!N27="","",'Building wise water'!N27)</f>
        <v>146</v>
      </c>
      <c r="I128" s="205">
        <f>IF('Building wise water'!O27="","",'Building wise water'!O27)</f>
        <v>124</v>
      </c>
      <c r="J128" s="205">
        <f>IF('Building wise water'!P27="","",'Building wise water'!P27)</f>
        <v>54</v>
      </c>
      <c r="K128" s="205" t="str">
        <f>IF('Building wise water'!Q27="","",'Building wise water'!Q27)</f>
        <v/>
      </c>
      <c r="L128" s="205" t="str">
        <f>IF('Building wise water'!R27="","",'Building wise water'!R27)</f>
        <v/>
      </c>
      <c r="M128" s="205" t="str">
        <f>IF('Building wise water'!S27="","",'Building wise water'!S27)</f>
        <v/>
      </c>
      <c r="N128" s="205" t="str">
        <f>IF('Building wise water'!T27="","",'Building wise water'!T27)</f>
        <v/>
      </c>
      <c r="O128" s="205">
        <f>IF('Building wise water'!G27="","",'Building wise water'!G27)</f>
        <v>464.66666666666703</v>
      </c>
      <c r="P128" s="205">
        <f>IF('Building wise water'!H27="","",'Building wise water'!H27)</f>
        <v>467.16666666666703</v>
      </c>
      <c r="Q128" s="205">
        <f t="shared" si="50"/>
        <v>54</v>
      </c>
      <c r="R128" s="205">
        <f t="shared" si="51"/>
        <v>801</v>
      </c>
      <c r="S128" s="222">
        <f t="shared" si="52"/>
        <v>-0.88440956118444536</v>
      </c>
      <c r="T128" s="213">
        <f t="shared" si="53"/>
        <v>7.6835515082527032E-3</v>
      </c>
      <c r="U128" s="205">
        <f t="shared" si="54"/>
        <v>54</v>
      </c>
      <c r="V128">
        <f t="shared" si="55"/>
        <v>8</v>
      </c>
      <c r="W128" s="205">
        <f t="shared" si="56"/>
        <v>100.125</v>
      </c>
    </row>
    <row r="129" spans="1:23" x14ac:dyDescent="0.2">
      <c r="A129" t="str">
        <f>'Building wise water'!C28</f>
        <v>PCM</v>
      </c>
      <c r="B129" t="str">
        <f>'Building wise water'!D28</f>
        <v>Support</v>
      </c>
      <c r="C129" s="205">
        <f>IF('Building wise water'!I28="","",'Building wise water'!I28)</f>
        <v>468</v>
      </c>
      <c r="D129" s="205">
        <f>IF('Building wise water'!J28="","",'Building wise water'!J28)</f>
        <v>497</v>
      </c>
      <c r="E129" s="205">
        <f>IF('Building wise water'!K28="","",'Building wise water'!K28)</f>
        <v>520</v>
      </c>
      <c r="F129" s="205">
        <f>IF('Building wise water'!L28="","",'Building wise water'!L28)</f>
        <v>468</v>
      </c>
      <c r="G129" s="205">
        <f>IF('Building wise water'!M28="","",'Building wise water'!M28)</f>
        <v>445</v>
      </c>
      <c r="H129" s="205">
        <f>IF('Building wise water'!N28="","",'Building wise water'!N28)</f>
        <v>589</v>
      </c>
      <c r="I129" s="205">
        <f>IF('Building wise water'!O28="","",'Building wise water'!O28)</f>
        <v>598</v>
      </c>
      <c r="J129" s="205">
        <f>IF('Building wise water'!P28="","",'Building wise water'!P28)</f>
        <v>570</v>
      </c>
      <c r="K129" s="205" t="str">
        <f>IF('Building wise water'!Q28="","",'Building wise water'!Q28)</f>
        <v/>
      </c>
      <c r="L129" s="205" t="str">
        <f>IF('Building wise water'!R28="","",'Building wise water'!R28)</f>
        <v/>
      </c>
      <c r="M129" s="205" t="str">
        <f>IF('Building wise water'!S28="","",'Building wise water'!S28)</f>
        <v/>
      </c>
      <c r="N129" s="205" t="str">
        <f>IF('Building wise water'!T28="","",'Building wise water'!T28)</f>
        <v/>
      </c>
      <c r="O129" s="205">
        <f>IF('Building wise water'!G28="","",'Building wise water'!G28)</f>
        <v>1193</v>
      </c>
      <c r="P129" s="205">
        <f>IF('Building wise water'!H28="","",'Building wise water'!H28)</f>
        <v>1140.6666666666599</v>
      </c>
      <c r="Q129" s="205">
        <f t="shared" si="50"/>
        <v>570</v>
      </c>
      <c r="R129" s="205">
        <f t="shared" si="51"/>
        <v>4155</v>
      </c>
      <c r="S129" s="222">
        <f t="shared" si="52"/>
        <v>-0.50029222676796903</v>
      </c>
      <c r="T129" s="213">
        <f t="shared" si="53"/>
        <v>8.1104154809334097E-2</v>
      </c>
      <c r="U129" s="205">
        <f t="shared" si="54"/>
        <v>570</v>
      </c>
      <c r="V129">
        <f t="shared" si="55"/>
        <v>8</v>
      </c>
      <c r="W129" s="205">
        <f t="shared" si="56"/>
        <v>519.375</v>
      </c>
    </row>
    <row r="130" spans="1:23" x14ac:dyDescent="0.2">
      <c r="A130" t="str">
        <f>'Building wise water'!C29</f>
        <v>Nursery</v>
      </c>
      <c r="B130" t="str">
        <f>'Building wise water'!D29</f>
        <v>Support</v>
      </c>
      <c r="C130" s="205">
        <f>IF('Building wise water'!I29="","",'Building wise water'!I29)</f>
        <v>48</v>
      </c>
      <c r="D130" s="205">
        <f>IF('Building wise water'!J29="","",'Building wise water'!J29)</f>
        <v>33</v>
      </c>
      <c r="E130" s="205">
        <f>IF('Building wise water'!K29="","",'Building wise water'!K29)</f>
        <v>43</v>
      </c>
      <c r="F130" s="205">
        <f>IF('Building wise water'!L29="","",'Building wise water'!L29)</f>
        <v>78</v>
      </c>
      <c r="G130" s="205">
        <f>IF('Building wise water'!M29="","",'Building wise water'!M29)</f>
        <v>204</v>
      </c>
      <c r="H130" s="205">
        <f>IF('Building wise water'!N29="","",'Building wise water'!N29)</f>
        <v>96</v>
      </c>
      <c r="I130" s="205">
        <f>IF('Building wise water'!O29="","",'Building wise water'!O29)</f>
        <v>176</v>
      </c>
      <c r="J130" s="205">
        <f>IF('Building wise water'!P29="","",'Building wise water'!P29)</f>
        <v>209</v>
      </c>
      <c r="K130" s="205" t="str">
        <f>IF('Building wise water'!Q29="","",'Building wise water'!Q29)</f>
        <v/>
      </c>
      <c r="L130" s="205" t="str">
        <f>IF('Building wise water'!R29="","",'Building wise water'!R29)</f>
        <v/>
      </c>
      <c r="M130" s="205" t="str">
        <f>IF('Building wise water'!S29="","",'Building wise water'!S29)</f>
        <v/>
      </c>
      <c r="N130" s="205" t="str">
        <f>IF('Building wise water'!T29="","",'Building wise water'!T29)</f>
        <v/>
      </c>
      <c r="O130" s="205" t="str">
        <f>IF('Building wise water'!G29="","",'Building wise water'!G29)</f>
        <v/>
      </c>
      <c r="P130" s="205" t="str">
        <f>IF('Building wise water'!H29="","",'Building wise water'!H29)</f>
        <v/>
      </c>
      <c r="Q130" s="205">
        <f t="shared" si="50"/>
        <v>209</v>
      </c>
      <c r="R130" s="205">
        <f t="shared" si="51"/>
        <v>887</v>
      </c>
      <c r="S130" s="222" t="str">
        <f t="shared" si="52"/>
        <v/>
      </c>
      <c r="T130" s="213">
        <f t="shared" si="53"/>
        <v>2.9738190096755834E-2</v>
      </c>
      <c r="U130" s="205">
        <f t="shared" si="54"/>
        <v>209</v>
      </c>
      <c r="V130">
        <f t="shared" si="55"/>
        <v>8</v>
      </c>
      <c r="W130" s="205">
        <f t="shared" si="56"/>
        <v>110.875</v>
      </c>
    </row>
    <row r="131" spans="1:23" x14ac:dyDescent="0.2">
      <c r="A131" t="str">
        <f>'Building wise water'!C30</f>
        <v>Laundry</v>
      </c>
      <c r="B131" t="str">
        <f>'Building wise water'!D30</f>
        <v>Support</v>
      </c>
      <c r="C131" s="205">
        <f>IF('Building wise water'!I30="","",'Building wise water'!I30)</f>
        <v>94</v>
      </c>
      <c r="D131" s="205">
        <f>IF('Building wise water'!J30="","",'Building wise water'!J30)</f>
        <v>98</v>
      </c>
      <c r="E131" s="205">
        <f>IF('Building wise water'!K30="","",'Building wise water'!K30)</f>
        <v>104</v>
      </c>
      <c r="F131" s="205">
        <f>IF('Building wise water'!L30="","",'Building wise water'!L30)</f>
        <v>15</v>
      </c>
      <c r="G131" s="205">
        <f>IF('Building wise water'!M30="","",'Building wise water'!M30)</f>
        <v>87</v>
      </c>
      <c r="H131" s="205">
        <f>IF('Building wise water'!N30="","",'Building wise water'!N30)</f>
        <v>68</v>
      </c>
      <c r="I131" s="205">
        <f>IF('Building wise water'!O30="","",'Building wise water'!O30)</f>
        <v>89</v>
      </c>
      <c r="J131" s="205">
        <f>IF('Building wise water'!P30="","",'Building wise water'!P30)</f>
        <v>135</v>
      </c>
      <c r="K131" s="205" t="str">
        <f>IF('Building wise water'!Q30="","",'Building wise water'!Q30)</f>
        <v/>
      </c>
      <c r="L131" s="205" t="str">
        <f>IF('Building wise water'!R30="","",'Building wise water'!R30)</f>
        <v/>
      </c>
      <c r="M131" s="205" t="str">
        <f>IF('Building wise water'!S30="","",'Building wise water'!S30)</f>
        <v/>
      </c>
      <c r="N131" s="205" t="str">
        <f>IF('Building wise water'!T30="","",'Building wise water'!T30)</f>
        <v/>
      </c>
      <c r="O131" s="205" t="str">
        <f>IF('Building wise water'!G30="","",'Building wise water'!G30)</f>
        <v/>
      </c>
      <c r="P131" s="205" t="str">
        <f>IF('Building wise water'!H30="","",'Building wise water'!H30)</f>
        <v/>
      </c>
      <c r="Q131" s="205">
        <f t="shared" si="50"/>
        <v>135</v>
      </c>
      <c r="R131" s="205">
        <f t="shared" si="51"/>
        <v>690</v>
      </c>
      <c r="S131" s="222" t="str">
        <f t="shared" si="52"/>
        <v/>
      </c>
      <c r="T131" s="213">
        <f t="shared" si="53"/>
        <v>1.9208878770631758E-2</v>
      </c>
      <c r="U131" s="205">
        <f t="shared" si="54"/>
        <v>135</v>
      </c>
      <c r="V131">
        <f t="shared" si="55"/>
        <v>8</v>
      </c>
      <c r="W131" s="205">
        <f t="shared" si="56"/>
        <v>86.25</v>
      </c>
    </row>
    <row r="134" spans="1:23" ht="15.75" x14ac:dyDescent="0.25">
      <c r="A134" s="208" t="s">
        <v>839</v>
      </c>
    </row>
    <row r="135" spans="1:23" ht="15" x14ac:dyDescent="0.2">
      <c r="A135" s="202" t="s">
        <v>122</v>
      </c>
      <c r="B135" s="202" t="s">
        <v>145</v>
      </c>
      <c r="C135" s="202" t="s">
        <v>123</v>
      </c>
      <c r="D135" s="202" t="s">
        <v>124</v>
      </c>
      <c r="E135" s="202" t="s">
        <v>125</v>
      </c>
      <c r="F135" s="202" t="s">
        <v>126</v>
      </c>
      <c r="G135" s="202" t="s">
        <v>127</v>
      </c>
      <c r="H135" s="202" t="s">
        <v>128</v>
      </c>
      <c r="I135" s="202" t="s">
        <v>129</v>
      </c>
      <c r="J135" s="202" t="s">
        <v>7</v>
      </c>
      <c r="K135" s="202" t="s">
        <v>130</v>
      </c>
      <c r="L135" s="202" t="s">
        <v>131</v>
      </c>
      <c r="M135" s="202" t="s">
        <v>132</v>
      </c>
      <c r="N135" s="202" t="s">
        <v>133</v>
      </c>
      <c r="O135" s="202" t="s">
        <v>139</v>
      </c>
      <c r="P135" s="202" t="s">
        <v>840</v>
      </c>
      <c r="Q135" s="202" t="s">
        <v>835</v>
      </c>
      <c r="R135" s="202" t="s">
        <v>836</v>
      </c>
      <c r="S135" s="202" t="s">
        <v>841</v>
      </c>
      <c r="T135" s="202" t="s">
        <v>137</v>
      </c>
      <c r="U135" s="202" t="s">
        <v>838</v>
      </c>
      <c r="V135" s="202" t="s">
        <v>720</v>
      </c>
      <c r="W135" s="202" t="s">
        <v>316</v>
      </c>
    </row>
    <row r="136" spans="1:23" x14ac:dyDescent="0.2">
      <c r="A136" t="str">
        <f>'Power Building wise'!B3</f>
        <v>SR1,2,3&amp;4 Emergency</v>
      </c>
      <c r="B136">
        <f>'Power Building wise'!C3</f>
        <v>563.83333333333405</v>
      </c>
      <c r="C136" s="205">
        <f>IF('Power Building wise'!E3="","",'Power Building wise'!E3)</f>
        <v>480</v>
      </c>
      <c r="D136" s="205">
        <f>IF('Power Building wise'!F3="","",'Power Building wise'!F3)</f>
        <v>525</v>
      </c>
      <c r="E136" s="205">
        <f>IF('Power Building wise'!G3="","",'Power Building wise'!G3)</f>
        <v>675</v>
      </c>
      <c r="F136" s="205">
        <f>IF('Power Building wise'!H3="","",'Power Building wise'!H3)</f>
        <v>653</v>
      </c>
      <c r="G136" s="205">
        <f>IF('Power Building wise'!I3="","",'Power Building wise'!I3)</f>
        <v>647</v>
      </c>
      <c r="H136" s="205">
        <f>IF('Power Building wise'!J3="","",'Power Building wise'!J3)</f>
        <v>573</v>
      </c>
      <c r="I136" s="205">
        <f>IF('Power Building wise'!K3="","",'Power Building wise'!K3)</f>
        <v>631</v>
      </c>
      <c r="J136" s="205">
        <f>IF('Power Building wise'!L3="","",'Power Building wise'!L3)</f>
        <v>815</v>
      </c>
      <c r="K136" s="205" t="str">
        <f>IF('Power Building wise'!M3="","",'Power Building wise'!M3)</f>
        <v/>
      </c>
      <c r="L136" s="205" t="str">
        <f>IF('Power Building wise'!N3="","",'Power Building wise'!N3)</f>
        <v/>
      </c>
      <c r="M136" s="205" t="str">
        <f>IF('Power Building wise'!O3="","",'Power Building wise'!O3)</f>
        <v/>
      </c>
      <c r="N136" s="205" t="str">
        <f>IF('Power Building wise'!P3="","",'Power Building wise'!P3)</f>
        <v/>
      </c>
      <c r="O136" s="205">
        <f>'Power Building wise'!D3</f>
        <v>537.83333333332996</v>
      </c>
      <c r="P136" s="205"/>
      <c r="Q136" s="205">
        <f t="shared" ref="Q136:Q156" si="57">IFERROR(IF($B$3="2026 YTD",AVERAGE($C136:$N136),INDEX($C136:$N136,MATCH($B$3,$E$4:$E$15,0))),"")</f>
        <v>815</v>
      </c>
      <c r="R136" s="205">
        <f t="shared" ref="R136:R156" si="58">IF(COUNT(C136:N136)=0,"",SUM(C136:N136))</f>
        <v>4999</v>
      </c>
      <c r="S136" s="222">
        <f t="shared" ref="S136:S156" si="59">IFERROR(IF(OR(Q136="",O136="",O136=0),"",Q136/O136-1),"")</f>
        <v>0.51533932444996311</v>
      </c>
      <c r="T136" s="213">
        <f t="shared" ref="T136:T156" si="60">IFERROR(Q136/SUM($Q$136:$Q$160),"")</f>
        <v>4.6855776196115858E-3</v>
      </c>
      <c r="U136" s="205">
        <f t="shared" ref="U136:U156" si="61">IFERROR(IF($B$5="2026 YTD",AVERAGE($C136:$N136),INDEX($C136:$N136,MATCH($B$5,$E$4:$E$15,0))),"")</f>
        <v>815</v>
      </c>
      <c r="V136">
        <f t="shared" ref="V136:V156" si="62">COUNT(C136:N136)</f>
        <v>8</v>
      </c>
      <c r="W136" s="205">
        <f t="shared" ref="W136:W156" si="63">IFERROR(AVERAGE(C136:N136),"")</f>
        <v>624.875</v>
      </c>
    </row>
    <row r="137" spans="1:23" x14ac:dyDescent="0.2">
      <c r="A137" t="str">
        <f>'Power Building wise'!B4</f>
        <v>SR 9&amp;10A,B 11-12A,B Emergency</v>
      </c>
      <c r="B137">
        <f>'Power Building wise'!C4</f>
        <v>2122.5</v>
      </c>
      <c r="C137" s="205">
        <f>IF('Power Building wise'!E4="","",'Power Building wise'!E4)</f>
        <v>1154</v>
      </c>
      <c r="D137" s="205">
        <f>IF('Power Building wise'!F4="","",'Power Building wise'!F4)</f>
        <v>1119</v>
      </c>
      <c r="E137" s="205">
        <f>IF('Power Building wise'!G4="","",'Power Building wise'!G4)</f>
        <v>1257</v>
      </c>
      <c r="F137" s="205">
        <f>IF('Power Building wise'!H4="","",'Power Building wise'!H4)</f>
        <v>1253</v>
      </c>
      <c r="G137" s="205">
        <f>IF('Power Building wise'!I4="","",'Power Building wise'!I4)</f>
        <v>1203</v>
      </c>
      <c r="H137" s="205">
        <f>IF('Power Building wise'!J4="","",'Power Building wise'!J4)</f>
        <v>1054</v>
      </c>
      <c r="I137" s="205">
        <f>IF('Power Building wise'!K4="","",'Power Building wise'!K4)</f>
        <v>1234</v>
      </c>
      <c r="J137" s="205">
        <f>IF('Power Building wise'!L4="","",'Power Building wise'!L4)</f>
        <v>1331</v>
      </c>
      <c r="K137" s="205" t="str">
        <f>IF('Power Building wise'!M4="","",'Power Building wise'!M4)</f>
        <v/>
      </c>
      <c r="L137" s="205" t="str">
        <f>IF('Power Building wise'!N4="","",'Power Building wise'!N4)</f>
        <v/>
      </c>
      <c r="M137" s="205" t="str">
        <f>IF('Power Building wise'!O4="","",'Power Building wise'!O4)</f>
        <v/>
      </c>
      <c r="N137" s="205" t="str">
        <f>IF('Power Building wise'!P4="","",'Power Building wise'!P4)</f>
        <v/>
      </c>
      <c r="O137" s="205">
        <f>'Power Building wise'!D4</f>
        <v>1150.25</v>
      </c>
      <c r="P137" s="205"/>
      <c r="Q137" s="205">
        <f t="shared" si="57"/>
        <v>1331</v>
      </c>
      <c r="R137" s="205">
        <f t="shared" si="58"/>
        <v>9605</v>
      </c>
      <c r="S137" s="222">
        <f t="shared" si="59"/>
        <v>0.15713975222777665</v>
      </c>
      <c r="T137" s="213">
        <f t="shared" si="60"/>
        <v>7.652151916200025E-3</v>
      </c>
      <c r="U137" s="205">
        <f t="shared" si="61"/>
        <v>1331</v>
      </c>
      <c r="V137">
        <f t="shared" si="62"/>
        <v>8</v>
      </c>
      <c r="W137" s="205">
        <f t="shared" si="63"/>
        <v>1200.625</v>
      </c>
    </row>
    <row r="138" spans="1:23" x14ac:dyDescent="0.2">
      <c r="A138" t="str">
        <f>'Power Building wise'!B5</f>
        <v>Laundry</v>
      </c>
      <c r="B138">
        <f>'Power Building wise'!C5</f>
        <v>2708.75</v>
      </c>
      <c r="C138" s="205">
        <f>IF('Power Building wise'!E5="","",'Power Building wise'!E5)</f>
        <v>2447</v>
      </c>
      <c r="D138" s="205">
        <f>IF('Power Building wise'!F5="","",'Power Building wise'!F5)</f>
        <v>2920</v>
      </c>
      <c r="E138" s="205">
        <f>IF('Power Building wise'!G5="","",'Power Building wise'!G5)</f>
        <v>3006</v>
      </c>
      <c r="F138" s="205">
        <f>IF('Power Building wise'!H5="","",'Power Building wise'!H5)</f>
        <v>3383</v>
      </c>
      <c r="G138" s="205">
        <f>IF('Power Building wise'!I5="","",'Power Building wise'!I5)</f>
        <v>2839</v>
      </c>
      <c r="H138" s="205">
        <f>IF('Power Building wise'!J5="","",'Power Building wise'!J5)</f>
        <v>2202</v>
      </c>
      <c r="I138" s="205">
        <f>IF('Power Building wise'!K5="","",'Power Building wise'!K5)</f>
        <v>2875</v>
      </c>
      <c r="J138" s="205">
        <f>IF('Power Building wise'!L5="","",'Power Building wise'!L5)</f>
        <v>3382</v>
      </c>
      <c r="K138" s="205" t="str">
        <f>IF('Power Building wise'!M5="","",'Power Building wise'!M5)</f>
        <v/>
      </c>
      <c r="L138" s="205" t="str">
        <f>IF('Power Building wise'!N5="","",'Power Building wise'!N5)</f>
        <v/>
      </c>
      <c r="M138" s="205" t="str">
        <f>IF('Power Building wise'!O5="","",'Power Building wise'!O5)</f>
        <v/>
      </c>
      <c r="N138" s="205" t="str">
        <f>IF('Power Building wise'!P5="","",'Power Building wise'!P5)</f>
        <v/>
      </c>
      <c r="O138" s="205">
        <f>'Power Building wise'!D5</f>
        <v>2706.5</v>
      </c>
      <c r="P138" s="205"/>
      <c r="Q138" s="205">
        <f t="shared" si="57"/>
        <v>3382</v>
      </c>
      <c r="R138" s="205">
        <f t="shared" si="58"/>
        <v>23054</v>
      </c>
      <c r="S138" s="222">
        <f t="shared" si="59"/>
        <v>0.24958433401071489</v>
      </c>
      <c r="T138" s="213">
        <f t="shared" si="60"/>
        <v>1.9443709827639735E-2</v>
      </c>
      <c r="U138" s="205">
        <f t="shared" si="61"/>
        <v>3382</v>
      </c>
      <c r="V138">
        <f t="shared" si="62"/>
        <v>8</v>
      </c>
      <c r="W138" s="205">
        <f t="shared" si="63"/>
        <v>2881.75</v>
      </c>
    </row>
    <row r="139" spans="1:23" x14ac:dyDescent="0.2">
      <c r="A139" t="str">
        <f>'Power Building wise'!B6</f>
        <v>Substation</v>
      </c>
      <c r="B139">
        <f>'Power Building wise'!C6</f>
        <v>212.821</v>
      </c>
      <c r="C139" s="205">
        <f>IF('Power Building wise'!E6="","",'Power Building wise'!E6)</f>
        <v>436</v>
      </c>
      <c r="D139" s="205">
        <f>IF('Power Building wise'!F6="","",'Power Building wise'!F6)</f>
        <v>602</v>
      </c>
      <c r="E139" s="205">
        <f>IF('Power Building wise'!G6="","",'Power Building wise'!G6)</f>
        <v>993.3</v>
      </c>
      <c r="F139" s="205">
        <f>IF('Power Building wise'!H6="","",'Power Building wise'!H6)</f>
        <v>961.7</v>
      </c>
      <c r="G139" s="205">
        <f>IF('Power Building wise'!I6="","",'Power Building wise'!I6)</f>
        <v>1173</v>
      </c>
      <c r="H139" s="205">
        <f>IF('Power Building wise'!J6="","",'Power Building wise'!J6)</f>
        <v>1030</v>
      </c>
      <c r="I139" s="205">
        <f>IF('Power Building wise'!K6="","",'Power Building wise'!K6)</f>
        <v>836</v>
      </c>
      <c r="J139" s="205">
        <f>IF('Power Building wise'!L6="","",'Power Building wise'!L6)</f>
        <v>933</v>
      </c>
      <c r="K139" s="205" t="str">
        <f>IF('Power Building wise'!M6="","",'Power Building wise'!M6)</f>
        <v/>
      </c>
      <c r="L139" s="205" t="str">
        <f>IF('Power Building wise'!N6="","",'Power Building wise'!N6)</f>
        <v/>
      </c>
      <c r="M139" s="205" t="str">
        <f>IF('Power Building wise'!O6="","",'Power Building wise'!O6)</f>
        <v/>
      </c>
      <c r="N139" s="205" t="str">
        <f>IF('Power Building wise'!P6="","",'Power Building wise'!P6)</f>
        <v/>
      </c>
      <c r="O139" s="205">
        <f>'Power Building wise'!D6</f>
        <v>667.50833333333196</v>
      </c>
      <c r="P139" s="205"/>
      <c r="Q139" s="205">
        <f t="shared" si="57"/>
        <v>933</v>
      </c>
      <c r="R139" s="205">
        <f t="shared" si="58"/>
        <v>6965</v>
      </c>
      <c r="S139" s="222">
        <f t="shared" si="59"/>
        <v>0.3977353591091275</v>
      </c>
      <c r="T139" s="213">
        <f t="shared" si="60"/>
        <v>5.3639802688314224E-3</v>
      </c>
      <c r="U139" s="205">
        <f t="shared" si="61"/>
        <v>933</v>
      </c>
      <c r="V139">
        <f t="shared" si="62"/>
        <v>8</v>
      </c>
      <c r="W139" s="205">
        <f t="shared" si="63"/>
        <v>870.625</v>
      </c>
    </row>
    <row r="140" spans="1:23" x14ac:dyDescent="0.2">
      <c r="A140" t="str">
        <f>'Power Building wise'!B7</f>
        <v>SR-1</v>
      </c>
      <c r="B140">
        <f>'Power Building wise'!C7</f>
        <v>3459.9166666666601</v>
      </c>
      <c r="C140" s="205">
        <f>IF('Power Building wise'!E7="","",'Power Building wise'!E7)</f>
        <v>2273</v>
      </c>
      <c r="D140" s="205">
        <f>IF('Power Building wise'!F7="","",'Power Building wise'!F7)</f>
        <v>3173</v>
      </c>
      <c r="E140" s="205">
        <f>IF('Power Building wise'!G7="","",'Power Building wise'!G7)</f>
        <v>4616</v>
      </c>
      <c r="F140" s="205">
        <f>IF('Power Building wise'!H7="","",'Power Building wise'!H7)</f>
        <v>6151</v>
      </c>
      <c r="G140" s="205">
        <f>IF('Power Building wise'!I7="","",'Power Building wise'!I7)</f>
        <v>5274</v>
      </c>
      <c r="H140" s="205">
        <f>IF('Power Building wise'!J7="","",'Power Building wise'!J7)</f>
        <v>2391</v>
      </c>
      <c r="I140" s="205">
        <f>IF('Power Building wise'!K7="","",'Power Building wise'!K7)</f>
        <v>4289</v>
      </c>
      <c r="J140" s="205">
        <f>IF('Power Building wise'!L7="","",'Power Building wise'!L7)</f>
        <v>4790</v>
      </c>
      <c r="K140" s="205" t="str">
        <f>IF('Power Building wise'!M7="","",'Power Building wise'!M7)</f>
        <v/>
      </c>
      <c r="L140" s="205" t="str">
        <f>IF('Power Building wise'!N7="","",'Power Building wise'!N7)</f>
        <v/>
      </c>
      <c r="M140" s="205" t="str">
        <f>IF('Power Building wise'!O7="","",'Power Building wise'!O7)</f>
        <v/>
      </c>
      <c r="N140" s="205" t="str">
        <f>IF('Power Building wise'!P7="","",'Power Building wise'!P7)</f>
        <v/>
      </c>
      <c r="O140" s="205">
        <f>'Power Building wise'!D7</f>
        <v>2632</v>
      </c>
      <c r="P140" s="205"/>
      <c r="Q140" s="205">
        <f t="shared" si="57"/>
        <v>4790</v>
      </c>
      <c r="R140" s="205">
        <f t="shared" si="58"/>
        <v>32957</v>
      </c>
      <c r="S140" s="222">
        <f t="shared" si="59"/>
        <v>0.81990881458966558</v>
      </c>
      <c r="T140" s="213">
        <f t="shared" si="60"/>
        <v>2.7538548218330669E-2</v>
      </c>
      <c r="U140" s="205">
        <f t="shared" si="61"/>
        <v>4790</v>
      </c>
      <c r="V140">
        <f t="shared" si="62"/>
        <v>8</v>
      </c>
      <c r="W140" s="205">
        <f t="shared" si="63"/>
        <v>4119.625</v>
      </c>
    </row>
    <row r="141" spans="1:23" x14ac:dyDescent="0.2">
      <c r="A141" t="str">
        <f>'Power Building wise'!B8</f>
        <v>SR-2</v>
      </c>
      <c r="B141">
        <f>'Power Building wise'!C8</f>
        <v>4117.75</v>
      </c>
      <c r="C141" s="205">
        <f>IF('Power Building wise'!E8="","",'Power Building wise'!E8)</f>
        <v>2426</v>
      </c>
      <c r="D141" s="205">
        <f>IF('Power Building wise'!F8="","",'Power Building wise'!F8)</f>
        <v>2719</v>
      </c>
      <c r="E141" s="205">
        <f>IF('Power Building wise'!G8="","",'Power Building wise'!G8)</f>
        <v>4525</v>
      </c>
      <c r="F141" s="205">
        <f>IF('Power Building wise'!H8="","",'Power Building wise'!H8)</f>
        <v>6080</v>
      </c>
      <c r="G141" s="205">
        <f>IF('Power Building wise'!I8="","",'Power Building wise'!I8)</f>
        <v>7229</v>
      </c>
      <c r="H141" s="205">
        <f>IF('Power Building wise'!J8="","",'Power Building wise'!J8)</f>
        <v>2576</v>
      </c>
      <c r="I141" s="205">
        <f>IF('Power Building wise'!K8="","",'Power Building wise'!K8)</f>
        <v>3615</v>
      </c>
      <c r="J141" s="205">
        <f>IF('Power Building wise'!L8="","",'Power Building wise'!L8)</f>
        <v>4692</v>
      </c>
      <c r="K141" s="205" t="str">
        <f>IF('Power Building wise'!M8="","",'Power Building wise'!M8)</f>
        <v/>
      </c>
      <c r="L141" s="205" t="str">
        <f>IF('Power Building wise'!N8="","",'Power Building wise'!N8)</f>
        <v/>
      </c>
      <c r="M141" s="205" t="str">
        <f>IF('Power Building wise'!O8="","",'Power Building wise'!O8)</f>
        <v/>
      </c>
      <c r="N141" s="205" t="str">
        <f>IF('Power Building wise'!P8="","",'Power Building wise'!P8)</f>
        <v/>
      </c>
      <c r="O141" s="205">
        <f>'Power Building wise'!D8</f>
        <v>3026.4166666666702</v>
      </c>
      <c r="P141" s="205"/>
      <c r="Q141" s="205">
        <f t="shared" si="57"/>
        <v>4692</v>
      </c>
      <c r="R141" s="205">
        <f t="shared" si="58"/>
        <v>33862</v>
      </c>
      <c r="S141" s="222">
        <f t="shared" si="59"/>
        <v>0.5503483217226075</v>
      </c>
      <c r="T141" s="213">
        <f t="shared" si="60"/>
        <v>2.6975129068978601E-2</v>
      </c>
      <c r="U141" s="205">
        <f t="shared" si="61"/>
        <v>4692</v>
      </c>
      <c r="V141">
        <f t="shared" si="62"/>
        <v>8</v>
      </c>
      <c r="W141" s="205">
        <f t="shared" si="63"/>
        <v>4232.75</v>
      </c>
    </row>
    <row r="142" spans="1:23" x14ac:dyDescent="0.2">
      <c r="A142" t="str">
        <f>'Power Building wise'!B9</f>
        <v>SR-3</v>
      </c>
      <c r="B142">
        <f>'Power Building wise'!C9</f>
        <v>3465.4166666666702</v>
      </c>
      <c r="C142" s="205">
        <f>IF('Power Building wise'!E9="","",'Power Building wise'!E9)</f>
        <v>1858</v>
      </c>
      <c r="D142" s="205">
        <f>IF('Power Building wise'!F9="","",'Power Building wise'!F9)</f>
        <v>3608</v>
      </c>
      <c r="E142" s="205">
        <f>IF('Power Building wise'!G9="","",'Power Building wise'!G9)</f>
        <v>3486</v>
      </c>
      <c r="F142" s="205">
        <f>IF('Power Building wise'!H9="","",'Power Building wise'!H9)</f>
        <v>4748</v>
      </c>
      <c r="G142" s="205">
        <f>IF('Power Building wise'!I9="","",'Power Building wise'!I9)</f>
        <v>4922</v>
      </c>
      <c r="H142" s="205">
        <f>IF('Power Building wise'!J9="","",'Power Building wise'!J9)</f>
        <v>2227</v>
      </c>
      <c r="I142" s="205">
        <f>IF('Power Building wise'!K9="","",'Power Building wise'!K9)</f>
        <v>4090</v>
      </c>
      <c r="J142" s="205">
        <f>IF('Power Building wise'!L9="","",'Power Building wise'!L9)</f>
        <v>5092</v>
      </c>
      <c r="K142" s="205" t="str">
        <f>IF('Power Building wise'!M9="","",'Power Building wise'!M9)</f>
        <v/>
      </c>
      <c r="L142" s="205" t="str">
        <f>IF('Power Building wise'!N9="","",'Power Building wise'!N9)</f>
        <v/>
      </c>
      <c r="M142" s="205" t="str">
        <f>IF('Power Building wise'!O9="","",'Power Building wise'!O9)</f>
        <v/>
      </c>
      <c r="N142" s="205" t="str">
        <f>IF('Power Building wise'!P9="","",'Power Building wise'!P9)</f>
        <v/>
      </c>
      <c r="O142" s="205">
        <f>'Power Building wise'!D9</f>
        <v>3216.8333333333198</v>
      </c>
      <c r="P142" s="205"/>
      <c r="Q142" s="205">
        <f t="shared" si="57"/>
        <v>5092</v>
      </c>
      <c r="R142" s="205">
        <f t="shared" si="58"/>
        <v>30031</v>
      </c>
      <c r="S142" s="222">
        <f t="shared" si="59"/>
        <v>0.58292316460287696</v>
      </c>
      <c r="T142" s="213">
        <f t="shared" si="60"/>
        <v>2.9274799066333981E-2</v>
      </c>
      <c r="U142" s="205">
        <f t="shared" si="61"/>
        <v>5092</v>
      </c>
      <c r="V142">
        <f t="shared" si="62"/>
        <v>8</v>
      </c>
      <c r="W142" s="205">
        <f t="shared" si="63"/>
        <v>3753.875</v>
      </c>
    </row>
    <row r="143" spans="1:23" x14ac:dyDescent="0.2">
      <c r="A143" t="str">
        <f>'Power Building wise'!B10</f>
        <v>SR-4</v>
      </c>
      <c r="B143">
        <f>'Power Building wise'!C10</f>
        <v>4755.3333333333303</v>
      </c>
      <c r="C143" s="205">
        <f>IF('Power Building wise'!E10="","",'Power Building wise'!E10)</f>
        <v>3035</v>
      </c>
      <c r="D143" s="205">
        <f>IF('Power Building wise'!F10="","",'Power Building wise'!F10)</f>
        <v>5027</v>
      </c>
      <c r="E143" s="205">
        <f>IF('Power Building wise'!G10="","",'Power Building wise'!G10)</f>
        <v>7021</v>
      </c>
      <c r="F143" s="205">
        <f>IF('Power Building wise'!H10="","",'Power Building wise'!H10)</f>
        <v>9892</v>
      </c>
      <c r="G143" s="205">
        <f>IF('Power Building wise'!I10="","",'Power Building wise'!I10)</f>
        <v>10722</v>
      </c>
      <c r="H143" s="205">
        <f>IF('Power Building wise'!J10="","",'Power Building wise'!J10)</f>
        <v>2915</v>
      </c>
      <c r="I143" s="205">
        <f>IF('Power Building wise'!K10="","",'Power Building wise'!K10)</f>
        <v>6848</v>
      </c>
      <c r="J143" s="205">
        <f>IF('Power Building wise'!L10="","",'Power Building wise'!L10)</f>
        <v>6408</v>
      </c>
      <c r="K143" s="205" t="str">
        <f>IF('Power Building wise'!M10="","",'Power Building wise'!M10)</f>
        <v/>
      </c>
      <c r="L143" s="205" t="str">
        <f>IF('Power Building wise'!N10="","",'Power Building wise'!N10)</f>
        <v/>
      </c>
      <c r="M143" s="205" t="str">
        <f>IF('Power Building wise'!O10="","",'Power Building wise'!O10)</f>
        <v/>
      </c>
      <c r="N143" s="205" t="str">
        <f>IF('Power Building wise'!P10="","",'Power Building wise'!P10)</f>
        <v/>
      </c>
      <c r="O143" s="205">
        <f>'Power Building wise'!D10</f>
        <v>3604.75</v>
      </c>
      <c r="P143" s="205"/>
      <c r="Q143" s="205">
        <f t="shared" si="57"/>
        <v>6408</v>
      </c>
      <c r="R143" s="205">
        <f t="shared" si="58"/>
        <v>51868</v>
      </c>
      <c r="S143" s="222">
        <f t="shared" si="59"/>
        <v>0.77765448366738332</v>
      </c>
      <c r="T143" s="213">
        <f t="shared" si="60"/>
        <v>3.6840713357633177E-2</v>
      </c>
      <c r="U143" s="205">
        <f t="shared" si="61"/>
        <v>6408</v>
      </c>
      <c r="V143">
        <f t="shared" si="62"/>
        <v>8</v>
      </c>
      <c r="W143" s="205">
        <f t="shared" si="63"/>
        <v>6483.5</v>
      </c>
    </row>
    <row r="144" spans="1:23" x14ac:dyDescent="0.2">
      <c r="A144" t="str">
        <f>'Power Building wise'!B11</f>
        <v>SR-9-10A</v>
      </c>
      <c r="B144">
        <f>'Power Building wise'!C11</f>
        <v>8637</v>
      </c>
      <c r="C144" s="205">
        <f>IF('Power Building wise'!E11="","",'Power Building wise'!E11)</f>
        <v>2936</v>
      </c>
      <c r="D144" s="205">
        <f>IF('Power Building wise'!F11="","",'Power Building wise'!F11)</f>
        <v>4122</v>
      </c>
      <c r="E144" s="205">
        <f>IF('Power Building wise'!G11="","",'Power Building wise'!G11)</f>
        <v>8610</v>
      </c>
      <c r="F144" s="205">
        <f>IF('Power Building wise'!H11="","",'Power Building wise'!H11)</f>
        <v>13623</v>
      </c>
      <c r="G144" s="205">
        <f>IF('Power Building wise'!I11="","",'Power Building wise'!I11)</f>
        <v>4475</v>
      </c>
      <c r="H144" s="205">
        <f>IF('Power Building wise'!J11="","",'Power Building wise'!J11)</f>
        <v>2951</v>
      </c>
      <c r="I144" s="205">
        <f>IF('Power Building wise'!K11="","",'Power Building wise'!K11)</f>
        <v>3693</v>
      </c>
      <c r="J144" s="205">
        <f>IF('Power Building wise'!L11="","",'Power Building wise'!L11)</f>
        <v>3576</v>
      </c>
      <c r="K144" s="205" t="str">
        <f>IF('Power Building wise'!M11="","",'Power Building wise'!M11)</f>
        <v/>
      </c>
      <c r="L144" s="205" t="str">
        <f>IF('Power Building wise'!N11="","",'Power Building wise'!N11)</f>
        <v/>
      </c>
      <c r="M144" s="205" t="str">
        <f>IF('Power Building wise'!O11="","",'Power Building wise'!O11)</f>
        <v/>
      </c>
      <c r="N144" s="205" t="str">
        <f>IF('Power Building wise'!P11="","",'Power Building wise'!P11)</f>
        <v/>
      </c>
      <c r="O144" s="205">
        <f>'Power Building wise'!D11</f>
        <v>5664.7666666666701</v>
      </c>
      <c r="P144" s="205"/>
      <c r="Q144" s="205">
        <f t="shared" si="57"/>
        <v>3576</v>
      </c>
      <c r="R144" s="205">
        <f t="shared" si="58"/>
        <v>43986</v>
      </c>
      <c r="S144" s="222">
        <f t="shared" si="59"/>
        <v>-0.36872951519038777</v>
      </c>
      <c r="T144" s="213">
        <f t="shared" si="60"/>
        <v>2.0559049776357093E-2</v>
      </c>
      <c r="U144" s="205">
        <f t="shared" si="61"/>
        <v>3576</v>
      </c>
      <c r="V144">
        <f t="shared" si="62"/>
        <v>8</v>
      </c>
      <c r="W144" s="205">
        <f t="shared" si="63"/>
        <v>5498.25</v>
      </c>
    </row>
    <row r="145" spans="1:23" x14ac:dyDescent="0.2">
      <c r="A145" t="str">
        <f>'Power Building wise'!B12</f>
        <v>SR-9-10B</v>
      </c>
      <c r="B145">
        <f>'Power Building wise'!C12</f>
        <v>5749.0833333333303</v>
      </c>
      <c r="C145" s="205">
        <f>IF('Power Building wise'!E12="","",'Power Building wise'!E12)</f>
        <v>4053</v>
      </c>
      <c r="D145" s="205">
        <f>IF('Power Building wise'!F12="","",'Power Building wise'!F12)</f>
        <v>6416</v>
      </c>
      <c r="E145" s="205">
        <f>IF('Power Building wise'!G12="","",'Power Building wise'!G12)</f>
        <v>9833</v>
      </c>
      <c r="F145" s="205">
        <f>IF('Power Building wise'!H12="","",'Power Building wise'!H12)</f>
        <v>14587</v>
      </c>
      <c r="G145" s="205">
        <f>IF('Power Building wise'!I12="","",'Power Building wise'!I12)</f>
        <v>12517</v>
      </c>
      <c r="H145" s="205">
        <f>IF('Power Building wise'!J12="","",'Power Building wise'!J12)</f>
        <v>1965</v>
      </c>
      <c r="I145" s="205">
        <f>IF('Power Building wise'!K12="","",'Power Building wise'!K12)</f>
        <v>5778</v>
      </c>
      <c r="J145" s="205">
        <f>IF('Power Building wise'!L12="","",'Power Building wise'!L12)</f>
        <v>12306</v>
      </c>
      <c r="K145" s="205" t="str">
        <f>IF('Power Building wise'!M12="","",'Power Building wise'!M12)</f>
        <v/>
      </c>
      <c r="L145" s="205" t="str">
        <f>IF('Power Building wise'!N12="","",'Power Building wise'!N12)</f>
        <v/>
      </c>
      <c r="M145" s="205" t="str">
        <f>IF('Power Building wise'!O12="","",'Power Building wise'!O12)</f>
        <v/>
      </c>
      <c r="N145" s="205" t="str">
        <f>IF('Power Building wise'!P12="","",'Power Building wise'!P12)</f>
        <v/>
      </c>
      <c r="O145" s="205">
        <f>'Power Building wise'!D12</f>
        <v>5468.95</v>
      </c>
      <c r="P145" s="205"/>
      <c r="Q145" s="205">
        <f t="shared" si="57"/>
        <v>12306</v>
      </c>
      <c r="R145" s="205">
        <f t="shared" si="58"/>
        <v>67455</v>
      </c>
      <c r="S145" s="222">
        <f t="shared" si="59"/>
        <v>1.2501577085180884</v>
      </c>
      <c r="T145" s="213">
        <f t="shared" si="60"/>
        <v>7.0749347468638257E-2</v>
      </c>
      <c r="U145" s="205">
        <f t="shared" si="61"/>
        <v>12306</v>
      </c>
      <c r="V145">
        <f t="shared" si="62"/>
        <v>8</v>
      </c>
      <c r="W145" s="205">
        <f t="shared" si="63"/>
        <v>8431.875</v>
      </c>
    </row>
    <row r="146" spans="1:23" x14ac:dyDescent="0.2">
      <c r="A146" t="str">
        <f>'Power Building wise'!B13</f>
        <v>SR-11-12CA</v>
      </c>
      <c r="B146">
        <f>'Power Building wise'!C13</f>
        <v>6480.25</v>
      </c>
      <c r="C146" s="205">
        <f>IF('Power Building wise'!E13="","",'Power Building wise'!E13)</f>
        <v>3981</v>
      </c>
      <c r="D146" s="205">
        <f>IF('Power Building wise'!F13="","",'Power Building wise'!F13)</f>
        <v>5304</v>
      </c>
      <c r="E146" s="205">
        <f>IF('Power Building wise'!G13="","",'Power Building wise'!G13)</f>
        <v>7352</v>
      </c>
      <c r="F146" s="205">
        <f>IF('Power Building wise'!H13="","",'Power Building wise'!H13)</f>
        <v>9602</v>
      </c>
      <c r="G146" s="205">
        <f>IF('Power Building wise'!I13="","",'Power Building wise'!I13)</f>
        <v>9997</v>
      </c>
      <c r="H146" s="205">
        <f>IF('Power Building wise'!J13="","",'Power Building wise'!J13)</f>
        <v>4369</v>
      </c>
      <c r="I146" s="205">
        <f>IF('Power Building wise'!K13="","",'Power Building wise'!K13)</f>
        <v>4443</v>
      </c>
      <c r="J146" s="205">
        <f>IF('Power Building wise'!L13="","",'Power Building wise'!L13)</f>
        <v>5498</v>
      </c>
      <c r="K146" s="205" t="str">
        <f>IF('Power Building wise'!M13="","",'Power Building wise'!M13)</f>
        <v/>
      </c>
      <c r="L146" s="205" t="str">
        <f>IF('Power Building wise'!N13="","",'Power Building wise'!N13)</f>
        <v/>
      </c>
      <c r="M146" s="205" t="str">
        <f>IF('Power Building wise'!O13="","",'Power Building wise'!O13)</f>
        <v/>
      </c>
      <c r="N146" s="205" t="str">
        <f>IF('Power Building wise'!P13="","",'Power Building wise'!P13)</f>
        <v/>
      </c>
      <c r="O146" s="205">
        <f>'Power Building wise'!D13</f>
        <v>4599.3999999999896</v>
      </c>
      <c r="P146" s="205"/>
      <c r="Q146" s="205">
        <f t="shared" si="57"/>
        <v>5498</v>
      </c>
      <c r="R146" s="205">
        <f t="shared" si="58"/>
        <v>50546</v>
      </c>
      <c r="S146" s="222">
        <f t="shared" si="59"/>
        <v>0.19537330956211951</v>
      </c>
      <c r="T146" s="213">
        <f t="shared" si="60"/>
        <v>3.160896411364969E-2</v>
      </c>
      <c r="U146" s="205">
        <f t="shared" si="61"/>
        <v>5498</v>
      </c>
      <c r="V146">
        <f t="shared" si="62"/>
        <v>8</v>
      </c>
      <c r="W146" s="205">
        <f t="shared" si="63"/>
        <v>6318.25</v>
      </c>
    </row>
    <row r="147" spans="1:23" x14ac:dyDescent="0.2">
      <c r="A147" t="str">
        <f>'Power Building wise'!B14</f>
        <v>SR-11-12CB</v>
      </c>
      <c r="B147">
        <f>'Power Building wise'!C14</f>
        <v>6609.00000000001</v>
      </c>
      <c r="C147" s="205">
        <f>IF('Power Building wise'!E14="","",'Power Building wise'!E14)</f>
        <v>4068</v>
      </c>
      <c r="D147" s="205">
        <f>IF('Power Building wise'!F14="","",'Power Building wise'!F14)</f>
        <v>7064</v>
      </c>
      <c r="E147" s="205">
        <f>IF('Power Building wise'!G14="","",'Power Building wise'!G14)</f>
        <v>10129</v>
      </c>
      <c r="F147" s="205">
        <f>IF('Power Building wise'!H14="","",'Power Building wise'!H14)</f>
        <v>13778</v>
      </c>
      <c r="G147" s="205">
        <f>IF('Power Building wise'!I14="","",'Power Building wise'!I14)</f>
        <v>14594</v>
      </c>
      <c r="H147" s="205">
        <f>IF('Power Building wise'!J14="","",'Power Building wise'!J14)</f>
        <v>3887</v>
      </c>
      <c r="I147" s="205">
        <f>IF('Power Building wise'!K14="","",'Power Building wise'!K14)</f>
        <v>6393</v>
      </c>
      <c r="J147" s="205">
        <f>IF('Power Building wise'!L14="","",'Power Building wise'!L14)</f>
        <v>8718</v>
      </c>
      <c r="K147" s="205" t="str">
        <f>IF('Power Building wise'!M14="","",'Power Building wise'!M14)</f>
        <v/>
      </c>
      <c r="L147" s="205" t="str">
        <f>IF('Power Building wise'!N14="","",'Power Building wise'!N14)</f>
        <v/>
      </c>
      <c r="M147" s="205" t="str">
        <f>IF('Power Building wise'!O14="","",'Power Building wise'!O14)</f>
        <v/>
      </c>
      <c r="N147" s="205" t="str">
        <f>IF('Power Building wise'!P14="","",'Power Building wise'!P14)</f>
        <v/>
      </c>
      <c r="O147" s="205">
        <f>'Power Building wise'!D14</f>
        <v>5202.8500000000004</v>
      </c>
      <c r="P147" s="205"/>
      <c r="Q147" s="205">
        <f t="shared" si="57"/>
        <v>8718</v>
      </c>
      <c r="R147" s="205">
        <f t="shared" si="58"/>
        <v>68631</v>
      </c>
      <c r="S147" s="222">
        <f t="shared" si="59"/>
        <v>0.67562009283373525</v>
      </c>
      <c r="T147" s="213">
        <f t="shared" si="60"/>
        <v>5.0121307592360498E-2</v>
      </c>
      <c r="U147" s="205">
        <f t="shared" si="61"/>
        <v>8718</v>
      </c>
      <c r="V147">
        <f t="shared" si="62"/>
        <v>8</v>
      </c>
      <c r="W147" s="205">
        <f t="shared" si="63"/>
        <v>8578.875</v>
      </c>
    </row>
    <row r="148" spans="1:23" x14ac:dyDescent="0.2">
      <c r="A148" t="str">
        <f>'Power Building wise'!B15</f>
        <v>Junior School-1,2&amp;3</v>
      </c>
      <c r="B148">
        <f>'Power Building wise'!C15</f>
        <v>7725.9166666666597</v>
      </c>
      <c r="C148" s="205">
        <f>IF('Power Building wise'!E15="","",'Power Building wise'!E15)</f>
        <v>3679</v>
      </c>
      <c r="D148" s="205">
        <f>IF('Power Building wise'!F15="","",'Power Building wise'!F15)</f>
        <v>5521</v>
      </c>
      <c r="E148" s="205">
        <f>IF('Power Building wise'!G15="","",'Power Building wise'!G15)</f>
        <v>10138</v>
      </c>
      <c r="F148" s="205">
        <f>IF('Power Building wise'!H15="","",'Power Building wise'!H15)</f>
        <v>16196</v>
      </c>
      <c r="G148" s="205">
        <f>IF('Power Building wise'!I15="","",'Power Building wise'!I15)</f>
        <v>21333</v>
      </c>
      <c r="H148" s="205">
        <f>IF('Power Building wise'!J15="","",'Power Building wise'!J15)</f>
        <v>4292</v>
      </c>
      <c r="I148" s="205">
        <f>IF('Power Building wise'!K15="","",'Power Building wise'!K15)</f>
        <v>7078</v>
      </c>
      <c r="J148" s="205">
        <f>IF('Power Building wise'!L15="","",'Power Building wise'!L15)</f>
        <v>10905</v>
      </c>
      <c r="K148" s="205" t="str">
        <f>IF('Power Building wise'!M15="","",'Power Building wise'!M15)</f>
        <v/>
      </c>
      <c r="L148" s="205" t="str">
        <f>IF('Power Building wise'!N15="","",'Power Building wise'!N15)</f>
        <v/>
      </c>
      <c r="M148" s="205" t="str">
        <f>IF('Power Building wise'!O15="","",'Power Building wise'!O15)</f>
        <v/>
      </c>
      <c r="N148" s="205" t="str">
        <f>IF('Power Building wise'!P15="","",'Power Building wise'!P15)</f>
        <v/>
      </c>
      <c r="O148" s="205">
        <f>'Power Building wise'!D15</f>
        <v>8438.25</v>
      </c>
      <c r="P148" s="205"/>
      <c r="Q148" s="205">
        <f t="shared" si="57"/>
        <v>10905</v>
      </c>
      <c r="R148" s="205">
        <f t="shared" si="58"/>
        <v>79142</v>
      </c>
      <c r="S148" s="222">
        <f t="shared" si="59"/>
        <v>0.29232957070482635</v>
      </c>
      <c r="T148" s="213">
        <f t="shared" si="60"/>
        <v>6.269475330290103E-2</v>
      </c>
      <c r="U148" s="205">
        <f t="shared" si="61"/>
        <v>10905</v>
      </c>
      <c r="V148">
        <f t="shared" si="62"/>
        <v>8</v>
      </c>
      <c r="W148" s="205">
        <f t="shared" si="63"/>
        <v>9892.75</v>
      </c>
    </row>
    <row r="149" spans="1:23" x14ac:dyDescent="0.2">
      <c r="A149" t="str">
        <f>'Power Building wise'!B16</f>
        <v>Senior School-1&amp;3</v>
      </c>
      <c r="B149">
        <f>'Power Building wise'!C16</f>
        <v>3561.1666666666702</v>
      </c>
      <c r="C149" s="205">
        <f>IF('Power Building wise'!E16="","",'Power Building wise'!E16)</f>
        <v>7015</v>
      </c>
      <c r="D149" s="205">
        <f>IF('Power Building wise'!F16="","",'Power Building wise'!F16)</f>
        <v>5863</v>
      </c>
      <c r="E149" s="205">
        <f>IF('Power Building wise'!G16="","",'Power Building wise'!G16)</f>
        <v>10663</v>
      </c>
      <c r="F149" s="205">
        <f>IF('Power Building wise'!H16="","",'Power Building wise'!H16)</f>
        <v>18355</v>
      </c>
      <c r="G149" s="205">
        <f>IF('Power Building wise'!I16="","",'Power Building wise'!I16)</f>
        <v>19464</v>
      </c>
      <c r="H149" s="205">
        <f>IF('Power Building wise'!J16="","",'Power Building wise'!J16)</f>
        <v>9012</v>
      </c>
      <c r="I149" s="205">
        <f>IF('Power Building wise'!K16="","",'Power Building wise'!K16)</f>
        <v>7647</v>
      </c>
      <c r="J149" s="205">
        <f>IF('Power Building wise'!L16="","",'Power Building wise'!L16)</f>
        <v>8760</v>
      </c>
      <c r="K149" s="205" t="str">
        <f>IF('Power Building wise'!M16="","",'Power Building wise'!M16)</f>
        <v/>
      </c>
      <c r="L149" s="205" t="str">
        <f>IF('Power Building wise'!N16="","",'Power Building wise'!N16)</f>
        <v/>
      </c>
      <c r="M149" s="205" t="str">
        <f>IF('Power Building wise'!O16="","",'Power Building wise'!O16)</f>
        <v/>
      </c>
      <c r="N149" s="205" t="str">
        <f>IF('Power Building wise'!P16="","",'Power Building wise'!P16)</f>
        <v/>
      </c>
      <c r="O149" s="205">
        <f>'Power Building wise'!D16</f>
        <v>9621.1666666666606</v>
      </c>
      <c r="P149" s="205"/>
      <c r="Q149" s="205">
        <f t="shared" si="57"/>
        <v>8760</v>
      </c>
      <c r="R149" s="205">
        <f t="shared" si="58"/>
        <v>86779</v>
      </c>
      <c r="S149" s="222">
        <f t="shared" si="59"/>
        <v>-8.9507509484296199E-2</v>
      </c>
      <c r="T149" s="213">
        <f t="shared" si="60"/>
        <v>5.0362772942082808E-2</v>
      </c>
      <c r="U149" s="205">
        <f t="shared" si="61"/>
        <v>8760</v>
      </c>
      <c r="V149">
        <f t="shared" si="62"/>
        <v>8</v>
      </c>
      <c r="W149" s="205">
        <f t="shared" si="63"/>
        <v>10847.375</v>
      </c>
    </row>
    <row r="150" spans="1:23" x14ac:dyDescent="0.2">
      <c r="A150" t="str">
        <f>'Power Building wise'!B17</f>
        <v>Senior School-2</v>
      </c>
      <c r="B150">
        <f>'Power Building wise'!C17</f>
        <v>8511.5833333333303</v>
      </c>
      <c r="C150" s="205">
        <f>IF('Power Building wise'!E17="","",'Power Building wise'!E17)</f>
        <v>6053</v>
      </c>
      <c r="D150" s="205">
        <f>IF('Power Building wise'!F17="","",'Power Building wise'!F17)</f>
        <v>5908</v>
      </c>
      <c r="E150" s="205">
        <f>IF('Power Building wise'!G17="","",'Power Building wise'!G17)</f>
        <v>8688</v>
      </c>
      <c r="F150" s="205">
        <f>IF('Power Building wise'!H17="","",'Power Building wise'!H17)</f>
        <v>11663</v>
      </c>
      <c r="G150" s="205">
        <f>IF('Power Building wise'!I17="","",'Power Building wise'!I17)</f>
        <v>13162</v>
      </c>
      <c r="H150" s="205">
        <f>IF('Power Building wise'!J17="","",'Power Building wise'!J17)</f>
        <v>7658</v>
      </c>
      <c r="I150" s="205">
        <f>IF('Power Building wise'!K17="","",'Power Building wise'!K17)</f>
        <v>8075</v>
      </c>
      <c r="J150" s="205">
        <f>IF('Power Building wise'!L17="","",'Power Building wise'!L17)</f>
        <v>8229</v>
      </c>
      <c r="K150" s="205" t="str">
        <f>IF('Power Building wise'!M17="","",'Power Building wise'!M17)</f>
        <v/>
      </c>
      <c r="L150" s="205" t="str">
        <f>IF('Power Building wise'!N17="","",'Power Building wise'!N17)</f>
        <v/>
      </c>
      <c r="M150" s="205" t="str">
        <f>IF('Power Building wise'!O17="","",'Power Building wise'!O17)</f>
        <v/>
      </c>
      <c r="N150" s="205" t="str">
        <f>IF('Power Building wise'!P17="","",'Power Building wise'!P17)</f>
        <v/>
      </c>
      <c r="O150" s="205">
        <f>'Power Building wise'!D17</f>
        <v>7514.75</v>
      </c>
      <c r="P150" s="205"/>
      <c r="Q150" s="205">
        <f t="shared" si="57"/>
        <v>8229</v>
      </c>
      <c r="R150" s="205">
        <f t="shared" si="58"/>
        <v>69436</v>
      </c>
      <c r="S150" s="222">
        <f t="shared" si="59"/>
        <v>9.5046408729498655E-2</v>
      </c>
      <c r="T150" s="213">
        <f t="shared" si="60"/>
        <v>4.7309961020593545E-2</v>
      </c>
      <c r="U150" s="205">
        <f t="shared" si="61"/>
        <v>8229</v>
      </c>
      <c r="V150">
        <f t="shared" si="62"/>
        <v>8</v>
      </c>
      <c r="W150" s="205">
        <f t="shared" si="63"/>
        <v>8679.5</v>
      </c>
    </row>
    <row r="151" spans="1:23" x14ac:dyDescent="0.2">
      <c r="A151" t="str">
        <f>'Power Building wise'!B18</f>
        <v>Academy Building</v>
      </c>
      <c r="B151">
        <f>'Power Building wise'!C18</f>
        <v>17065.1074999999</v>
      </c>
      <c r="C151" s="205">
        <f>IF('Power Building wise'!E18="","",'Power Building wise'!E18)</f>
        <v>14400</v>
      </c>
      <c r="D151" s="205">
        <f>IF('Power Building wise'!F18="","",'Power Building wise'!F18)</f>
        <v>17500</v>
      </c>
      <c r="E151" s="205">
        <f>IF('Power Building wise'!G18="","",'Power Building wise'!G18)</f>
        <v>20100</v>
      </c>
      <c r="F151" s="205">
        <f>IF('Power Building wise'!H18="","",'Power Building wise'!H18)</f>
        <v>21900</v>
      </c>
      <c r="G151" s="205">
        <f>IF('Power Building wise'!I18="","",'Power Building wise'!I18)</f>
        <v>26200</v>
      </c>
      <c r="H151" s="205">
        <f>IF('Power Building wise'!J18="","",'Power Building wise'!J18)</f>
        <v>17200</v>
      </c>
      <c r="I151" s="205">
        <f>IF('Power Building wise'!K18="","",'Power Building wise'!K18)</f>
        <v>18700</v>
      </c>
      <c r="J151" s="205">
        <f>IF('Power Building wise'!L18="","",'Power Building wise'!L18)</f>
        <v>18300</v>
      </c>
      <c r="K151" s="205" t="str">
        <f>IF('Power Building wise'!M18="","",'Power Building wise'!M18)</f>
        <v/>
      </c>
      <c r="L151" s="205" t="str">
        <f>IF('Power Building wise'!N18="","",'Power Building wise'!N18)</f>
        <v/>
      </c>
      <c r="M151" s="205" t="str">
        <f>IF('Power Building wise'!O18="","",'Power Building wise'!O18)</f>
        <v/>
      </c>
      <c r="N151" s="205" t="str">
        <f>IF('Power Building wise'!P18="","",'Power Building wise'!P18)</f>
        <v/>
      </c>
      <c r="O151" s="205">
        <f>'Power Building wise'!D18</f>
        <v>18408.333333333201</v>
      </c>
      <c r="P151" s="205"/>
      <c r="Q151" s="205">
        <f t="shared" si="57"/>
        <v>18300</v>
      </c>
      <c r="R151" s="205">
        <f t="shared" si="58"/>
        <v>154300</v>
      </c>
      <c r="S151" s="222">
        <f t="shared" si="59"/>
        <v>-5.8850158442662615E-3</v>
      </c>
      <c r="T151" s="213">
        <f t="shared" si="60"/>
        <v>0.10520990237900861</v>
      </c>
      <c r="U151" s="205">
        <f t="shared" si="61"/>
        <v>18300</v>
      </c>
      <c r="V151">
        <f t="shared" si="62"/>
        <v>8</v>
      </c>
      <c r="W151" s="205">
        <f t="shared" si="63"/>
        <v>19287.5</v>
      </c>
    </row>
    <row r="152" spans="1:23" x14ac:dyDescent="0.2">
      <c r="A152" t="str">
        <f>'Power Building wise'!B19</f>
        <v>Pump House</v>
      </c>
      <c r="B152">
        <f>'Power Building wise'!C19</f>
        <v>4781.7491666666501</v>
      </c>
      <c r="C152" s="205">
        <f>IF('Power Building wise'!E19="","",'Power Building wise'!E19)</f>
        <v>10100</v>
      </c>
      <c r="D152" s="205">
        <f>IF('Power Building wise'!F19="","",'Power Building wise'!F19)</f>
        <v>9900</v>
      </c>
      <c r="E152" s="205">
        <f>IF('Power Building wise'!G19="","",'Power Building wise'!G19)</f>
        <v>11000</v>
      </c>
      <c r="F152" s="205">
        <f>IF('Power Building wise'!H19="","",'Power Building wise'!H19)</f>
        <v>10000</v>
      </c>
      <c r="G152" s="205">
        <f>IF('Power Building wise'!I19="","",'Power Building wise'!I19)</f>
        <v>9900</v>
      </c>
      <c r="H152" s="205">
        <f>IF('Power Building wise'!J19="","",'Power Building wise'!J19)</f>
        <v>9800</v>
      </c>
      <c r="I152" s="205">
        <f>IF('Power Building wise'!K19="","",'Power Building wise'!K19)</f>
        <v>9500</v>
      </c>
      <c r="J152" s="205">
        <f>IF('Power Building wise'!L19="","",'Power Building wise'!L19)</f>
        <v>11500</v>
      </c>
      <c r="K152" s="205" t="str">
        <f>IF('Power Building wise'!M19="","",'Power Building wise'!M19)</f>
        <v/>
      </c>
      <c r="L152" s="205" t="str">
        <f>IF('Power Building wise'!N19="","",'Power Building wise'!N19)</f>
        <v/>
      </c>
      <c r="M152" s="205" t="str">
        <f>IF('Power Building wise'!O19="","",'Power Building wise'!O19)</f>
        <v/>
      </c>
      <c r="N152" s="205" t="str">
        <f>IF('Power Building wise'!P19="","",'Power Building wise'!P19)</f>
        <v/>
      </c>
      <c r="O152" s="205">
        <f>'Power Building wise'!D19</f>
        <v>12186.083333333199</v>
      </c>
      <c r="P152" s="205"/>
      <c r="Q152" s="205">
        <f t="shared" si="57"/>
        <v>11500</v>
      </c>
      <c r="R152" s="205">
        <f t="shared" si="58"/>
        <v>81700</v>
      </c>
      <c r="S152" s="222">
        <f t="shared" si="59"/>
        <v>-5.6300561432771512E-2</v>
      </c>
      <c r="T152" s="213">
        <f t="shared" si="60"/>
        <v>6.6115512423967154E-2</v>
      </c>
      <c r="U152" s="205">
        <f t="shared" si="61"/>
        <v>11500</v>
      </c>
      <c r="V152">
        <f t="shared" si="62"/>
        <v>8</v>
      </c>
      <c r="W152" s="205">
        <f t="shared" si="63"/>
        <v>10212.5</v>
      </c>
    </row>
    <row r="153" spans="1:23" x14ac:dyDescent="0.2">
      <c r="A153" t="str">
        <f>'Power Building wise'!B20</f>
        <v>On call</v>
      </c>
      <c r="B153">
        <f>'Power Building wise'!C20</f>
        <v>630.71166666666704</v>
      </c>
      <c r="C153" s="205">
        <f>IF('Power Building wise'!E20="","",'Power Building wise'!E20)</f>
        <v>837</v>
      </c>
      <c r="D153" s="205">
        <f>IF('Power Building wise'!F20="","",'Power Building wise'!F20)</f>
        <v>947</v>
      </c>
      <c r="E153" s="205">
        <f>IF('Power Building wise'!G20="","",'Power Building wise'!G20)</f>
        <v>1077</v>
      </c>
      <c r="F153" s="205">
        <f>IF('Power Building wise'!H20="","",'Power Building wise'!H20)</f>
        <v>877</v>
      </c>
      <c r="G153" s="205">
        <f>IF('Power Building wise'!I20="","",'Power Building wise'!I20)</f>
        <v>759.8</v>
      </c>
      <c r="H153" s="205">
        <f>IF('Power Building wise'!J20="","",'Power Building wise'!J20)</f>
        <v>609</v>
      </c>
      <c r="I153" s="205">
        <f>IF('Power Building wise'!K20="","",'Power Building wise'!K20)</f>
        <v>909.7</v>
      </c>
      <c r="J153" s="205">
        <f>IF('Power Building wise'!L20="","",'Power Building wise'!L20)</f>
        <v>10147</v>
      </c>
      <c r="K153" s="205" t="str">
        <f>IF('Power Building wise'!M20="","",'Power Building wise'!M20)</f>
        <v/>
      </c>
      <c r="L153" s="205" t="str">
        <f>IF('Power Building wise'!N20="","",'Power Building wise'!N20)</f>
        <v/>
      </c>
      <c r="M153" s="205" t="str">
        <f>IF('Power Building wise'!O20="","",'Power Building wise'!O20)</f>
        <v/>
      </c>
      <c r="N153" s="205" t="str">
        <f>IF('Power Building wise'!P20="","",'Power Building wise'!P20)</f>
        <v/>
      </c>
      <c r="O153" s="205">
        <f>'Power Building wise'!D20</f>
        <v>782.80833333333305</v>
      </c>
      <c r="P153" s="205"/>
      <c r="Q153" s="205">
        <f t="shared" si="57"/>
        <v>10147</v>
      </c>
      <c r="R153" s="205">
        <f t="shared" si="58"/>
        <v>16163.5</v>
      </c>
      <c r="S153" s="222">
        <f t="shared" si="59"/>
        <v>11.962304523244306</v>
      </c>
      <c r="T153" s="213">
        <f t="shared" si="60"/>
        <v>5.8336878657912587E-2</v>
      </c>
      <c r="U153" s="205">
        <f t="shared" si="61"/>
        <v>10147</v>
      </c>
      <c r="V153">
        <f t="shared" si="62"/>
        <v>8</v>
      </c>
      <c r="W153" s="205">
        <f t="shared" si="63"/>
        <v>2020.4375</v>
      </c>
    </row>
    <row r="154" spans="1:23" x14ac:dyDescent="0.2">
      <c r="A154" t="str">
        <f>'Power Building wise'!B21</f>
        <v>Athletic Centre</v>
      </c>
      <c r="B154">
        <f>'Power Building wise'!C21</f>
        <v>6193.9166666666497</v>
      </c>
      <c r="C154" s="205">
        <f>IF('Power Building wise'!E21="","",'Power Building wise'!E21)</f>
        <v>5755</v>
      </c>
      <c r="D154" s="205">
        <f>IF('Power Building wise'!F21="","",'Power Building wise'!F21)</f>
        <v>6473</v>
      </c>
      <c r="E154" s="205">
        <f>IF('Power Building wise'!G21="","",'Power Building wise'!G21)</f>
        <v>8754</v>
      </c>
      <c r="F154" s="205">
        <f>IF('Power Building wise'!H21="","",'Power Building wise'!H21)</f>
        <v>8861</v>
      </c>
      <c r="G154" s="205">
        <f>IF('Power Building wise'!I21="","",'Power Building wise'!I21)</f>
        <v>8785</v>
      </c>
      <c r="H154" s="205">
        <f>IF('Power Building wise'!J21="","",'Power Building wise'!J21)</f>
        <v>7367</v>
      </c>
      <c r="I154" s="205">
        <f>IF('Power Building wise'!K21="","",'Power Building wise'!K21)</f>
        <v>7545</v>
      </c>
      <c r="J154" s="205">
        <f>IF('Power Building wise'!L21="","",'Power Building wise'!L21)</f>
        <v>9768</v>
      </c>
      <c r="K154" s="205" t="str">
        <f>IF('Power Building wise'!M21="","",'Power Building wise'!M21)</f>
        <v/>
      </c>
      <c r="L154" s="205" t="str">
        <f>IF('Power Building wise'!N21="","",'Power Building wise'!N21)</f>
        <v/>
      </c>
      <c r="M154" s="205" t="str">
        <f>IF('Power Building wise'!O21="","",'Power Building wise'!O21)</f>
        <v/>
      </c>
      <c r="N154" s="205" t="str">
        <f>IF('Power Building wise'!P21="","",'Power Building wise'!P21)</f>
        <v/>
      </c>
      <c r="O154" s="205">
        <f>'Power Building wise'!D21</f>
        <v>5689.2583333333196</v>
      </c>
      <c r="P154" s="205"/>
      <c r="Q154" s="205">
        <f t="shared" si="57"/>
        <v>9768</v>
      </c>
      <c r="R154" s="205">
        <f t="shared" si="58"/>
        <v>63308</v>
      </c>
      <c r="S154" s="222">
        <f t="shared" si="59"/>
        <v>0.71691975081696779</v>
      </c>
      <c r="T154" s="213">
        <f t="shared" si="60"/>
        <v>5.615794133541837E-2</v>
      </c>
      <c r="U154" s="205">
        <f t="shared" si="61"/>
        <v>9768</v>
      </c>
      <c r="V154">
        <f t="shared" si="62"/>
        <v>8</v>
      </c>
      <c r="W154" s="205">
        <f t="shared" si="63"/>
        <v>7913.5</v>
      </c>
    </row>
    <row r="155" spans="1:23" x14ac:dyDescent="0.2">
      <c r="A155" t="str">
        <f>'Power Building wise'!B22</f>
        <v>PCM</v>
      </c>
      <c r="B155">
        <f>'Power Building wise'!C22</f>
        <v>4665.1666666666597</v>
      </c>
      <c r="C155" s="205">
        <f>IF('Power Building wise'!E22="","",'Power Building wise'!E22)</f>
        <v>2527</v>
      </c>
      <c r="D155" s="205">
        <f>IF('Power Building wise'!F22="","",'Power Building wise'!F22)</f>
        <v>2796</v>
      </c>
      <c r="E155" s="205">
        <f>IF('Power Building wise'!G22="","",'Power Building wise'!G22)</f>
        <v>3576</v>
      </c>
      <c r="F155" s="205">
        <f>IF('Power Building wise'!H22="","",'Power Building wise'!H22)</f>
        <v>3870</v>
      </c>
      <c r="G155" s="205">
        <f>IF('Power Building wise'!I22="","",'Power Building wise'!I22)</f>
        <v>3937</v>
      </c>
      <c r="H155" s="205">
        <f>IF('Power Building wise'!J22="","",'Power Building wise'!J22)</f>
        <v>3733</v>
      </c>
      <c r="I155" s="205">
        <f>IF('Power Building wise'!K22="","",'Power Building wise'!K22)</f>
        <v>4140</v>
      </c>
      <c r="J155" s="205">
        <f>IF('Power Building wise'!L22="","",'Power Building wise'!L22)</f>
        <v>3784</v>
      </c>
      <c r="K155" s="205" t="str">
        <f>IF('Power Building wise'!M22="","",'Power Building wise'!M22)</f>
        <v/>
      </c>
      <c r="L155" s="205" t="str">
        <f>IF('Power Building wise'!N22="","",'Power Building wise'!N22)</f>
        <v/>
      </c>
      <c r="M155" s="205" t="str">
        <f>IF('Power Building wise'!O22="","",'Power Building wise'!O22)</f>
        <v/>
      </c>
      <c r="N155" s="205" t="str">
        <f>IF('Power Building wise'!P22="","",'Power Building wise'!P22)</f>
        <v/>
      </c>
      <c r="O155" s="205">
        <f>'Power Building wise'!D22</f>
        <v>3302.5833333333198</v>
      </c>
      <c r="P155" s="205"/>
      <c r="Q155" s="205">
        <f t="shared" si="57"/>
        <v>3784</v>
      </c>
      <c r="R155" s="205">
        <f t="shared" si="58"/>
        <v>28363</v>
      </c>
      <c r="S155" s="222">
        <f t="shared" si="59"/>
        <v>0.14576972571976943</v>
      </c>
      <c r="T155" s="213">
        <f t="shared" si="60"/>
        <v>2.1754878174981888E-2</v>
      </c>
      <c r="U155" s="205">
        <f t="shared" si="61"/>
        <v>3784</v>
      </c>
      <c r="V155">
        <f t="shared" si="62"/>
        <v>8</v>
      </c>
      <c r="W155" s="205">
        <f t="shared" si="63"/>
        <v>3545.375</v>
      </c>
    </row>
    <row r="156" spans="1:23" x14ac:dyDescent="0.2">
      <c r="A156" t="str">
        <f>'Power Building wise'!B23</f>
        <v>Irrigation</v>
      </c>
      <c r="B156">
        <f>'Power Building wise'!C23</f>
        <v>2003.6666666666499</v>
      </c>
      <c r="C156" s="205">
        <f>IF('Power Building wise'!E23="","",'Power Building wise'!E23)</f>
        <v>1272</v>
      </c>
      <c r="D156" s="205">
        <f>IF('Power Building wise'!F23="","",'Power Building wise'!F23)</f>
        <v>1135</v>
      </c>
      <c r="E156" s="205">
        <f>IF('Power Building wise'!G23="","",'Power Building wise'!G23)</f>
        <v>0</v>
      </c>
      <c r="F156" s="205">
        <f>IF('Power Building wise'!H23="","",'Power Building wise'!H23)</f>
        <v>1224</v>
      </c>
      <c r="G156" s="205">
        <f>IF('Power Building wise'!I23="","",'Power Building wise'!I23)</f>
        <v>1365</v>
      </c>
      <c r="H156" s="205">
        <f>IF('Power Building wise'!J23="","",'Power Building wise'!J23)</f>
        <v>1214</v>
      </c>
      <c r="I156" s="205">
        <f>IF('Power Building wise'!K23="","",'Power Building wise'!K23)</f>
        <v>1265</v>
      </c>
      <c r="J156" s="205">
        <f>IF('Power Building wise'!L23="","",'Power Building wise'!L23)</f>
        <v>212</v>
      </c>
      <c r="K156" s="205" t="str">
        <f>IF('Power Building wise'!M23="","",'Power Building wise'!M23)</f>
        <v/>
      </c>
      <c r="L156" s="205" t="str">
        <f>IF('Power Building wise'!N23="","",'Power Building wise'!N23)</f>
        <v/>
      </c>
      <c r="M156" s="205" t="str">
        <f>IF('Power Building wise'!O23="","",'Power Building wise'!O23)</f>
        <v/>
      </c>
      <c r="N156" s="205" t="str">
        <f>IF('Power Building wise'!P23="","",'Power Building wise'!P23)</f>
        <v/>
      </c>
      <c r="O156" s="205">
        <f>'Power Building wise'!D23</f>
        <v>1538.3333333333301</v>
      </c>
      <c r="P156" s="205"/>
      <c r="Q156" s="205">
        <f t="shared" si="57"/>
        <v>212</v>
      </c>
      <c r="R156" s="205">
        <f t="shared" si="58"/>
        <v>7687</v>
      </c>
      <c r="S156" s="222">
        <f t="shared" si="59"/>
        <v>-0.86218851570964217</v>
      </c>
      <c r="T156" s="213">
        <f t="shared" si="60"/>
        <v>1.218825098598351E-3</v>
      </c>
      <c r="U156" s="205">
        <f t="shared" si="61"/>
        <v>212</v>
      </c>
      <c r="V156">
        <f t="shared" si="62"/>
        <v>8</v>
      </c>
      <c r="W156" s="205">
        <f t="shared" si="63"/>
        <v>960.875</v>
      </c>
    </row>
    <row r="157" spans="1:23" x14ac:dyDescent="0.2"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22"/>
      <c r="T157" s="213"/>
      <c r="U157" s="205"/>
      <c r="W157" s="205"/>
    </row>
    <row r="158" spans="1:23" x14ac:dyDescent="0.2">
      <c r="A158" t="str">
        <f>'Power Building wise'!B25</f>
        <v>WTP/STP</v>
      </c>
      <c r="B158">
        <f>'Power Building wise'!C25</f>
        <v>12987.2246666667</v>
      </c>
      <c r="C158" s="205">
        <f>IF('Power Building wise'!E25="","",'Power Building wise'!E25)</f>
        <v>7000</v>
      </c>
      <c r="D158" s="205">
        <f>IF('Power Building wise'!F25="","",'Power Building wise'!F25)</f>
        <v>7600</v>
      </c>
      <c r="E158" s="205">
        <f>IF('Power Building wise'!G25="","",'Power Building wise'!G25)</f>
        <v>7700</v>
      </c>
      <c r="F158" s="205">
        <f>IF('Power Building wise'!H25="","",'Power Building wise'!H25)</f>
        <v>7800</v>
      </c>
      <c r="G158" s="205">
        <f>IF('Power Building wise'!I25="","",'Power Building wise'!I25)</f>
        <v>7700</v>
      </c>
      <c r="H158" s="205">
        <f>IF('Power Building wise'!J25="","",'Power Building wise'!J25)</f>
        <v>3600</v>
      </c>
      <c r="I158" s="205">
        <f>IF('Power Building wise'!K25="","",'Power Building wise'!K25)</f>
        <v>4300</v>
      </c>
      <c r="J158" s="205">
        <f>IF('Power Building wise'!L25="","",'Power Building wise'!L25)</f>
        <v>4300</v>
      </c>
      <c r="K158" s="205" t="str">
        <f>IF('Power Building wise'!M25="","",'Power Building wise'!M25)</f>
        <v/>
      </c>
      <c r="L158" s="205" t="str">
        <f>IF('Power Building wise'!N25="","",'Power Building wise'!N25)</f>
        <v/>
      </c>
      <c r="M158" s="205" t="str">
        <f>IF('Power Building wise'!O25="","",'Power Building wise'!O25)</f>
        <v/>
      </c>
      <c r="N158" s="205" t="str">
        <f>IF('Power Building wise'!P25="","",'Power Building wise'!P25)</f>
        <v/>
      </c>
      <c r="O158" s="205">
        <f>'Power Building wise'!D25</f>
        <v>7486.5</v>
      </c>
      <c r="P158" s="205"/>
      <c r="Q158" s="205">
        <f>IFERROR(IF($B$3="2026 YTD",AVERAGE($C158:$N158),INDEX($C158:$N158,MATCH($B$3,$E$4:$E$15,0))),"")</f>
        <v>4300</v>
      </c>
      <c r="R158" s="205">
        <f>IF(COUNT(C158:N158)=0,"",SUM(C158:N158))</f>
        <v>50000</v>
      </c>
      <c r="S158" s="222">
        <f>IFERROR(IF(OR(Q158="",O158="",O158=0),"",Q158/O158-1),"")</f>
        <v>-0.42563280571695716</v>
      </c>
      <c r="T158" s="213">
        <f>IFERROR(Q158/SUM($Q$136:$Q$160),"")</f>
        <v>2.4721452471570329E-2</v>
      </c>
      <c r="U158" s="205">
        <f>IFERROR(IF($B$5="2026 YTD",AVERAGE($C158:$N158),INDEX($C158:$N158,MATCH($B$5,$E$4:$E$15,0))),"")</f>
        <v>4300</v>
      </c>
      <c r="V158">
        <f>COUNT(C158:N158)</f>
        <v>8</v>
      </c>
      <c r="W158" s="205">
        <f>IFERROR(AVERAGE(C158:N158),"")</f>
        <v>6250</v>
      </c>
    </row>
    <row r="159" spans="1:23" x14ac:dyDescent="0.2">
      <c r="A159" t="str">
        <f>'Power Building wise'!B26</f>
        <v>Commons</v>
      </c>
      <c r="B159">
        <f>'Power Building wise'!C26</f>
        <v>32877.5</v>
      </c>
      <c r="C159" s="205">
        <f>IF('Power Building wise'!E26="","",'Power Building wise'!E26)</f>
        <v>12770</v>
      </c>
      <c r="D159" s="205">
        <f>IF('Power Building wise'!F26="","",'Power Building wise'!F26)</f>
        <v>15830</v>
      </c>
      <c r="E159" s="205">
        <f>IF('Power Building wise'!G26="","",'Power Building wise'!G26)</f>
        <v>19230</v>
      </c>
      <c r="F159" s="205">
        <f>IF('Power Building wise'!H26="","",'Power Building wise'!H26)</f>
        <v>25480</v>
      </c>
      <c r="G159" s="205">
        <f>IF('Power Building wise'!I26="","",'Power Building wise'!I26)</f>
        <v>27890</v>
      </c>
      <c r="H159" s="205">
        <f>IF('Power Building wise'!J26="","",'Power Building wise'!J26)</f>
        <v>19950</v>
      </c>
      <c r="I159" s="205">
        <f>IF('Power Building wise'!K26="","",'Power Building wise'!K26)</f>
        <v>21650</v>
      </c>
      <c r="J159" s="205">
        <f>IF('Power Building wise'!L26="","",'Power Building wise'!L26)</f>
        <v>25640</v>
      </c>
      <c r="K159" s="205" t="str">
        <f>IF('Power Building wise'!M26="","",'Power Building wise'!M26)</f>
        <v/>
      </c>
      <c r="L159" s="205" t="str">
        <f>IF('Power Building wise'!N26="","",'Power Building wise'!N26)</f>
        <v/>
      </c>
      <c r="M159" s="205" t="str">
        <f>IF('Power Building wise'!O26="","",'Power Building wise'!O26)</f>
        <v/>
      </c>
      <c r="N159" s="205" t="str">
        <f>IF('Power Building wise'!P26="","",'Power Building wise'!P26)</f>
        <v/>
      </c>
      <c r="O159" s="205">
        <f>'Power Building wise'!D26</f>
        <v>25376.833333333201</v>
      </c>
      <c r="P159" s="205"/>
      <c r="Q159" s="205">
        <f>IFERROR(IF($B$3="2026 YTD",AVERAGE($C159:$N159),INDEX($C159:$N159,MATCH($B$3,$E$4:$E$15,0))),"")</f>
        <v>25640</v>
      </c>
      <c r="R159" s="205">
        <f>IF(COUNT(C159:N159)=0,"",SUM(C159:N159))</f>
        <v>168440</v>
      </c>
      <c r="S159" s="222">
        <f>IFERROR(IF(OR(Q159="",O159="",O159=0),"",Q159/O159-1),"")</f>
        <v>1.037035091061278E-2</v>
      </c>
      <c r="T159" s="213">
        <f>IFERROR(Q159/SUM($Q$136:$Q$160),"")</f>
        <v>0.14740884683047983</v>
      </c>
      <c r="U159" s="205">
        <f>IFERROR(IF($B$5="2026 YTD",AVERAGE($C159:$N159),INDEX($C159:$N159,MATCH($B$5,$E$4:$E$15,0))),"")</f>
        <v>25640</v>
      </c>
      <c r="V159">
        <f>COUNT(C159:N159)</f>
        <v>8</v>
      </c>
      <c r="W159" s="205">
        <f>IFERROR(AVERAGE(C159:N159),"")</f>
        <v>21055</v>
      </c>
    </row>
    <row r="160" spans="1:23" x14ac:dyDescent="0.2">
      <c r="A160" t="str">
        <f>'Power Building wise'!B27</f>
        <v>Nursary</v>
      </c>
      <c r="B160">
        <f>'Power Building wise'!C27</f>
        <v>303.2475</v>
      </c>
      <c r="C160" s="205">
        <f>IF('Power Building wise'!E27="","",'Power Building wise'!E27)</f>
        <v>780</v>
      </c>
      <c r="D160" s="205">
        <f>IF('Power Building wise'!F27="","",'Power Building wise'!F27)</f>
        <v>1440</v>
      </c>
      <c r="E160" s="205">
        <f>IF('Power Building wise'!G27="","",'Power Building wise'!G27)</f>
        <v>3957</v>
      </c>
      <c r="F160" s="205">
        <f>IF('Power Building wise'!H27="","",'Power Building wise'!H27)</f>
        <v>8560.2999999999993</v>
      </c>
      <c r="G160" s="205">
        <f>IF('Power Building wise'!I27="","",'Power Building wise'!I27)</f>
        <v>7497.7</v>
      </c>
      <c r="H160" s="205">
        <f>IF('Power Building wise'!J27="","",'Power Building wise'!J27)</f>
        <v>2035.8</v>
      </c>
      <c r="I160" s="205">
        <f>IF('Power Building wise'!K27="","",'Power Building wise'!K27)</f>
        <v>2497.9</v>
      </c>
      <c r="J160" s="205">
        <f>IF('Power Building wise'!L27="","",'Power Building wise'!L27)</f>
        <v>4852</v>
      </c>
      <c r="K160" s="205" t="str">
        <f>IF('Power Building wise'!M27="","",'Power Building wise'!M27)</f>
        <v/>
      </c>
      <c r="L160" s="205" t="str">
        <f>IF('Power Building wise'!N27="","",'Power Building wise'!N27)</f>
        <v/>
      </c>
      <c r="M160" s="205" t="str">
        <f>IF('Power Building wise'!O27="","",'Power Building wise'!O27)</f>
        <v/>
      </c>
      <c r="N160" s="205" t="str">
        <f>IF('Power Building wise'!P27="","",'Power Building wise'!P27)</f>
        <v/>
      </c>
      <c r="O160" s="205">
        <f>'Power Building wise'!D27</f>
        <v>2515.2083333333198</v>
      </c>
      <c r="P160" s="205"/>
      <c r="Q160" s="205">
        <f>IFERROR(IF($B$3="2026 YTD",AVERAGE($C160:$N160),INDEX($C160:$N160,MATCH($B$3,$E$4:$E$15,0))),"")</f>
        <v>4852</v>
      </c>
      <c r="R160" s="205">
        <f>IF(COUNT(C160:N160)=0,"",SUM(C160:N160))</f>
        <v>31620.7</v>
      </c>
      <c r="S160" s="222">
        <f>IFERROR(IF(OR(Q160="",O160="",O160=0),"",Q160/O160-1),"")</f>
        <v>0.92906485546261286</v>
      </c>
      <c r="T160" s="213">
        <f>IFERROR(Q160/SUM($Q$136:$Q$160),"")</f>
        <v>2.7894997067920754E-2</v>
      </c>
      <c r="U160" s="205">
        <f>IFERROR(IF($B$5="2026 YTD",AVERAGE($C160:$N160),INDEX($C160:$N160,MATCH($B$5,$E$4:$E$15,0))),"")</f>
        <v>4852</v>
      </c>
      <c r="V160">
        <f>COUNT(C160:N160)</f>
        <v>8</v>
      </c>
      <c r="W160" s="205">
        <f>IFERROR(AVERAGE(C160:N160),"")</f>
        <v>3952.5875000000001</v>
      </c>
    </row>
    <row r="163" spans="1:23" ht="15.75" x14ac:dyDescent="0.25">
      <c r="A163" s="208" t="s">
        <v>842</v>
      </c>
    </row>
    <row r="164" spans="1:23" ht="15" x14ac:dyDescent="0.2">
      <c r="A164" s="202" t="s">
        <v>122</v>
      </c>
      <c r="B164" s="202" t="s">
        <v>840</v>
      </c>
      <c r="C164" s="202" t="s">
        <v>123</v>
      </c>
      <c r="D164" s="202" t="s">
        <v>124</v>
      </c>
      <c r="E164" s="202" t="s">
        <v>125</v>
      </c>
      <c r="F164" s="202" t="s">
        <v>126</v>
      </c>
      <c r="G164" s="202" t="s">
        <v>127</v>
      </c>
      <c r="H164" s="202" t="s">
        <v>128</v>
      </c>
      <c r="I164" s="202" t="s">
        <v>129</v>
      </c>
      <c r="J164" s="202" t="s">
        <v>7</v>
      </c>
      <c r="K164" s="202" t="s">
        <v>130</v>
      </c>
      <c r="L164" s="202" t="s">
        <v>131</v>
      </c>
      <c r="M164" s="202" t="s">
        <v>132</v>
      </c>
      <c r="N164" s="202" t="s">
        <v>133</v>
      </c>
      <c r="O164" s="202" t="s">
        <v>139</v>
      </c>
      <c r="P164" s="202" t="s">
        <v>840</v>
      </c>
      <c r="Q164" s="202" t="s">
        <v>835</v>
      </c>
      <c r="R164" s="202" t="s">
        <v>836</v>
      </c>
      <c r="S164" s="202" t="s">
        <v>841</v>
      </c>
      <c r="T164" s="202" t="s">
        <v>137</v>
      </c>
      <c r="U164" s="202" t="s">
        <v>838</v>
      </c>
      <c r="V164" s="202" t="s">
        <v>720</v>
      </c>
      <c r="W164" s="202" t="s">
        <v>316</v>
      </c>
    </row>
    <row r="165" spans="1:23" x14ac:dyDescent="0.2">
      <c r="A165" t="str">
        <f>'HVAC consumption'!C5</f>
        <v>JS</v>
      </c>
      <c r="C165" s="205">
        <f>IF('HVAC consumption'!C8="","",'HVAC consumption'!C8)</f>
        <v>550</v>
      </c>
      <c r="D165" s="205">
        <f>IF('HVAC consumption'!C9="","",'HVAC consumption'!C9)</f>
        <v>1730</v>
      </c>
      <c r="E165" s="205">
        <f>IF('HVAC consumption'!C10="","",'HVAC consumption'!C10)</f>
        <v>5630</v>
      </c>
      <c r="F165" s="205">
        <f>IF('HVAC consumption'!C11="","",'HVAC consumption'!C11)</f>
        <v>9640</v>
      </c>
      <c r="G165" s="205">
        <f>IF('HVAC consumption'!C12="","",'HVAC consumption'!C12)</f>
        <v>4250</v>
      </c>
      <c r="H165" s="205">
        <f>IF('HVAC consumption'!C13="","",'HVAC consumption'!C13)</f>
        <v>1280</v>
      </c>
      <c r="I165" s="205">
        <f>IF('HVAC consumption'!C14="","",'HVAC consumption'!C14)</f>
        <v>3850</v>
      </c>
      <c r="J165" s="205">
        <f>IF('HVAC consumption'!C15="","",'HVAC consumption'!C15)</f>
        <v>2457</v>
      </c>
      <c r="K165" s="205" t="str">
        <f>IF('HVAC consumption'!C16="","",'HVAC consumption'!C16)</f>
        <v/>
      </c>
      <c r="L165" s="205" t="str">
        <f>IF('HVAC consumption'!C17="","",'HVAC consumption'!C17)</f>
        <v/>
      </c>
      <c r="M165" s="205" t="str">
        <f>IF('HVAC consumption'!C18="","",'HVAC consumption'!C18)</f>
        <v/>
      </c>
      <c r="N165" s="205" t="str">
        <f>IF('HVAC consumption'!C19="","",'HVAC consumption'!C19)</f>
        <v/>
      </c>
      <c r="O165" s="205">
        <f>'HVAC consumption'!C7</f>
        <v>2851.9090909090901</v>
      </c>
      <c r="P165" s="205"/>
      <c r="Q165" s="205">
        <f t="shared" ref="Q165:Q175" si="64">IFERROR(IF($B$3="2026 YTD",AVERAGE($C165:$N165),INDEX($C165:$N165,MATCH($B$3,$E$4:$E$15,0))),"")</f>
        <v>2457</v>
      </c>
      <c r="R165" s="205">
        <f t="shared" ref="R165:R175" si="65">IF(COUNT(C165:N165)=0,"",SUM(C165:N165))</f>
        <v>29387</v>
      </c>
      <c r="S165" s="222">
        <f t="shared" ref="S165:S175" si="66">IFERROR(IF(OR(Q165="",O165="",O165=0),"",Q165/O165-1),"")</f>
        <v>-0.13847183704695398</v>
      </c>
      <c r="T165" s="213">
        <f t="shared" ref="T165:T175" si="67">IFERROR(Q165/SUM($Q$165:$Q$175),"")</f>
        <v>0.11189604825238138</v>
      </c>
      <c r="U165" s="205">
        <f t="shared" ref="U165:U175" si="68">IFERROR(IF($B$5="2026 YTD",AVERAGE($C165:$N165),INDEX($C165:$N165,MATCH($B$5,$E$4:$E$15,0))),"")</f>
        <v>2457</v>
      </c>
      <c r="V165">
        <f t="shared" ref="V165:V175" si="69">COUNT(C165:N165)</f>
        <v>8</v>
      </c>
      <c r="W165" s="205">
        <f t="shared" ref="W165:W175" si="70">IFERROR(AVERAGE(C165:N165),"")</f>
        <v>3673.375</v>
      </c>
    </row>
    <row r="166" spans="1:23" x14ac:dyDescent="0.2">
      <c r="A166" t="str">
        <f>'HVAC consumption'!D5</f>
        <v>SS</v>
      </c>
      <c r="C166" s="205">
        <f>IF('HVAC consumption'!D8="","",'HVAC consumption'!D8)</f>
        <v>830</v>
      </c>
      <c r="D166" s="205">
        <f>IF('HVAC consumption'!D9="","",'HVAC consumption'!D9)</f>
        <v>2740</v>
      </c>
      <c r="E166" s="205">
        <f>IF('HVAC consumption'!D10="","",'HVAC consumption'!D10)</f>
        <v>7080</v>
      </c>
      <c r="F166" s="205">
        <f>IF('HVAC consumption'!D11="","",'HVAC consumption'!D11)</f>
        <v>11590</v>
      </c>
      <c r="G166" s="205">
        <f>IF('HVAC consumption'!D12="","",'HVAC consumption'!D12)</f>
        <v>2890</v>
      </c>
      <c r="H166" s="205">
        <f>IF('HVAC consumption'!D13="","",'HVAC consumption'!D13)</f>
        <v>2160</v>
      </c>
      <c r="I166" s="205">
        <f>IF('HVAC consumption'!D14="","",'HVAC consumption'!D14)</f>
        <v>4590</v>
      </c>
      <c r="J166" s="205">
        <f>IF('HVAC consumption'!D15="","",'HVAC consumption'!D15)</f>
        <v>4596</v>
      </c>
      <c r="K166" s="205" t="str">
        <f>IF('HVAC consumption'!D16="","",'HVAC consumption'!D16)</f>
        <v/>
      </c>
      <c r="L166" s="205" t="str">
        <f>IF('HVAC consumption'!D17="","",'HVAC consumption'!D17)</f>
        <v/>
      </c>
      <c r="M166" s="205" t="str">
        <f>IF('HVAC consumption'!D18="","",'HVAC consumption'!D18)</f>
        <v/>
      </c>
      <c r="N166" s="205" t="str">
        <f>IF('HVAC consumption'!D19="","",'HVAC consumption'!D19)</f>
        <v/>
      </c>
      <c r="O166" s="205">
        <f>'HVAC consumption'!D7</f>
        <v>2971.54545454545</v>
      </c>
      <c r="P166" s="205"/>
      <c r="Q166" s="205">
        <f t="shared" si="64"/>
        <v>4596</v>
      </c>
      <c r="R166" s="205">
        <f t="shared" si="65"/>
        <v>36476</v>
      </c>
      <c r="S166" s="222">
        <f t="shared" si="66"/>
        <v>0.54666992994156938</v>
      </c>
      <c r="T166" s="213">
        <f t="shared" si="67"/>
        <v>0.2093098240813776</v>
      </c>
      <c r="U166" s="205">
        <f t="shared" si="68"/>
        <v>4596</v>
      </c>
      <c r="V166">
        <f t="shared" si="69"/>
        <v>8</v>
      </c>
      <c r="W166" s="205">
        <f t="shared" si="70"/>
        <v>4559.5</v>
      </c>
    </row>
    <row r="167" spans="1:23" x14ac:dyDescent="0.2">
      <c r="A167" t="str">
        <f>'HVAC consumption'!E5</f>
        <v>SR1</v>
      </c>
      <c r="C167" s="205">
        <f>IF('HVAC consumption'!E8="","",'HVAC consumption'!E8)</f>
        <v>257</v>
      </c>
      <c r="D167" s="205">
        <f>IF('HVAC consumption'!E9="","",'HVAC consumption'!E9)</f>
        <v>694</v>
      </c>
      <c r="E167" s="205">
        <f>IF('HVAC consumption'!E10="","",'HVAC consumption'!E10)</f>
        <v>1918</v>
      </c>
      <c r="F167" s="205">
        <f>IF('HVAC consumption'!E11="","",'HVAC consumption'!E11)</f>
        <v>2771</v>
      </c>
      <c r="G167" s="205">
        <f>IF('HVAC consumption'!E12="","",'HVAC consumption'!E12)</f>
        <v>1351.4</v>
      </c>
      <c r="H167" s="205">
        <f>IF('HVAC consumption'!E13="","",'HVAC consumption'!E13)</f>
        <v>1300</v>
      </c>
      <c r="I167" s="205">
        <f>IF('HVAC consumption'!E14="","",'HVAC consumption'!E14)</f>
        <v>1536</v>
      </c>
      <c r="J167" s="205">
        <f>IF('HVAC consumption'!E15="","",'HVAC consumption'!E15)</f>
        <v>1137</v>
      </c>
      <c r="K167" s="205" t="str">
        <f>IF('HVAC consumption'!E16="","",'HVAC consumption'!E16)</f>
        <v/>
      </c>
      <c r="L167" s="205" t="str">
        <f>IF('HVAC consumption'!E17="","",'HVAC consumption'!E17)</f>
        <v/>
      </c>
      <c r="M167" s="205" t="str">
        <f>IF('HVAC consumption'!E18="","",'HVAC consumption'!E18)</f>
        <v/>
      </c>
      <c r="N167" s="205" t="str">
        <f>IF('HVAC consumption'!E19="","",'HVAC consumption'!E19)</f>
        <v/>
      </c>
      <c r="O167" s="205">
        <f>'HVAC consumption'!E7</f>
        <v>997.41666666666595</v>
      </c>
      <c r="P167" s="205"/>
      <c r="Q167" s="205">
        <f t="shared" si="64"/>
        <v>1137</v>
      </c>
      <c r="R167" s="205">
        <f t="shared" si="65"/>
        <v>10964.4</v>
      </c>
      <c r="S167" s="222">
        <f t="shared" si="66"/>
        <v>0.13994485754866814</v>
      </c>
      <c r="T167" s="213">
        <f t="shared" si="67"/>
        <v>5.1780955174178925E-2</v>
      </c>
      <c r="U167" s="205">
        <f t="shared" si="68"/>
        <v>1137</v>
      </c>
      <c r="V167">
        <f t="shared" si="69"/>
        <v>8</v>
      </c>
      <c r="W167" s="205">
        <f t="shared" si="70"/>
        <v>1370.55</v>
      </c>
    </row>
    <row r="168" spans="1:23" x14ac:dyDescent="0.2">
      <c r="A168" t="str">
        <f>'HVAC consumption'!F5</f>
        <v>SR2</v>
      </c>
      <c r="C168" s="205">
        <f>IF('HVAC consumption'!F8="","",'HVAC consumption'!F8)</f>
        <v>358.3</v>
      </c>
      <c r="D168" s="205">
        <f>IF('HVAC consumption'!F9="","",'HVAC consumption'!F9)</f>
        <v>732</v>
      </c>
      <c r="E168" s="205">
        <f>IF('HVAC consumption'!F10="","",'HVAC consumption'!F10)</f>
        <v>2624</v>
      </c>
      <c r="F168" s="205">
        <f>IF('HVAC consumption'!F11="","",'HVAC consumption'!F11)</f>
        <v>4027</v>
      </c>
      <c r="G168" s="205">
        <f>IF('HVAC consumption'!F12="","",'HVAC consumption'!F12)</f>
        <v>4427</v>
      </c>
      <c r="H168" s="205">
        <f>IF('HVAC consumption'!F13="","",'HVAC consumption'!F13)</f>
        <v>1552</v>
      </c>
      <c r="I168" s="205">
        <f>IF('HVAC consumption'!F14="","",'HVAC consumption'!F14)</f>
        <v>1701.9</v>
      </c>
      <c r="J168" s="205">
        <f>IF('HVAC consumption'!F15="","",'HVAC consumption'!F15)</f>
        <v>1271</v>
      </c>
      <c r="K168" s="205" t="str">
        <f>IF('HVAC consumption'!F16="","",'HVAC consumption'!F16)</f>
        <v/>
      </c>
      <c r="L168" s="205" t="str">
        <f>IF('HVAC consumption'!F17="","",'HVAC consumption'!F17)</f>
        <v/>
      </c>
      <c r="M168" s="205" t="str">
        <f>IF('HVAC consumption'!F18="","",'HVAC consumption'!F18)</f>
        <v/>
      </c>
      <c r="N168" s="205" t="str">
        <f>IF('HVAC consumption'!F19="","",'HVAC consumption'!F19)</f>
        <v/>
      </c>
      <c r="O168" s="205">
        <f>'HVAC consumption'!F7</f>
        <v>1380.13333333333</v>
      </c>
      <c r="P168" s="205"/>
      <c r="Q168" s="205">
        <f t="shared" si="64"/>
        <v>1271</v>
      </c>
      <c r="R168" s="205">
        <f t="shared" si="65"/>
        <v>16693.199999999997</v>
      </c>
      <c r="S168" s="222">
        <f t="shared" si="66"/>
        <v>-7.9074485556948848E-2</v>
      </c>
      <c r="T168" s="213">
        <f t="shared" si="67"/>
        <v>5.7883547956360082E-2</v>
      </c>
      <c r="U168" s="205">
        <f t="shared" si="68"/>
        <v>1271</v>
      </c>
      <c r="V168">
        <f t="shared" si="69"/>
        <v>8</v>
      </c>
      <c r="W168" s="205">
        <f t="shared" si="70"/>
        <v>2086.6499999999996</v>
      </c>
    </row>
    <row r="169" spans="1:23" x14ac:dyDescent="0.2">
      <c r="A169" t="str">
        <f>'HVAC consumption'!G5</f>
        <v>SR3</v>
      </c>
      <c r="C169" s="205">
        <f>IF('HVAC consumption'!G8="","",'HVAC consumption'!G8)</f>
        <v>87</v>
      </c>
      <c r="D169" s="205">
        <f>IF('HVAC consumption'!G9="","",'HVAC consumption'!G9)</f>
        <v>273</v>
      </c>
      <c r="E169" s="205">
        <f>IF('HVAC consumption'!G10="","",'HVAC consumption'!G10)</f>
        <v>1078</v>
      </c>
      <c r="F169" s="205">
        <f>IF('HVAC consumption'!G11="","",'HVAC consumption'!G11)</f>
        <v>1640</v>
      </c>
      <c r="G169" s="205">
        <f>IF('HVAC consumption'!G12="","",'HVAC consumption'!G12)</f>
        <v>287</v>
      </c>
      <c r="H169" s="205">
        <f>IF('HVAC consumption'!G13="","",'HVAC consumption'!G13)</f>
        <v>1506</v>
      </c>
      <c r="I169" s="205">
        <f>IF('HVAC consumption'!G14="","",'HVAC consumption'!G14)</f>
        <v>1321</v>
      </c>
      <c r="J169" s="205">
        <f>IF('HVAC consumption'!G15="","",'HVAC consumption'!G15)</f>
        <v>485</v>
      </c>
      <c r="K169" s="205" t="str">
        <f>IF('HVAC consumption'!G16="","",'HVAC consumption'!G16)</f>
        <v/>
      </c>
      <c r="L169" s="205" t="str">
        <f>IF('HVAC consumption'!G17="","",'HVAC consumption'!G17)</f>
        <v/>
      </c>
      <c r="M169" s="205" t="str">
        <f>IF('HVAC consumption'!G18="","",'HVAC consumption'!G18)</f>
        <v/>
      </c>
      <c r="N169" s="205" t="str">
        <f>IF('HVAC consumption'!G19="","",'HVAC consumption'!G19)</f>
        <v/>
      </c>
      <c r="O169" s="205">
        <f>'HVAC consumption'!G7</f>
        <v>822.91666666666595</v>
      </c>
      <c r="P169" s="205"/>
      <c r="Q169" s="205">
        <f t="shared" si="64"/>
        <v>485</v>
      </c>
      <c r="R169" s="205">
        <f t="shared" si="65"/>
        <v>6677</v>
      </c>
      <c r="S169" s="222">
        <f t="shared" si="66"/>
        <v>-0.41063291139240454</v>
      </c>
      <c r="T169" s="213">
        <f t="shared" si="67"/>
        <v>2.2087742532521354E-2</v>
      </c>
      <c r="U169" s="205">
        <f t="shared" si="68"/>
        <v>485</v>
      </c>
      <c r="V169">
        <f t="shared" si="69"/>
        <v>8</v>
      </c>
      <c r="W169" s="205">
        <f t="shared" si="70"/>
        <v>834.625</v>
      </c>
    </row>
    <row r="170" spans="1:23" x14ac:dyDescent="0.2">
      <c r="A170" t="str">
        <f>'HVAC consumption'!H5</f>
        <v>SR4</v>
      </c>
      <c r="C170" s="205">
        <f>IF('HVAC consumption'!H8="","",'HVAC consumption'!H8)</f>
        <v>95</v>
      </c>
      <c r="D170" s="205">
        <f>IF('HVAC consumption'!H9="","",'HVAC consumption'!H9)</f>
        <v>478</v>
      </c>
      <c r="E170" s="205">
        <f>IF('HVAC consumption'!H10="","",'HVAC consumption'!H10)</f>
        <v>1879</v>
      </c>
      <c r="F170" s="205">
        <f>IF('HVAC consumption'!H11="","",'HVAC consumption'!H11)</f>
        <v>3058</v>
      </c>
      <c r="G170" s="205">
        <f>IF('HVAC consumption'!H12="","",'HVAC consumption'!H12)</f>
        <v>1307</v>
      </c>
      <c r="H170" s="205">
        <f>IF('HVAC consumption'!H13="","",'HVAC consumption'!H13)</f>
        <v>1300</v>
      </c>
      <c r="I170" s="205">
        <f>IF('HVAC consumption'!H14="","",'HVAC consumption'!H14)</f>
        <v>1090.2</v>
      </c>
      <c r="J170" s="205">
        <f>IF('HVAC consumption'!H15="","",'HVAC consumption'!H15)</f>
        <v>420.28</v>
      </c>
      <c r="K170" s="205" t="str">
        <f>IF('HVAC consumption'!H16="","",'HVAC consumption'!H16)</f>
        <v/>
      </c>
      <c r="L170" s="205" t="str">
        <f>IF('HVAC consumption'!H17="","",'HVAC consumption'!H17)</f>
        <v/>
      </c>
      <c r="M170" s="205" t="str">
        <f>IF('HVAC consumption'!H18="","",'HVAC consumption'!H18)</f>
        <v/>
      </c>
      <c r="N170" s="205" t="str">
        <f>IF('HVAC consumption'!H19="","",'HVAC consumption'!H19)</f>
        <v/>
      </c>
      <c r="O170" s="205">
        <f>'HVAC consumption'!H7</f>
        <v>777.76666666666597</v>
      </c>
      <c r="P170" s="205"/>
      <c r="Q170" s="205">
        <f t="shared" si="64"/>
        <v>420.28</v>
      </c>
      <c r="R170" s="205">
        <f t="shared" si="65"/>
        <v>9627.4800000000014</v>
      </c>
      <c r="S170" s="222">
        <f t="shared" si="66"/>
        <v>-0.45963228046114901</v>
      </c>
      <c r="T170" s="213">
        <f t="shared" si="67"/>
        <v>1.9140281302202213E-2</v>
      </c>
      <c r="U170" s="205">
        <f t="shared" si="68"/>
        <v>420.28</v>
      </c>
      <c r="V170">
        <f t="shared" si="69"/>
        <v>8</v>
      </c>
      <c r="W170" s="205">
        <f t="shared" si="70"/>
        <v>1203.4350000000002</v>
      </c>
    </row>
    <row r="171" spans="1:23" x14ac:dyDescent="0.2">
      <c r="A171" t="str">
        <f>'HVAC consumption'!I5</f>
        <v>SR9/10A</v>
      </c>
      <c r="C171" s="205">
        <f>IF('HVAC consumption'!I8="","",'HVAC consumption'!I8)</f>
        <v>647.00000000000603</v>
      </c>
      <c r="D171" s="205">
        <f>IF('HVAC consumption'!I9="","",'HVAC consumption'!I9)</f>
        <v>1267</v>
      </c>
      <c r="E171" s="205">
        <f>IF('HVAC consumption'!I10="","",'HVAC consumption'!I10)</f>
        <v>4920</v>
      </c>
      <c r="F171" s="205">
        <f>IF('HVAC consumption'!I11="","",'HVAC consumption'!I11)</f>
        <v>7895</v>
      </c>
      <c r="G171" s="205">
        <f>IF('HVAC consumption'!I12="","",'HVAC consumption'!I12)</f>
        <v>3153</v>
      </c>
      <c r="H171" s="205">
        <f>IF('HVAC consumption'!I13="","",'HVAC consumption'!I13)</f>
        <v>794</v>
      </c>
      <c r="I171" s="205">
        <f>IF('HVAC consumption'!I14="","",'HVAC consumption'!I14)</f>
        <v>3572</v>
      </c>
      <c r="J171" s="205">
        <f>IF('HVAC consumption'!I15="","",'HVAC consumption'!I15)</f>
        <v>2376</v>
      </c>
      <c r="K171" s="205" t="str">
        <f>IF('HVAC consumption'!I16="","",'HVAC consumption'!I16)</f>
        <v/>
      </c>
      <c r="L171" s="205" t="str">
        <f>IF('HVAC consumption'!I17="","",'HVAC consumption'!I17)</f>
        <v/>
      </c>
      <c r="M171" s="205" t="str">
        <f>IF('HVAC consumption'!I18="","",'HVAC consumption'!I18)</f>
        <v/>
      </c>
      <c r="N171" s="205" t="str">
        <f>IF('HVAC consumption'!I19="","",'HVAC consumption'!I19)</f>
        <v/>
      </c>
      <c r="O171" s="205">
        <f>'HVAC consumption'!I7</f>
        <v>2576.11666666667</v>
      </c>
      <c r="P171" s="205"/>
      <c r="Q171" s="205">
        <f t="shared" si="64"/>
        <v>2376</v>
      </c>
      <c r="R171" s="205">
        <f t="shared" si="65"/>
        <v>24624.000000000007</v>
      </c>
      <c r="S171" s="222">
        <f t="shared" si="66"/>
        <v>-7.7681523222940085E-2</v>
      </c>
      <c r="T171" s="213">
        <f t="shared" si="67"/>
        <v>0.1082071675407644</v>
      </c>
      <c r="U171" s="205">
        <f t="shared" si="68"/>
        <v>2376</v>
      </c>
      <c r="V171">
        <f t="shared" si="69"/>
        <v>8</v>
      </c>
      <c r="W171" s="205">
        <f t="shared" si="70"/>
        <v>3078.0000000000009</v>
      </c>
    </row>
    <row r="172" spans="1:23" x14ac:dyDescent="0.2">
      <c r="A172" t="str">
        <f>'HVAC consumption'!J5</f>
        <v>SR9/10B</v>
      </c>
      <c r="C172" s="205">
        <f>IF('HVAC consumption'!J8="","",'HVAC consumption'!J8)</f>
        <v>376</v>
      </c>
      <c r="D172" s="205">
        <f>IF('HVAC consumption'!J9="","",'HVAC consumption'!J9)</f>
        <v>1505</v>
      </c>
      <c r="E172" s="205">
        <f>IF('HVAC consumption'!J10="","",'HVAC consumption'!J10)</f>
        <v>5267</v>
      </c>
      <c r="F172" s="205">
        <f>IF('HVAC consumption'!J11="","",'HVAC consumption'!J11)</f>
        <v>6713</v>
      </c>
      <c r="G172" s="205">
        <f>IF('HVAC consumption'!J12="","",'HVAC consumption'!J12)</f>
        <v>1399</v>
      </c>
      <c r="H172" s="205">
        <f>IF('HVAC consumption'!J13="","",'HVAC consumption'!J13)</f>
        <v>243.4</v>
      </c>
      <c r="I172" s="205">
        <f>IF('HVAC consumption'!J14="","",'HVAC consumption'!J14)</f>
        <v>3524.1</v>
      </c>
      <c r="J172" s="205">
        <f>IF('HVAC consumption'!J15="","",'HVAC consumption'!J15)</f>
        <v>2647</v>
      </c>
      <c r="K172" s="205" t="str">
        <f>IF('HVAC consumption'!J16="","",'HVAC consumption'!J16)</f>
        <v/>
      </c>
      <c r="L172" s="205" t="str">
        <f>IF('HVAC consumption'!J17="","",'HVAC consumption'!J17)</f>
        <v/>
      </c>
      <c r="M172" s="205" t="str">
        <f>IF('HVAC consumption'!J18="","",'HVAC consumption'!J18)</f>
        <v/>
      </c>
      <c r="N172" s="205" t="str">
        <f>IF('HVAC consumption'!J19="","",'HVAC consumption'!J19)</f>
        <v/>
      </c>
      <c r="O172" s="205">
        <f>'HVAC consumption'!J7</f>
        <v>2139.2083333333198</v>
      </c>
      <c r="P172" s="205"/>
      <c r="Q172" s="205">
        <f t="shared" si="64"/>
        <v>2647</v>
      </c>
      <c r="R172" s="205">
        <f t="shared" si="65"/>
        <v>21674.5</v>
      </c>
      <c r="S172" s="222">
        <f t="shared" si="66"/>
        <v>0.23737363900197495</v>
      </c>
      <c r="T172" s="213">
        <f t="shared" si="67"/>
        <v>0.12054897831666808</v>
      </c>
      <c r="U172" s="205">
        <f t="shared" si="68"/>
        <v>2647</v>
      </c>
      <c r="V172">
        <f t="shared" si="69"/>
        <v>8</v>
      </c>
      <c r="W172" s="205">
        <f t="shared" si="70"/>
        <v>2709.3125</v>
      </c>
    </row>
    <row r="173" spans="1:23" x14ac:dyDescent="0.2">
      <c r="A173" t="str">
        <f>'HVAC consumption'!K5</f>
        <v>SR11/12CA</v>
      </c>
      <c r="C173" s="205">
        <f>IF('HVAC consumption'!K8="","",'HVAC consumption'!K8)</f>
        <v>262.5</v>
      </c>
      <c r="D173" s="205">
        <f>IF('HVAC consumption'!K9="","",'HVAC consumption'!K9)</f>
        <v>917</v>
      </c>
      <c r="E173" s="205">
        <f>IF('HVAC consumption'!K10="","",'HVAC consumption'!K10)</f>
        <v>2639</v>
      </c>
      <c r="F173" s="205">
        <f>IF('HVAC consumption'!K11="","",'HVAC consumption'!K11)</f>
        <v>4819</v>
      </c>
      <c r="G173" s="205">
        <f>IF('HVAC consumption'!K12="","",'HVAC consumption'!K12)</f>
        <v>1495</v>
      </c>
      <c r="H173" s="205">
        <f>IF('HVAC consumption'!K13="","",'HVAC consumption'!K13)</f>
        <v>735.5</v>
      </c>
      <c r="I173" s="205">
        <f>IF('HVAC consumption'!K14="","",'HVAC consumption'!K14)</f>
        <v>1453.3</v>
      </c>
      <c r="J173" s="205">
        <f>IF('HVAC consumption'!K15="","",'HVAC consumption'!K15)</f>
        <v>1331.6</v>
      </c>
      <c r="K173" s="205" t="str">
        <f>IF('HVAC consumption'!K16="","",'HVAC consumption'!K16)</f>
        <v/>
      </c>
      <c r="L173" s="205" t="str">
        <f>IF('HVAC consumption'!K17="","",'HVAC consumption'!K17)</f>
        <v/>
      </c>
      <c r="M173" s="205" t="str">
        <f>IF('HVAC consumption'!K18="","",'HVAC consumption'!K18)</f>
        <v/>
      </c>
      <c r="N173" s="205" t="str">
        <f>IF('HVAC consumption'!K19="","",'HVAC consumption'!K19)</f>
        <v/>
      </c>
      <c r="O173" s="205">
        <f>'HVAC consumption'!K7</f>
        <v>1793.9749999999899</v>
      </c>
      <c r="P173" s="205"/>
      <c r="Q173" s="205">
        <f t="shared" si="64"/>
        <v>1331.6</v>
      </c>
      <c r="R173" s="205">
        <f t="shared" si="65"/>
        <v>13652.9</v>
      </c>
      <c r="S173" s="222">
        <f t="shared" si="66"/>
        <v>-0.25773770537493146</v>
      </c>
      <c r="T173" s="213">
        <f t="shared" si="67"/>
        <v>6.064337722949574E-2</v>
      </c>
      <c r="U173" s="205">
        <f t="shared" si="68"/>
        <v>1331.6</v>
      </c>
      <c r="V173">
        <f t="shared" si="69"/>
        <v>8</v>
      </c>
      <c r="W173" s="205">
        <f t="shared" si="70"/>
        <v>1706.6125</v>
      </c>
    </row>
    <row r="174" spans="1:23" x14ac:dyDescent="0.2">
      <c r="A174" t="str">
        <f>'HVAC consumption'!L5</f>
        <v>SR11/12CB</v>
      </c>
      <c r="C174" s="205">
        <f>IF('HVAC consumption'!L8="","",'HVAC consumption'!L8)</f>
        <v>733</v>
      </c>
      <c r="D174" s="205">
        <f>IF('HVAC consumption'!L9="","",'HVAC consumption'!L9)</f>
        <v>1556</v>
      </c>
      <c r="E174" s="205">
        <f>IF('HVAC consumption'!L10="","",'HVAC consumption'!L10)</f>
        <v>4099</v>
      </c>
      <c r="F174" s="205">
        <f>IF('HVAC consumption'!L11="","",'HVAC consumption'!L11)</f>
        <v>6261</v>
      </c>
      <c r="G174" s="205">
        <f>IF('HVAC consumption'!L12="","",'HVAC consumption'!L12)</f>
        <v>2327</v>
      </c>
      <c r="H174" s="205">
        <f>IF('HVAC consumption'!L13="","",'HVAC consumption'!L13)</f>
        <v>1099.5</v>
      </c>
      <c r="I174" s="205">
        <f>IF('HVAC consumption'!L14="","",'HVAC consumption'!L14)</f>
        <v>3374.8</v>
      </c>
      <c r="J174" s="205">
        <f>IF('HVAC consumption'!L15="","",'HVAC consumption'!L15)</f>
        <v>2387</v>
      </c>
      <c r="K174" s="205" t="str">
        <f>IF('HVAC consumption'!L16="","",'HVAC consumption'!L16)</f>
        <v/>
      </c>
      <c r="L174" s="205" t="str">
        <f>IF('HVAC consumption'!L17="","",'HVAC consumption'!L17)</f>
        <v/>
      </c>
      <c r="M174" s="205" t="str">
        <f>IF('HVAC consumption'!L18="","",'HVAC consumption'!L18)</f>
        <v/>
      </c>
      <c r="N174" s="205" t="str">
        <f>IF('HVAC consumption'!L19="","",'HVAC consumption'!L19)</f>
        <v/>
      </c>
      <c r="O174" s="205">
        <f>'HVAC consumption'!L7</f>
        <v>1903.75833333333</v>
      </c>
      <c r="P174" s="205"/>
      <c r="Q174" s="205">
        <f t="shared" si="64"/>
        <v>2387</v>
      </c>
      <c r="R174" s="205">
        <f t="shared" si="65"/>
        <v>21837.3</v>
      </c>
      <c r="S174" s="222">
        <f t="shared" si="66"/>
        <v>0.25383561463946536</v>
      </c>
      <c r="T174" s="213">
        <f t="shared" si="67"/>
        <v>0.10870812664974942</v>
      </c>
      <c r="U174" s="205">
        <f t="shared" si="68"/>
        <v>2387</v>
      </c>
      <c r="V174">
        <f t="shared" si="69"/>
        <v>8</v>
      </c>
      <c r="W174" s="205">
        <f t="shared" si="70"/>
        <v>2729.6624999999999</v>
      </c>
    </row>
    <row r="175" spans="1:23" x14ac:dyDescent="0.2">
      <c r="A175" t="str">
        <f>'HVAC consumption'!M5</f>
        <v>Nursery</v>
      </c>
      <c r="C175" s="205">
        <f>IF('HVAC consumption'!M8="","",'HVAC consumption'!M8)</f>
        <v>460</v>
      </c>
      <c r="D175" s="205">
        <f>IF('HVAC consumption'!M9="","",'HVAC consumption'!M9)</f>
        <v>930</v>
      </c>
      <c r="E175" s="205">
        <f>IF('HVAC consumption'!M10="","",'HVAC consumption'!M10)</f>
        <v>1016</v>
      </c>
      <c r="F175" s="205">
        <f>IF('HVAC consumption'!M11="","",'HVAC consumption'!M11)</f>
        <v>3960</v>
      </c>
      <c r="G175" s="205">
        <f>IF('HVAC consumption'!M12="","",'HVAC consumption'!M12)</f>
        <v>1090</v>
      </c>
      <c r="H175" s="205">
        <f>IF('HVAC consumption'!M13="","",'HVAC consumption'!M13)</f>
        <v>0</v>
      </c>
      <c r="I175" s="205">
        <f>IF('HVAC consumption'!M14="","",'HVAC consumption'!M14)</f>
        <v>2820</v>
      </c>
      <c r="J175" s="205">
        <f>IF('HVAC consumption'!M15="","",'HVAC consumption'!M15)</f>
        <v>2850</v>
      </c>
      <c r="K175" s="205" t="str">
        <f>IF('HVAC consumption'!M16="","",'HVAC consumption'!M16)</f>
        <v/>
      </c>
      <c r="L175" s="205" t="str">
        <f>IF('HVAC consumption'!M17="","",'HVAC consumption'!M17)</f>
        <v/>
      </c>
      <c r="M175" s="205" t="str">
        <f>IF('HVAC consumption'!M18="","",'HVAC consumption'!M18)</f>
        <v/>
      </c>
      <c r="N175" s="205" t="str">
        <f>IF('HVAC consumption'!M19="","",'HVAC consumption'!M19)</f>
        <v/>
      </c>
      <c r="O175" s="205">
        <f>'HVAC consumption'!M7</f>
        <v>2724.3333333333198</v>
      </c>
      <c r="P175" s="205"/>
      <c r="Q175" s="205">
        <f t="shared" si="64"/>
        <v>2850</v>
      </c>
      <c r="R175" s="205">
        <f t="shared" si="65"/>
        <v>13126</v>
      </c>
      <c r="S175" s="222">
        <f t="shared" si="66"/>
        <v>4.6127492964644912E-2</v>
      </c>
      <c r="T175" s="213">
        <f t="shared" si="67"/>
        <v>0.12979395096430074</v>
      </c>
      <c r="U175" s="205">
        <f t="shared" si="68"/>
        <v>2850</v>
      </c>
      <c r="V175">
        <f t="shared" si="69"/>
        <v>8</v>
      </c>
      <c r="W175" s="205">
        <f t="shared" si="70"/>
        <v>1640.75</v>
      </c>
    </row>
    <row r="178" spans="1:23" ht="15.75" x14ac:dyDescent="0.25">
      <c r="A178" s="208" t="s">
        <v>843</v>
      </c>
    </row>
    <row r="179" spans="1:23" ht="15" x14ac:dyDescent="0.2">
      <c r="A179" s="202" t="s">
        <v>844</v>
      </c>
      <c r="B179" s="202" t="s">
        <v>840</v>
      </c>
      <c r="C179" s="202" t="s">
        <v>123</v>
      </c>
      <c r="D179" s="202" t="s">
        <v>124</v>
      </c>
      <c r="E179" s="202" t="s">
        <v>125</v>
      </c>
      <c r="F179" s="202" t="s">
        <v>126</v>
      </c>
      <c r="G179" s="202" t="s">
        <v>127</v>
      </c>
      <c r="H179" s="202" t="s">
        <v>128</v>
      </c>
      <c r="I179" s="202" t="s">
        <v>129</v>
      </c>
      <c r="J179" s="202" t="s">
        <v>7</v>
      </c>
      <c r="K179" s="202" t="s">
        <v>130</v>
      </c>
      <c r="L179" s="202" t="s">
        <v>131</v>
      </c>
      <c r="M179" s="202" t="s">
        <v>132</v>
      </c>
      <c r="N179" s="202" t="s">
        <v>133</v>
      </c>
      <c r="O179" s="202" t="s">
        <v>840</v>
      </c>
      <c r="P179" s="202" t="s">
        <v>840</v>
      </c>
      <c r="Q179" s="202" t="s">
        <v>835</v>
      </c>
      <c r="R179" s="202" t="s">
        <v>836</v>
      </c>
      <c r="S179" s="202" t="s">
        <v>840</v>
      </c>
      <c r="T179" s="202" t="s">
        <v>137</v>
      </c>
      <c r="U179" s="202" t="s">
        <v>838</v>
      </c>
      <c r="V179" s="202" t="s">
        <v>720</v>
      </c>
      <c r="W179" s="202" t="s">
        <v>316</v>
      </c>
    </row>
    <row r="180" spans="1:23" x14ac:dyDescent="0.2">
      <c r="A180" t="str">
        <f>PROPER(SUBSTITUTE('Solar Power'!B22,"_"," "))</f>
        <v>Ab Building</v>
      </c>
      <c r="C180" s="205">
        <f>IF('Solar Power'!C22="","",'Solar Power'!C22)</f>
        <v>12661</v>
      </c>
      <c r="D180" s="205">
        <f>IF('Solar Power'!D22="","",'Solar Power'!D22)</f>
        <v>21829</v>
      </c>
      <c r="E180" s="205">
        <f>IF('Solar Power'!E22="","",'Solar Power'!E22)</f>
        <v>23491</v>
      </c>
      <c r="F180" s="205">
        <f>IF('Solar Power'!F22="","",'Solar Power'!F22)</f>
        <v>22775</v>
      </c>
      <c r="G180" s="205">
        <f>IF('Solar Power'!G22="","",'Solar Power'!G22)</f>
        <v>24623</v>
      </c>
      <c r="H180" s="205">
        <f>IF('Solar Power'!H22="","",'Solar Power'!H22)</f>
        <v>21433</v>
      </c>
      <c r="I180" s="205">
        <f>IF('Solar Power'!I22="","",'Solar Power'!I22)</f>
        <v>12655</v>
      </c>
      <c r="J180" s="205">
        <f>IF('Solar Power'!J22="","",'Solar Power'!J22)</f>
        <v>19530</v>
      </c>
      <c r="K180" s="205" t="str">
        <f>IF('Solar Power'!K22="","",'Solar Power'!K22)</f>
        <v/>
      </c>
      <c r="L180" s="205" t="str">
        <f>IF('Solar Power'!L22="","",'Solar Power'!L22)</f>
        <v/>
      </c>
      <c r="M180" s="205" t="str">
        <f>IF('Solar Power'!M22="","",'Solar Power'!M22)</f>
        <v/>
      </c>
      <c r="N180" s="205" t="str">
        <f>IF('Solar Power'!N22="","",'Solar Power'!N22)</f>
        <v/>
      </c>
      <c r="O180" s="205"/>
      <c r="P180" s="205"/>
      <c r="Q180" s="205">
        <f t="shared" ref="Q180:Q189" si="71">IFERROR(IF($B$3="2026 YTD",AVERAGE($C180:$N180),INDEX($C180:$N180,MATCH($B$3,$E$4:$E$15,0))),"")</f>
        <v>19530</v>
      </c>
      <c r="R180" s="205">
        <f t="shared" ref="R180:R189" si="72">IF(COUNT(C180:N180)=0,"",SUM(C180:N180))</f>
        <v>158997</v>
      </c>
      <c r="S180" s="222"/>
      <c r="T180" s="213">
        <f t="shared" ref="T180:T189" si="73">IFERROR(Q180/SUM($Q$180:$Q$189),"")</f>
        <v>0.16849134249553538</v>
      </c>
      <c r="U180" s="205">
        <f t="shared" ref="U180:U189" si="74">IFERROR(IF($B$5="2026 YTD",AVERAGE($C180:$N180),INDEX($C180:$N180,MATCH($B$5,$E$4:$E$15,0))),"")</f>
        <v>19530</v>
      </c>
      <c r="V180">
        <f t="shared" ref="V180:V189" si="75">COUNT(C180:N180)</f>
        <v>8</v>
      </c>
      <c r="W180" s="205">
        <f t="shared" ref="W180:W189" si="76">IFERROR(AVERAGE(C180:N180),"")</f>
        <v>19874.625</v>
      </c>
    </row>
    <row r="181" spans="1:23" x14ac:dyDescent="0.2">
      <c r="A181" t="str">
        <f>PROPER(SUBSTITUTE('Solar Power'!B23,"_"," "))</f>
        <v>Art And Music</v>
      </c>
      <c r="C181" s="205">
        <f>IF('Solar Power'!C23="","",'Solar Power'!C23)</f>
        <v>4548</v>
      </c>
      <c r="D181" s="205">
        <f>IF('Solar Power'!D23="","",'Solar Power'!D23)</f>
        <v>4382.8999999999996</v>
      </c>
      <c r="E181" s="205">
        <f>IF('Solar Power'!E23="","",'Solar Power'!E23)</f>
        <v>5865</v>
      </c>
      <c r="F181" s="205">
        <f>IF('Solar Power'!F23="","",'Solar Power'!F23)</f>
        <v>5550</v>
      </c>
      <c r="G181" s="205">
        <f>IF('Solar Power'!G23="","",'Solar Power'!G23)</f>
        <v>6223</v>
      </c>
      <c r="H181" s="205">
        <f>IF('Solar Power'!H23="","",'Solar Power'!H23)</f>
        <v>5423</v>
      </c>
      <c r="I181" s="205">
        <f>IF('Solar Power'!I23="","",'Solar Power'!I23)</f>
        <v>4453</v>
      </c>
      <c r="J181" s="205">
        <f>IF('Solar Power'!J23="","",'Solar Power'!J23)</f>
        <v>4783</v>
      </c>
      <c r="K181" s="205" t="str">
        <f>IF('Solar Power'!K23="","",'Solar Power'!K23)</f>
        <v/>
      </c>
      <c r="L181" s="205" t="str">
        <f>IF('Solar Power'!L23="","",'Solar Power'!L23)</f>
        <v/>
      </c>
      <c r="M181" s="205" t="str">
        <f>IF('Solar Power'!M23="","",'Solar Power'!M23)</f>
        <v/>
      </c>
      <c r="N181" s="205" t="str">
        <f>IF('Solar Power'!N23="","",'Solar Power'!N23)</f>
        <v/>
      </c>
      <c r="O181" s="205"/>
      <c r="P181" s="205"/>
      <c r="Q181" s="205">
        <f t="shared" si="71"/>
        <v>4783</v>
      </c>
      <c r="R181" s="205">
        <f t="shared" si="72"/>
        <v>41227.9</v>
      </c>
      <c r="S181" s="222"/>
      <c r="T181" s="213">
        <f t="shared" si="73"/>
        <v>4.1264418389971615E-2</v>
      </c>
      <c r="U181" s="205">
        <f t="shared" si="74"/>
        <v>4783</v>
      </c>
      <c r="V181">
        <f t="shared" si="75"/>
        <v>8</v>
      </c>
      <c r="W181" s="205">
        <f t="shared" si="76"/>
        <v>5153.4875000000002</v>
      </c>
    </row>
    <row r="182" spans="1:23" x14ac:dyDescent="0.2">
      <c r="A182" t="str">
        <f>PROPER(SUBSTITUTE('Solar Power'!B24,"_"," "))</f>
        <v>Athletic Centre</v>
      </c>
      <c r="C182" s="205">
        <f>IF('Solar Power'!C24="","",'Solar Power'!C24)</f>
        <v>3745</v>
      </c>
      <c r="D182" s="205">
        <f>IF('Solar Power'!D24="","",'Solar Power'!D24)</f>
        <v>4540.7</v>
      </c>
      <c r="E182" s="205">
        <f>IF('Solar Power'!E24="","",'Solar Power'!E24)</f>
        <v>4727.3</v>
      </c>
      <c r="F182" s="205">
        <f>IF('Solar Power'!F24="","",'Solar Power'!F24)</f>
        <v>4596.3999999999996</v>
      </c>
      <c r="G182" s="205">
        <f>IF('Solar Power'!G24="","",'Solar Power'!G24)</f>
        <v>4933.3999999999996</v>
      </c>
      <c r="H182" s="205">
        <f>IF('Solar Power'!H24="","",'Solar Power'!H24)</f>
        <v>4353</v>
      </c>
      <c r="I182" s="205">
        <f>IF('Solar Power'!I24="","",'Solar Power'!I24)</f>
        <v>3606</v>
      </c>
      <c r="J182" s="205">
        <f>IF('Solar Power'!J24="","",'Solar Power'!J24)</f>
        <v>3955</v>
      </c>
      <c r="K182" s="205" t="str">
        <f>IF('Solar Power'!K24="","",'Solar Power'!K24)</f>
        <v/>
      </c>
      <c r="L182" s="205" t="str">
        <f>IF('Solar Power'!L24="","",'Solar Power'!L24)</f>
        <v/>
      </c>
      <c r="M182" s="205" t="str">
        <f>IF('Solar Power'!M24="","",'Solar Power'!M24)</f>
        <v/>
      </c>
      <c r="N182" s="205" t="str">
        <f>IF('Solar Power'!N24="","",'Solar Power'!N24)</f>
        <v/>
      </c>
      <c r="O182" s="205"/>
      <c r="P182" s="205"/>
      <c r="Q182" s="205">
        <f t="shared" si="71"/>
        <v>3955</v>
      </c>
      <c r="R182" s="205">
        <f t="shared" si="72"/>
        <v>34456.800000000003</v>
      </c>
      <c r="S182" s="222"/>
      <c r="T182" s="213">
        <f t="shared" si="73"/>
        <v>3.4121006634400534E-2</v>
      </c>
      <c r="U182" s="205">
        <f t="shared" si="74"/>
        <v>3955</v>
      </c>
      <c r="V182">
        <f t="shared" si="75"/>
        <v>8</v>
      </c>
      <c r="W182" s="205">
        <f t="shared" si="76"/>
        <v>4307.1000000000004</v>
      </c>
    </row>
    <row r="183" spans="1:23" x14ac:dyDescent="0.2">
      <c r="A183" t="str">
        <f>PROPER(SUBSTITUTE('Solar Power'!B25,"_"," "))</f>
        <v>Commons Building</v>
      </c>
      <c r="C183" s="205">
        <f>IF('Solar Power'!C25="","",'Solar Power'!C25)</f>
        <v>7601</v>
      </c>
      <c r="D183" s="205">
        <f>IF('Solar Power'!D25="","",'Solar Power'!D25)</f>
        <v>17016</v>
      </c>
      <c r="E183" s="205">
        <f>IF('Solar Power'!E25="","",'Solar Power'!E25)</f>
        <v>20874</v>
      </c>
      <c r="F183" s="205">
        <f>IF('Solar Power'!F25="","",'Solar Power'!F25)</f>
        <v>20938</v>
      </c>
      <c r="G183" s="205">
        <f>IF('Solar Power'!G25="","",'Solar Power'!G25)</f>
        <v>22443</v>
      </c>
      <c r="H183" s="205">
        <f>IF('Solar Power'!H25="","",'Solar Power'!H25)</f>
        <v>18821</v>
      </c>
      <c r="I183" s="205">
        <f>IF('Solar Power'!I25="","",'Solar Power'!I25)</f>
        <v>16903</v>
      </c>
      <c r="J183" s="205">
        <f>IF('Solar Power'!J25="","",'Solar Power'!J25)</f>
        <v>17451</v>
      </c>
      <c r="K183" s="205" t="str">
        <f>IF('Solar Power'!K25="","",'Solar Power'!K25)</f>
        <v/>
      </c>
      <c r="L183" s="205" t="str">
        <f>IF('Solar Power'!L25="","",'Solar Power'!L25)</f>
        <v/>
      </c>
      <c r="M183" s="205" t="str">
        <f>IF('Solar Power'!M25="","",'Solar Power'!M25)</f>
        <v/>
      </c>
      <c r="N183" s="205" t="str">
        <f>IF('Solar Power'!N25="","",'Solar Power'!N25)</f>
        <v/>
      </c>
      <c r="O183" s="205"/>
      <c r="P183" s="205"/>
      <c r="Q183" s="205">
        <f t="shared" si="71"/>
        <v>17451</v>
      </c>
      <c r="R183" s="205">
        <f t="shared" si="72"/>
        <v>142047</v>
      </c>
      <c r="S183" s="222"/>
      <c r="T183" s="213">
        <f t="shared" si="73"/>
        <v>0.1505551673266558</v>
      </c>
      <c r="U183" s="205">
        <f t="shared" si="74"/>
        <v>17451</v>
      </c>
      <c r="V183">
        <f t="shared" si="75"/>
        <v>8</v>
      </c>
      <c r="W183" s="205">
        <f t="shared" si="76"/>
        <v>17755.875</v>
      </c>
    </row>
    <row r="184" spans="1:23" x14ac:dyDescent="0.2">
      <c r="A184" t="str">
        <f>PROPER(SUBSTITUTE('Solar Power'!B26,"_"," "))</f>
        <v>Facility Block</v>
      </c>
      <c r="C184" s="205">
        <f>IF('Solar Power'!C26="","",'Solar Power'!C26)</f>
        <v>4676</v>
      </c>
      <c r="D184" s="205">
        <f>IF('Solar Power'!D26="","",'Solar Power'!D26)</f>
        <v>4260</v>
      </c>
      <c r="E184" s="205">
        <f>IF('Solar Power'!E26="","",'Solar Power'!E26)</f>
        <v>6824</v>
      </c>
      <c r="F184" s="205">
        <f>IF('Solar Power'!F26="","",'Solar Power'!F26)</f>
        <v>7130</v>
      </c>
      <c r="G184" s="205">
        <f>IF('Solar Power'!G26="","",'Solar Power'!G26)</f>
        <v>7937</v>
      </c>
      <c r="H184" s="205">
        <f>IF('Solar Power'!H26="","",'Solar Power'!H26)</f>
        <v>6907</v>
      </c>
      <c r="I184" s="205">
        <f>IF('Solar Power'!I26="","",'Solar Power'!I26)</f>
        <v>5651</v>
      </c>
      <c r="J184" s="205">
        <f>IF('Solar Power'!J26="","",'Solar Power'!J26)</f>
        <v>6770</v>
      </c>
      <c r="K184" s="205" t="str">
        <f>IF('Solar Power'!K26="","",'Solar Power'!K26)</f>
        <v/>
      </c>
      <c r="L184" s="205" t="str">
        <f>IF('Solar Power'!L26="","",'Solar Power'!L26)</f>
        <v/>
      </c>
      <c r="M184" s="205" t="str">
        <f>IF('Solar Power'!M26="","",'Solar Power'!M26)</f>
        <v/>
      </c>
      <c r="N184" s="205" t="str">
        <f>IF('Solar Power'!N26="","",'Solar Power'!N26)</f>
        <v/>
      </c>
      <c r="O184" s="205"/>
      <c r="P184" s="205"/>
      <c r="Q184" s="205">
        <f t="shared" si="71"/>
        <v>6770</v>
      </c>
      <c r="R184" s="205">
        <f t="shared" si="72"/>
        <v>50155</v>
      </c>
      <c r="S184" s="222"/>
      <c r="T184" s="213">
        <f t="shared" si="73"/>
        <v>5.840688114156551E-2</v>
      </c>
      <c r="U184" s="205">
        <f t="shared" si="74"/>
        <v>6770</v>
      </c>
      <c r="V184">
        <f t="shared" si="75"/>
        <v>8</v>
      </c>
      <c r="W184" s="205">
        <f t="shared" si="76"/>
        <v>6269.375</v>
      </c>
    </row>
    <row r="185" spans="1:23" x14ac:dyDescent="0.2">
      <c r="A185" t="str">
        <f>PROPER(SUBSTITUTE('Solar Power'!B27,"_"," "))</f>
        <v>Ground Mount And Substation</v>
      </c>
      <c r="C185" s="205">
        <f>IF('Solar Power'!C27="","",'Solar Power'!C27)</f>
        <v>42443</v>
      </c>
      <c r="D185" s="205">
        <f>IF('Solar Power'!D27="","",'Solar Power'!D27)</f>
        <v>46210</v>
      </c>
      <c r="E185" s="205">
        <f>IF('Solar Power'!E27="","",'Solar Power'!E27)</f>
        <v>67509</v>
      </c>
      <c r="F185" s="205">
        <f>IF('Solar Power'!F27="","",'Solar Power'!F27)</f>
        <v>52060</v>
      </c>
      <c r="G185" s="205">
        <f>IF('Solar Power'!G27="","",'Solar Power'!G27)</f>
        <v>55073.8</v>
      </c>
      <c r="H185" s="205">
        <f>IF('Solar Power'!H27="","",'Solar Power'!H27)</f>
        <v>50128</v>
      </c>
      <c r="I185" s="205">
        <f>IF('Solar Power'!I27="","",'Solar Power'!I27)</f>
        <v>39351</v>
      </c>
      <c r="J185" s="205">
        <f>IF('Solar Power'!J27="","",'Solar Power'!J27)</f>
        <v>44867</v>
      </c>
      <c r="K185" s="205" t="str">
        <f>IF('Solar Power'!K27="","",'Solar Power'!K27)</f>
        <v/>
      </c>
      <c r="L185" s="205" t="str">
        <f>IF('Solar Power'!L27="","",'Solar Power'!L27)</f>
        <v/>
      </c>
      <c r="M185" s="205" t="str">
        <f>IF('Solar Power'!M27="","",'Solar Power'!M27)</f>
        <v/>
      </c>
      <c r="N185" s="205" t="str">
        <f>IF('Solar Power'!N27="","",'Solar Power'!N27)</f>
        <v/>
      </c>
      <c r="O185" s="205"/>
      <c r="P185" s="205"/>
      <c r="Q185" s="205">
        <f t="shared" si="71"/>
        <v>44867</v>
      </c>
      <c r="R185" s="205">
        <f t="shared" si="72"/>
        <v>397641.8</v>
      </c>
      <c r="S185" s="222"/>
      <c r="T185" s="213">
        <f t="shared" si="73"/>
        <v>0.38708146767778728</v>
      </c>
      <c r="U185" s="205">
        <f t="shared" si="74"/>
        <v>44867</v>
      </c>
      <c r="V185">
        <f t="shared" si="75"/>
        <v>8</v>
      </c>
      <c r="W185" s="205">
        <f t="shared" si="76"/>
        <v>49705.224999999999</v>
      </c>
    </row>
    <row r="186" spans="1:23" x14ac:dyDescent="0.2">
      <c r="A186" t="str">
        <f>PROPER(SUBSTITUTE('Solar Power'!B28,"_"," "))</f>
        <v>Js Library</v>
      </c>
      <c r="C186" s="205">
        <f>IF('Solar Power'!C28="","",'Solar Power'!C28)</f>
        <v>6117.6</v>
      </c>
      <c r="D186" s="205">
        <f>IF('Solar Power'!D28="","",'Solar Power'!D28)</f>
        <v>5871</v>
      </c>
      <c r="E186" s="205">
        <f>IF('Solar Power'!E28="","",'Solar Power'!E28)</f>
        <v>4996.3999999999996</v>
      </c>
      <c r="F186" s="205">
        <f>IF('Solar Power'!F28="","",'Solar Power'!F28)</f>
        <v>4764.5</v>
      </c>
      <c r="G186" s="205">
        <f>IF('Solar Power'!G28="","",'Solar Power'!G28)</f>
        <v>5081.5</v>
      </c>
      <c r="H186" s="205">
        <f>IF('Solar Power'!H28="","",'Solar Power'!H28)</f>
        <v>4463</v>
      </c>
      <c r="I186" s="205">
        <f>IF('Solar Power'!I28="","",'Solar Power'!I28)</f>
        <v>3711</v>
      </c>
      <c r="J186" s="205">
        <f>IF('Solar Power'!J28="","",'Solar Power'!J28)</f>
        <v>4045</v>
      </c>
      <c r="K186" s="205" t="str">
        <f>IF('Solar Power'!K28="","",'Solar Power'!K28)</f>
        <v/>
      </c>
      <c r="L186" s="205" t="str">
        <f>IF('Solar Power'!L28="","",'Solar Power'!L28)</f>
        <v/>
      </c>
      <c r="M186" s="205" t="str">
        <f>IF('Solar Power'!M28="","",'Solar Power'!M28)</f>
        <v/>
      </c>
      <c r="N186" s="205" t="str">
        <f>IF('Solar Power'!N28="","",'Solar Power'!N28)</f>
        <v/>
      </c>
      <c r="O186" s="205"/>
      <c r="P186" s="205"/>
      <c r="Q186" s="205">
        <f t="shared" si="71"/>
        <v>4045</v>
      </c>
      <c r="R186" s="205">
        <f t="shared" si="72"/>
        <v>39050</v>
      </c>
      <c r="S186" s="222"/>
      <c r="T186" s="213">
        <f t="shared" si="73"/>
        <v>3.4897464433919126E-2</v>
      </c>
      <c r="U186" s="205">
        <f t="shared" si="74"/>
        <v>4045</v>
      </c>
      <c r="V186">
        <f t="shared" si="75"/>
        <v>8</v>
      </c>
      <c r="W186" s="205">
        <f t="shared" si="76"/>
        <v>4881.25</v>
      </c>
    </row>
    <row r="187" spans="1:23" x14ac:dyDescent="0.2">
      <c r="A187" t="str">
        <f>PROPER(SUBSTITUTE('Solar Power'!B29,"_"," "))</f>
        <v>Senior School 1</v>
      </c>
      <c r="C187" s="205">
        <f>IF('Solar Power'!C29="","",'Solar Power'!C29)</f>
        <v>3927</v>
      </c>
      <c r="D187" s="205">
        <f>IF('Solar Power'!D29="","",'Solar Power'!D29)</f>
        <v>4386.2</v>
      </c>
      <c r="E187" s="205">
        <f>IF('Solar Power'!E29="","",'Solar Power'!E29)</f>
        <v>4868.7</v>
      </c>
      <c r="F187" s="205">
        <f>IF('Solar Power'!F29="","",'Solar Power'!F29)</f>
        <v>4656.6000000000004</v>
      </c>
      <c r="G187" s="205">
        <f>IF('Solar Power'!G29="","",'Solar Power'!G29)</f>
        <v>5111.7</v>
      </c>
      <c r="H187" s="205">
        <f>IF('Solar Power'!H29="","",'Solar Power'!H29)</f>
        <v>3862</v>
      </c>
      <c r="I187" s="205">
        <f>IF('Solar Power'!I29="","",'Solar Power'!I29)</f>
        <v>3737</v>
      </c>
      <c r="J187" s="205">
        <f>IF('Solar Power'!J29="","",'Solar Power'!J29)</f>
        <v>3820</v>
      </c>
      <c r="K187" s="205" t="str">
        <f>IF('Solar Power'!K29="","",'Solar Power'!K29)</f>
        <v/>
      </c>
      <c r="L187" s="205" t="str">
        <f>IF('Solar Power'!L29="","",'Solar Power'!L29)</f>
        <v/>
      </c>
      <c r="M187" s="205" t="str">
        <f>IF('Solar Power'!M29="","",'Solar Power'!M29)</f>
        <v/>
      </c>
      <c r="N187" s="205" t="str">
        <f>IF('Solar Power'!N29="","",'Solar Power'!N29)</f>
        <v/>
      </c>
      <c r="O187" s="205"/>
      <c r="P187" s="205"/>
      <c r="Q187" s="205">
        <f t="shared" si="71"/>
        <v>3820</v>
      </c>
      <c r="R187" s="205">
        <f t="shared" si="72"/>
        <v>34369.199999999997</v>
      </c>
      <c r="S187" s="222"/>
      <c r="T187" s="213">
        <f t="shared" si="73"/>
        <v>3.2956319935122637E-2</v>
      </c>
      <c r="U187" s="205">
        <f t="shared" si="74"/>
        <v>3820</v>
      </c>
      <c r="V187">
        <f t="shared" si="75"/>
        <v>8</v>
      </c>
      <c r="W187" s="205">
        <f t="shared" si="76"/>
        <v>4296.1499999999996</v>
      </c>
    </row>
    <row r="188" spans="1:23" x14ac:dyDescent="0.2">
      <c r="A188" t="str">
        <f>PROPER(SUBSTITUTE('Solar Power'!B30,"_"," "))</f>
        <v>Squash Court</v>
      </c>
      <c r="C188" s="205">
        <f>IF('Solar Power'!C30="","",'Solar Power'!C30)</f>
        <v>3495.1</v>
      </c>
      <c r="D188" s="205">
        <f>IF('Solar Power'!D30="","",'Solar Power'!D30)</f>
        <v>3680</v>
      </c>
      <c r="E188" s="205">
        <f>IF('Solar Power'!E30="","",'Solar Power'!E30)</f>
        <v>4946.3</v>
      </c>
      <c r="F188" s="205">
        <f>IF('Solar Power'!F30="","",'Solar Power'!F30)</f>
        <v>4825.6000000000004</v>
      </c>
      <c r="G188" s="205">
        <f>IF('Solar Power'!G30="","",'Solar Power'!G30)</f>
        <v>5312.2</v>
      </c>
      <c r="H188" s="205">
        <f>IF('Solar Power'!H30="","",'Solar Power'!H30)</f>
        <v>4705</v>
      </c>
      <c r="I188" s="205">
        <f>IF('Solar Power'!I30="","",'Solar Power'!I30)</f>
        <v>3820</v>
      </c>
      <c r="J188" s="205">
        <f>IF('Solar Power'!J30="","",'Solar Power'!J30)</f>
        <v>4047</v>
      </c>
      <c r="K188" s="205" t="str">
        <f>IF('Solar Power'!K30="","",'Solar Power'!K30)</f>
        <v/>
      </c>
      <c r="L188" s="205" t="str">
        <f>IF('Solar Power'!L30="","",'Solar Power'!L30)</f>
        <v/>
      </c>
      <c r="M188" s="205" t="str">
        <f>IF('Solar Power'!M30="","",'Solar Power'!M30)</f>
        <v/>
      </c>
      <c r="N188" s="205" t="str">
        <f>IF('Solar Power'!N30="","",'Solar Power'!N30)</f>
        <v/>
      </c>
      <c r="O188" s="205"/>
      <c r="P188" s="205"/>
      <c r="Q188" s="205">
        <f t="shared" si="71"/>
        <v>4047</v>
      </c>
      <c r="R188" s="205">
        <f t="shared" si="72"/>
        <v>34831.199999999997</v>
      </c>
      <c r="S188" s="222"/>
      <c r="T188" s="213">
        <f t="shared" si="73"/>
        <v>3.4914719051686208E-2</v>
      </c>
      <c r="U188" s="205">
        <f t="shared" si="74"/>
        <v>4047</v>
      </c>
      <c r="V188">
        <f t="shared" si="75"/>
        <v>8</v>
      </c>
      <c r="W188" s="205">
        <f t="shared" si="76"/>
        <v>4353.8999999999996</v>
      </c>
    </row>
    <row r="189" spans="1:23" x14ac:dyDescent="0.2">
      <c r="A189" t="str">
        <f>PROPER(SUBSTITUTE('Solar Power'!B31,"_"," "))</f>
        <v>Ss Laboratory</v>
      </c>
      <c r="C189" s="205">
        <f>IF('Solar Power'!C31="","",'Solar Power'!C31)</f>
        <v>6592</v>
      </c>
      <c r="D189" s="205">
        <f>IF('Solar Power'!D31="","",'Solar Power'!D31)</f>
        <v>7325</v>
      </c>
      <c r="E189" s="205">
        <f>IF('Solar Power'!E31="","",'Solar Power'!E31)</f>
        <v>8503</v>
      </c>
      <c r="F189" s="205">
        <f>IF('Solar Power'!F31="","",'Solar Power'!F31)</f>
        <v>8722</v>
      </c>
      <c r="G189" s="205">
        <f>IF('Solar Power'!G31="","",'Solar Power'!G31)</f>
        <v>9067</v>
      </c>
      <c r="H189" s="205">
        <f>IF('Solar Power'!H31="","",'Solar Power'!H31)</f>
        <v>7923</v>
      </c>
      <c r="I189" s="205">
        <f>IF('Solar Power'!I31="","",'Solar Power'!I31)</f>
        <v>6493</v>
      </c>
      <c r="J189" s="205">
        <f>IF('Solar Power'!J31="","",'Solar Power'!J31)</f>
        <v>6643</v>
      </c>
      <c r="K189" s="205" t="str">
        <f>IF('Solar Power'!K31="","",'Solar Power'!K31)</f>
        <v/>
      </c>
      <c r="L189" s="205" t="str">
        <f>IF('Solar Power'!L31="","",'Solar Power'!L31)</f>
        <v/>
      </c>
      <c r="M189" s="205" t="str">
        <f>IF('Solar Power'!M31="","",'Solar Power'!M31)</f>
        <v/>
      </c>
      <c r="N189" s="205" t="str">
        <f>IF('Solar Power'!N31="","",'Solar Power'!N31)</f>
        <v/>
      </c>
      <c r="O189" s="205"/>
      <c r="P189" s="205"/>
      <c r="Q189" s="205">
        <f t="shared" si="71"/>
        <v>6643</v>
      </c>
      <c r="R189" s="205">
        <f t="shared" si="72"/>
        <v>61268</v>
      </c>
      <c r="S189" s="222"/>
      <c r="T189" s="213">
        <f t="shared" si="73"/>
        <v>5.731121291335594E-2</v>
      </c>
      <c r="U189" s="205">
        <f t="shared" si="74"/>
        <v>6643</v>
      </c>
      <c r="V189">
        <f t="shared" si="75"/>
        <v>8</v>
      </c>
      <c r="W189" s="205">
        <f t="shared" si="76"/>
        <v>7658.5</v>
      </c>
    </row>
    <row r="192" spans="1:23" ht="15.75" x14ac:dyDescent="0.25">
      <c r="A192" s="208" t="s">
        <v>845</v>
      </c>
    </row>
    <row r="193" spans="1:43" ht="30" x14ac:dyDescent="0.2">
      <c r="A193" s="202" t="s">
        <v>40</v>
      </c>
      <c r="B193" s="202" t="s">
        <v>41</v>
      </c>
      <c r="C193" s="202" t="s">
        <v>846</v>
      </c>
      <c r="D193" s="202" t="s">
        <v>847</v>
      </c>
      <c r="E193" s="202" t="s">
        <v>848</v>
      </c>
      <c r="F193" s="202" t="s">
        <v>849</v>
      </c>
      <c r="G193" s="202" t="s">
        <v>850</v>
      </c>
      <c r="H193" s="202" t="s">
        <v>851</v>
      </c>
      <c r="I193" s="202" t="s">
        <v>852</v>
      </c>
      <c r="J193" s="202" t="s">
        <v>853</v>
      </c>
      <c r="K193" s="202" t="s">
        <v>854</v>
      </c>
      <c r="L193" s="202" t="s">
        <v>855</v>
      </c>
      <c r="M193" s="202" t="s">
        <v>856</v>
      </c>
      <c r="N193" s="202" t="s">
        <v>857</v>
      </c>
      <c r="O193" s="202" t="s">
        <v>858</v>
      </c>
      <c r="P193" s="202" t="s">
        <v>859</v>
      </c>
      <c r="Q193" s="202" t="s">
        <v>860</v>
      </c>
      <c r="R193" s="202" t="s">
        <v>861</v>
      </c>
      <c r="S193" s="202" t="s">
        <v>862</v>
      </c>
      <c r="T193" s="202" t="s">
        <v>863</v>
      </c>
      <c r="U193" s="202" t="s">
        <v>864</v>
      </c>
      <c r="V193" s="202" t="s">
        <v>865</v>
      </c>
      <c r="W193" s="202" t="s">
        <v>866</v>
      </c>
      <c r="X193" s="202" t="s">
        <v>867</v>
      </c>
      <c r="Y193" s="202" t="s">
        <v>868</v>
      </c>
      <c r="Z193" s="202" t="s">
        <v>869</v>
      </c>
      <c r="AA193" s="202" t="s">
        <v>870</v>
      </c>
      <c r="AB193" s="202" t="s">
        <v>871</v>
      </c>
      <c r="AC193" s="202" t="s">
        <v>872</v>
      </c>
      <c r="AD193" s="202" t="s">
        <v>873</v>
      </c>
      <c r="AE193" s="202" t="s">
        <v>874</v>
      </c>
      <c r="AF193" s="202" t="s">
        <v>875</v>
      </c>
      <c r="AG193" s="202" t="s">
        <v>740</v>
      </c>
      <c r="AH193" s="202" t="s">
        <v>876</v>
      </c>
      <c r="AI193" s="202" t="s">
        <v>50</v>
      </c>
      <c r="AJ193" s="202" t="s">
        <v>877</v>
      </c>
      <c r="AK193" s="202" t="s">
        <v>878</v>
      </c>
      <c r="AL193" s="202" t="s">
        <v>44</v>
      </c>
      <c r="AM193" s="202" t="s">
        <v>47</v>
      </c>
      <c r="AN193" s="202" t="s">
        <v>879</v>
      </c>
      <c r="AO193" s="202" t="s">
        <v>880</v>
      </c>
      <c r="AP193" s="202" t="s">
        <v>881</v>
      </c>
      <c r="AQ193" s="202" t="s">
        <v>882</v>
      </c>
    </row>
    <row r="194" spans="1:43" x14ac:dyDescent="0.2">
      <c r="A194" t="s">
        <v>224</v>
      </c>
      <c r="B194" t="s">
        <v>225</v>
      </c>
      <c r="C194" s="205">
        <f t="shared" ref="C194:N194" si="77">IF(COUNT(C112)=0,"",SUM(C112))</f>
        <v>264</v>
      </c>
      <c r="D194" s="205">
        <f t="shared" si="77"/>
        <v>239</v>
      </c>
      <c r="E194" s="205">
        <f t="shared" si="77"/>
        <v>280</v>
      </c>
      <c r="F194" s="205">
        <f t="shared" si="77"/>
        <v>201</v>
      </c>
      <c r="G194" s="205">
        <f t="shared" si="77"/>
        <v>189</v>
      </c>
      <c r="H194" s="205">
        <f t="shared" si="77"/>
        <v>91</v>
      </c>
      <c r="I194" s="205">
        <f t="shared" si="77"/>
        <v>224</v>
      </c>
      <c r="J194" s="205">
        <f t="shared" si="77"/>
        <v>329</v>
      </c>
      <c r="K194" s="205" t="str">
        <f t="shared" si="77"/>
        <v/>
      </c>
      <c r="L194" s="205" t="str">
        <f t="shared" si="77"/>
        <v/>
      </c>
      <c r="M194" s="205" t="str">
        <f t="shared" si="77"/>
        <v/>
      </c>
      <c r="N194" s="205" t="str">
        <f t="shared" si="77"/>
        <v/>
      </c>
      <c r="O194" s="205">
        <f t="shared" ref="O194:O205" si="78">IF(C140="","",C140)</f>
        <v>2273</v>
      </c>
      <c r="P194" s="205">
        <f t="shared" ref="P194:P205" si="79">IF(D140="","",D140)</f>
        <v>3173</v>
      </c>
      <c r="Q194" s="205">
        <f t="shared" ref="Q194:Q205" si="80">IF(E140="","",E140)</f>
        <v>4616</v>
      </c>
      <c r="R194" s="205">
        <f t="shared" ref="R194:R205" si="81">IF(F140="","",F140)</f>
        <v>6151</v>
      </c>
      <c r="S194" s="205">
        <f t="shared" ref="S194:S205" si="82">IF(G140="","",G140)</f>
        <v>5274</v>
      </c>
      <c r="T194" s="205">
        <f t="shared" ref="T194:T205" si="83">IF(H140="","",H140)</f>
        <v>2391</v>
      </c>
      <c r="U194" s="205">
        <f t="shared" ref="U194:U205" si="84">IF(I140="","",I140)</f>
        <v>4289</v>
      </c>
      <c r="V194" s="205">
        <f t="shared" ref="V194:V205" si="85">IF(J140="","",J140)</f>
        <v>4790</v>
      </c>
      <c r="W194" s="205" t="str">
        <f t="shared" ref="W194:W205" si="86">IF(K140="","",K140)</f>
        <v/>
      </c>
      <c r="X194" s="205" t="str">
        <f t="shared" ref="X194:X205" si="87">IF(L140="","",L140)</f>
        <v/>
      </c>
      <c r="Y194" s="205" t="str">
        <f t="shared" ref="Y194:Y205" si="88">IF(M140="","",M140)</f>
        <v/>
      </c>
      <c r="Z194" s="205" t="str">
        <f t="shared" ref="Z194:Z205" si="89">IF(N140="","",N140)</f>
        <v/>
      </c>
      <c r="AA194" s="205">
        <f t="shared" ref="AA194:AA201" si="90">IF(COUNT(Q112)=0,"",SUM(Q112))</f>
        <v>329</v>
      </c>
      <c r="AB194" s="205">
        <f t="shared" ref="AB194:AB201" si="91">IF(COUNT(P112)=0,"",SUM(P112))</f>
        <v>388.5</v>
      </c>
      <c r="AC194" s="222">
        <f t="shared" ref="AC194:AC211" si="92">IFERROR(IF(OR(AA194="",AB194="",AB194=0),"",AA194/AB194-1),"")</f>
        <v>-0.15315315315315314</v>
      </c>
      <c r="AD194" s="205">
        <f t="shared" ref="AD194:AD205" si="93">Q140</f>
        <v>4790</v>
      </c>
      <c r="AE194" s="205">
        <f t="shared" ref="AE194:AE205" si="94">O140</f>
        <v>2632</v>
      </c>
      <c r="AF194" s="222">
        <f t="shared" ref="AF194:AF211" si="95">IFERROR(IF(OR(AD194="",AE194="",AE194=0),"",AD194/AE194-1),"")</f>
        <v>0.81990881458966558</v>
      </c>
      <c r="AG194" s="205">
        <f>IF(Building_Master!E5="","",Building_Master!E5)</f>
        <v>29</v>
      </c>
      <c r="AH194" s="205" t="str">
        <f>IF(Building_Master!F5="","",Building_Master!F5)</f>
        <v/>
      </c>
      <c r="AI194" s="210">
        <f>IFERROR(IF(Building_Master!H5&lt;&gt;"","with "&amp;Building_Master!H5,IF(OR(AG194="",AND(AA194="",SUMIF(Building_Master!$H$5:$H$22,$A194,$AA$194:$AA$211)=0)),"",(N(AA194)+SUMIF(Building_Master!$H$5:$H$22,$A194,$AA$194:$AA$211))*1000/(AG194*$B$13))),"")</f>
        <v>713.01446051167966</v>
      </c>
      <c r="AJ194" s="210">
        <f>IFERROR(IF(Building_Master!H5&lt;&gt;"","with "&amp;Building_Master!H5,IF(OR(AG194="",AND(AD194="",SUMIF(Building_Master!$H$5:$H$22,$A194,$AD$194:$AD$211)=0)),"",(N(AD194)+SUMIF(Building_Master!$H$5:$H$22,$A194,$AD$194:$AD$211))/AG194)),"")</f>
        <v>326.9655172413793</v>
      </c>
      <c r="AK194" s="212" t="str">
        <f t="shared" ref="AK194:AK211" si="96">IFERROR(IF(OR(AH194="",AD194=""),"",AD194/AH194),"")</f>
        <v/>
      </c>
      <c r="AL194" s="213">
        <f t="shared" ref="AL194:AL211" si="97">IFERROR(AA194/SUM($AA$194:$AA$211),"")</f>
        <v>4.6812749003984064E-2</v>
      </c>
      <c r="AM194" s="213">
        <f t="shared" ref="AM194:AM211" si="98">IFERROR(IF(AD194="","",AD194/SUM($AD$194:$AD$211)),"")</f>
        <v>3.310297166551486E-2</v>
      </c>
      <c r="AN194" s="205">
        <f t="shared" ref="AN194:AN201" si="99">IF(COUNT(U112)=0,"",SUM(U112))</f>
        <v>329</v>
      </c>
      <c r="AO194" s="205">
        <f t="shared" ref="AO194:AO205" si="100">U140</f>
        <v>4790</v>
      </c>
      <c r="AP194" s="205">
        <f t="shared" ref="AP194:AP201" si="101">IF(COUNT(R112)=0,"",SUM(R112))</f>
        <v>1817</v>
      </c>
      <c r="AQ194" s="205">
        <f t="shared" ref="AQ194:AQ205" si="102">R140</f>
        <v>32957</v>
      </c>
    </row>
    <row r="195" spans="1:43" x14ac:dyDescent="0.2">
      <c r="A195" t="s">
        <v>226</v>
      </c>
      <c r="B195" t="s">
        <v>225</v>
      </c>
      <c r="C195" s="205">
        <f t="shared" ref="C195:N195" si="103">IF(COUNT(C113)=0,"",SUM(C113))</f>
        <v>267</v>
      </c>
      <c r="D195" s="205">
        <f t="shared" si="103"/>
        <v>427</v>
      </c>
      <c r="E195" s="205">
        <f t="shared" si="103"/>
        <v>111</v>
      </c>
      <c r="F195" s="205">
        <f t="shared" si="103"/>
        <v>100</v>
      </c>
      <c r="G195" s="205">
        <f t="shared" si="103"/>
        <v>102</v>
      </c>
      <c r="H195" s="205">
        <f t="shared" si="103"/>
        <v>87</v>
      </c>
      <c r="I195" s="205">
        <f t="shared" si="103"/>
        <v>125</v>
      </c>
      <c r="J195" s="205">
        <f t="shared" si="103"/>
        <v>312</v>
      </c>
      <c r="K195" s="205" t="str">
        <f t="shared" si="103"/>
        <v/>
      </c>
      <c r="L195" s="205" t="str">
        <f t="shared" si="103"/>
        <v/>
      </c>
      <c r="M195" s="205" t="str">
        <f t="shared" si="103"/>
        <v/>
      </c>
      <c r="N195" s="205" t="str">
        <f t="shared" si="103"/>
        <v/>
      </c>
      <c r="O195" s="205">
        <f t="shared" si="78"/>
        <v>2426</v>
      </c>
      <c r="P195" s="205">
        <f t="shared" si="79"/>
        <v>2719</v>
      </c>
      <c r="Q195" s="205">
        <f t="shared" si="80"/>
        <v>4525</v>
      </c>
      <c r="R195" s="205">
        <f t="shared" si="81"/>
        <v>6080</v>
      </c>
      <c r="S195" s="205">
        <f t="shared" si="82"/>
        <v>7229</v>
      </c>
      <c r="T195" s="205">
        <f t="shared" si="83"/>
        <v>2576</v>
      </c>
      <c r="U195" s="205">
        <f t="shared" si="84"/>
        <v>3615</v>
      </c>
      <c r="V195" s="205">
        <f t="shared" si="85"/>
        <v>4692</v>
      </c>
      <c r="W195" s="205" t="str">
        <f t="shared" si="86"/>
        <v/>
      </c>
      <c r="X195" s="205" t="str">
        <f t="shared" si="87"/>
        <v/>
      </c>
      <c r="Y195" s="205" t="str">
        <f t="shared" si="88"/>
        <v/>
      </c>
      <c r="Z195" s="205" t="str">
        <f t="shared" si="89"/>
        <v/>
      </c>
      <c r="AA195" s="205">
        <f t="shared" si="90"/>
        <v>312</v>
      </c>
      <c r="AB195" s="205">
        <f t="shared" si="91"/>
        <v>199.333333333333</v>
      </c>
      <c r="AC195" s="222">
        <f t="shared" si="92"/>
        <v>0.56521739130435034</v>
      </c>
      <c r="AD195" s="205">
        <f t="shared" si="93"/>
        <v>4692</v>
      </c>
      <c r="AE195" s="205">
        <f t="shared" si="94"/>
        <v>3026.4166666666702</v>
      </c>
      <c r="AF195" s="222">
        <f t="shared" si="95"/>
        <v>0.5503483217226075</v>
      </c>
      <c r="AG195" s="205" t="str">
        <f>IF(Building_Master!E6="","",Building_Master!E6)</f>
        <v/>
      </c>
      <c r="AH195" s="205" t="str">
        <f>IF(Building_Master!F6="","",Building_Master!F6)</f>
        <v/>
      </c>
      <c r="AI195" s="210" t="str">
        <f>IFERROR(IF(Building_Master!H6&lt;&gt;"","with "&amp;Building_Master!H6,IF(OR(AG195="",AND(AA195="",SUMIF(Building_Master!$H$5:$H$22,$A195,$AA$194:$AA$211)=0)),"",(N(AA195)+SUMIF(Building_Master!$H$5:$H$22,$A195,$AA$194:$AA$211))*1000/(AG195*$B$13))),"")</f>
        <v>with SR-1</v>
      </c>
      <c r="AJ195" s="210" t="str">
        <f>IFERROR(IF(Building_Master!H6&lt;&gt;"","with "&amp;Building_Master!H6,IF(OR(AG195="",AND(AD195="",SUMIF(Building_Master!$H$5:$H$22,$A195,$AD$194:$AD$211)=0)),"",(N(AD195)+SUMIF(Building_Master!$H$5:$H$22,$A195,$AD$194:$AD$211))/AG195)),"")</f>
        <v>with SR-1</v>
      </c>
      <c r="AK195" s="212" t="str">
        <f t="shared" si="96"/>
        <v/>
      </c>
      <c r="AL195" s="213">
        <f t="shared" si="97"/>
        <v>4.4393853158793399E-2</v>
      </c>
      <c r="AM195" s="213">
        <f t="shared" si="98"/>
        <v>3.242570836212854E-2</v>
      </c>
      <c r="AN195" s="205">
        <f t="shared" si="99"/>
        <v>312</v>
      </c>
      <c r="AO195" s="205">
        <f t="shared" si="100"/>
        <v>4692</v>
      </c>
      <c r="AP195" s="205">
        <f t="shared" si="101"/>
        <v>1531</v>
      </c>
      <c r="AQ195" s="205">
        <f t="shared" si="102"/>
        <v>33862</v>
      </c>
    </row>
    <row r="196" spans="1:43" x14ac:dyDescent="0.2">
      <c r="A196" t="s">
        <v>227</v>
      </c>
      <c r="B196" t="s">
        <v>225</v>
      </c>
      <c r="C196" s="205">
        <f t="shared" ref="C196:N196" si="104">IF(COUNT(C114)=0,"",SUM(C114))</f>
        <v>205</v>
      </c>
      <c r="D196" s="205">
        <f t="shared" si="104"/>
        <v>111</v>
      </c>
      <c r="E196" s="205">
        <f t="shared" si="104"/>
        <v>8</v>
      </c>
      <c r="F196" s="205">
        <f t="shared" si="104"/>
        <v>60</v>
      </c>
      <c r="G196" s="205">
        <f t="shared" si="104"/>
        <v>58</v>
      </c>
      <c r="H196" s="205">
        <f t="shared" si="104"/>
        <v>60</v>
      </c>
      <c r="I196" s="205">
        <f t="shared" si="104"/>
        <v>62</v>
      </c>
      <c r="J196" s="205">
        <f t="shared" si="104"/>
        <v>64</v>
      </c>
      <c r="K196" s="205" t="str">
        <f t="shared" si="104"/>
        <v/>
      </c>
      <c r="L196" s="205" t="str">
        <f t="shared" si="104"/>
        <v/>
      </c>
      <c r="M196" s="205" t="str">
        <f t="shared" si="104"/>
        <v/>
      </c>
      <c r="N196" s="205" t="str">
        <f t="shared" si="104"/>
        <v/>
      </c>
      <c r="O196" s="205">
        <f t="shared" si="78"/>
        <v>1858</v>
      </c>
      <c r="P196" s="205">
        <f t="shared" si="79"/>
        <v>3608</v>
      </c>
      <c r="Q196" s="205">
        <f t="shared" si="80"/>
        <v>3486</v>
      </c>
      <c r="R196" s="205">
        <f t="shared" si="81"/>
        <v>4748</v>
      </c>
      <c r="S196" s="205">
        <f t="shared" si="82"/>
        <v>4922</v>
      </c>
      <c r="T196" s="205">
        <f t="shared" si="83"/>
        <v>2227</v>
      </c>
      <c r="U196" s="205">
        <f t="shared" si="84"/>
        <v>4090</v>
      </c>
      <c r="V196" s="205">
        <f t="shared" si="85"/>
        <v>5092</v>
      </c>
      <c r="W196" s="205" t="str">
        <f t="shared" si="86"/>
        <v/>
      </c>
      <c r="X196" s="205" t="str">
        <f t="shared" si="87"/>
        <v/>
      </c>
      <c r="Y196" s="205" t="str">
        <f t="shared" si="88"/>
        <v/>
      </c>
      <c r="Z196" s="205" t="str">
        <f t="shared" si="89"/>
        <v/>
      </c>
      <c r="AA196" s="205">
        <f t="shared" si="90"/>
        <v>64</v>
      </c>
      <c r="AB196" s="205">
        <f t="shared" si="91"/>
        <v>171.333333333333</v>
      </c>
      <c r="AC196" s="222">
        <f t="shared" si="92"/>
        <v>-0.62645914396887092</v>
      </c>
      <c r="AD196" s="205">
        <f t="shared" si="93"/>
        <v>5092</v>
      </c>
      <c r="AE196" s="205">
        <f t="shared" si="94"/>
        <v>3216.8333333333198</v>
      </c>
      <c r="AF196" s="222">
        <f t="shared" si="95"/>
        <v>0.58292316460287696</v>
      </c>
      <c r="AG196" s="205">
        <f>IF(Building_Master!E7="","",Building_Master!E7)</f>
        <v>33</v>
      </c>
      <c r="AH196" s="205" t="str">
        <f>IF(Building_Master!F7="","",Building_Master!F7)</f>
        <v/>
      </c>
      <c r="AI196" s="210">
        <f>IFERROR(IF(Building_Master!H7&lt;&gt;"","with "&amp;Building_Master!H7,IF(OR(AG196="",AND(AA196="",SUMIF(Building_Master!$H$5:$H$22,$A196,$AA$194:$AA$211)=0)),"",(N(AA196)+SUMIF(Building_Master!$H$5:$H$22,$A196,$AA$194:$AA$211))*1000/(AG196*$B$13))),"")</f>
        <v>252.19941348973606</v>
      </c>
      <c r="AJ196" s="210">
        <f>IFERROR(IF(Building_Master!H7&lt;&gt;"","with "&amp;Building_Master!H7,IF(OR(AG196="",AND(AD196="",SUMIF(Building_Master!$H$5:$H$22,$A196,$AD$194:$AD$211)=0)),"",(N(AD196)+SUMIF(Building_Master!$H$5:$H$22,$A196,$AD$194:$AD$211))/AG196)),"")</f>
        <v>348.4848484848485</v>
      </c>
      <c r="AK196" s="212" t="str">
        <f t="shared" si="96"/>
        <v/>
      </c>
      <c r="AL196" s="213">
        <f t="shared" si="97"/>
        <v>9.1064314171883896E-3</v>
      </c>
      <c r="AM196" s="213">
        <f t="shared" si="98"/>
        <v>3.5190048375950245E-2</v>
      </c>
      <c r="AN196" s="205">
        <f t="shared" si="99"/>
        <v>64</v>
      </c>
      <c r="AO196" s="205">
        <f t="shared" si="100"/>
        <v>5092</v>
      </c>
      <c r="AP196" s="205">
        <f t="shared" si="101"/>
        <v>628</v>
      </c>
      <c r="AQ196" s="205">
        <f t="shared" si="102"/>
        <v>30031</v>
      </c>
    </row>
    <row r="197" spans="1:43" x14ac:dyDescent="0.2">
      <c r="A197" t="s">
        <v>228</v>
      </c>
      <c r="B197" t="s">
        <v>225</v>
      </c>
      <c r="C197" s="205">
        <f t="shared" ref="C197:N197" si="105">IF(COUNT(C115)=0,"",SUM(C115))</f>
        <v>136</v>
      </c>
      <c r="D197" s="205">
        <f t="shared" si="105"/>
        <v>136</v>
      </c>
      <c r="E197" s="205">
        <f t="shared" si="105"/>
        <v>337</v>
      </c>
      <c r="F197" s="205">
        <f t="shared" si="105"/>
        <v>337</v>
      </c>
      <c r="G197" s="205">
        <f t="shared" si="105"/>
        <v>233</v>
      </c>
      <c r="H197" s="205">
        <f t="shared" si="105"/>
        <v>221</v>
      </c>
      <c r="I197" s="205">
        <f t="shared" si="105"/>
        <v>146</v>
      </c>
      <c r="J197" s="205">
        <f t="shared" si="105"/>
        <v>194</v>
      </c>
      <c r="K197" s="205" t="str">
        <f t="shared" si="105"/>
        <v/>
      </c>
      <c r="L197" s="205" t="str">
        <f t="shared" si="105"/>
        <v/>
      </c>
      <c r="M197" s="205" t="str">
        <f t="shared" si="105"/>
        <v/>
      </c>
      <c r="N197" s="205" t="str">
        <f t="shared" si="105"/>
        <v/>
      </c>
      <c r="O197" s="205">
        <f t="shared" si="78"/>
        <v>3035</v>
      </c>
      <c r="P197" s="205">
        <f t="shared" si="79"/>
        <v>5027</v>
      </c>
      <c r="Q197" s="205">
        <f t="shared" si="80"/>
        <v>7021</v>
      </c>
      <c r="R197" s="205">
        <f t="shared" si="81"/>
        <v>9892</v>
      </c>
      <c r="S197" s="205">
        <f t="shared" si="82"/>
        <v>10722</v>
      </c>
      <c r="T197" s="205">
        <f t="shared" si="83"/>
        <v>2915</v>
      </c>
      <c r="U197" s="205">
        <f t="shared" si="84"/>
        <v>6848</v>
      </c>
      <c r="V197" s="205">
        <f t="shared" si="85"/>
        <v>6408</v>
      </c>
      <c r="W197" s="205" t="str">
        <f t="shared" si="86"/>
        <v/>
      </c>
      <c r="X197" s="205" t="str">
        <f t="shared" si="87"/>
        <v/>
      </c>
      <c r="Y197" s="205" t="str">
        <f t="shared" si="88"/>
        <v/>
      </c>
      <c r="Z197" s="205" t="str">
        <f t="shared" si="89"/>
        <v/>
      </c>
      <c r="AA197" s="205">
        <f t="shared" si="90"/>
        <v>194</v>
      </c>
      <c r="AB197" s="205">
        <f t="shared" si="91"/>
        <v>162.083333333333</v>
      </c>
      <c r="AC197" s="222">
        <f t="shared" si="92"/>
        <v>0.19691516709511814</v>
      </c>
      <c r="AD197" s="205">
        <f t="shared" si="93"/>
        <v>6408</v>
      </c>
      <c r="AE197" s="205">
        <f t="shared" si="94"/>
        <v>3604.75</v>
      </c>
      <c r="AF197" s="222">
        <f t="shared" si="95"/>
        <v>0.77765448366738332</v>
      </c>
      <c r="AG197" s="205" t="str">
        <f>IF(Building_Master!E8="","",Building_Master!E8)</f>
        <v/>
      </c>
      <c r="AH197" s="205" t="str">
        <f>IF(Building_Master!F8="","",Building_Master!F8)</f>
        <v/>
      </c>
      <c r="AI197" s="210" t="str">
        <f>IFERROR(IF(Building_Master!H8&lt;&gt;"","with "&amp;Building_Master!H8,IF(OR(AG197="",AND(AA197="",SUMIF(Building_Master!$H$5:$H$22,$A197,$AA$194:$AA$211)=0)),"",(N(AA197)+SUMIF(Building_Master!$H$5:$H$22,$A197,$AA$194:$AA$211))*1000/(AG197*$B$13))),"")</f>
        <v>with SR-3</v>
      </c>
      <c r="AJ197" s="210" t="str">
        <f>IFERROR(IF(Building_Master!H8&lt;&gt;"","with "&amp;Building_Master!H8,IF(OR(AG197="",AND(AD197="",SUMIF(Building_Master!$H$5:$H$22,$A197,$AD$194:$AD$211)=0)),"",(N(AD197)+SUMIF(Building_Master!$H$5:$H$22,$A197,$AD$194:$AD$211))/AG197)),"")</f>
        <v>with SR-3</v>
      </c>
      <c r="AK197" s="212" t="str">
        <f t="shared" si="96"/>
        <v/>
      </c>
      <c r="AL197" s="213">
        <f t="shared" si="97"/>
        <v>2.7603870233352305E-2</v>
      </c>
      <c r="AM197" s="213">
        <f t="shared" si="98"/>
        <v>4.4284727021423637E-2</v>
      </c>
      <c r="AN197" s="205">
        <f t="shared" si="99"/>
        <v>194</v>
      </c>
      <c r="AO197" s="205">
        <f t="shared" si="100"/>
        <v>6408</v>
      </c>
      <c r="AP197" s="205">
        <f t="shared" si="101"/>
        <v>1740</v>
      </c>
      <c r="AQ197" s="205">
        <f t="shared" si="102"/>
        <v>51868</v>
      </c>
    </row>
    <row r="198" spans="1:43" x14ac:dyDescent="0.2">
      <c r="A198" t="s">
        <v>595</v>
      </c>
      <c r="B198" t="s">
        <v>225</v>
      </c>
      <c r="C198" s="205">
        <f t="shared" ref="C198:N198" si="106">IF(COUNT(C116)=0,"",SUM(C116))</f>
        <v>568</v>
      </c>
      <c r="D198" s="205">
        <f t="shared" si="106"/>
        <v>716</v>
      </c>
      <c r="E198" s="205">
        <f t="shared" si="106"/>
        <v>835</v>
      </c>
      <c r="F198" s="205">
        <f t="shared" si="106"/>
        <v>1045</v>
      </c>
      <c r="G198" s="205">
        <f t="shared" si="106"/>
        <v>781</v>
      </c>
      <c r="H198" s="205">
        <f t="shared" si="106"/>
        <v>279</v>
      </c>
      <c r="I198" s="205">
        <f t="shared" si="106"/>
        <v>1320</v>
      </c>
      <c r="J198" s="205">
        <f t="shared" si="106"/>
        <v>1468</v>
      </c>
      <c r="K198" s="205" t="str">
        <f t="shared" si="106"/>
        <v/>
      </c>
      <c r="L198" s="205" t="str">
        <f t="shared" si="106"/>
        <v/>
      </c>
      <c r="M198" s="205" t="str">
        <f t="shared" si="106"/>
        <v/>
      </c>
      <c r="N198" s="205" t="str">
        <f t="shared" si="106"/>
        <v/>
      </c>
      <c r="O198" s="205">
        <f t="shared" si="78"/>
        <v>2936</v>
      </c>
      <c r="P198" s="205">
        <f t="shared" si="79"/>
        <v>4122</v>
      </c>
      <c r="Q198" s="205">
        <f t="shared" si="80"/>
        <v>8610</v>
      </c>
      <c r="R198" s="205">
        <f t="shared" si="81"/>
        <v>13623</v>
      </c>
      <c r="S198" s="205">
        <f t="shared" si="82"/>
        <v>4475</v>
      </c>
      <c r="T198" s="205">
        <f t="shared" si="83"/>
        <v>2951</v>
      </c>
      <c r="U198" s="205">
        <f t="shared" si="84"/>
        <v>3693</v>
      </c>
      <c r="V198" s="205">
        <f t="shared" si="85"/>
        <v>3576</v>
      </c>
      <c r="W198" s="205" t="str">
        <f t="shared" si="86"/>
        <v/>
      </c>
      <c r="X198" s="205" t="str">
        <f t="shared" si="87"/>
        <v/>
      </c>
      <c r="Y198" s="205" t="str">
        <f t="shared" si="88"/>
        <v/>
      </c>
      <c r="Z198" s="205" t="str">
        <f t="shared" si="89"/>
        <v/>
      </c>
      <c r="AA198" s="205">
        <f t="shared" si="90"/>
        <v>1468</v>
      </c>
      <c r="AB198" s="205">
        <f t="shared" si="91"/>
        <v>458.75</v>
      </c>
      <c r="AC198" s="222">
        <f t="shared" si="92"/>
        <v>2.2000000000000002</v>
      </c>
      <c r="AD198" s="205">
        <f t="shared" si="93"/>
        <v>3576</v>
      </c>
      <c r="AE198" s="205">
        <f t="shared" si="94"/>
        <v>5664.7666666666701</v>
      </c>
      <c r="AF198" s="222">
        <f t="shared" si="95"/>
        <v>-0.36872951519038777</v>
      </c>
      <c r="AG198" s="205">
        <f>IF(Building_Master!E9="","",Building_Master!E9)</f>
        <v>44</v>
      </c>
      <c r="AH198" s="205" t="str">
        <f>IF(Building_Master!F9="","",Building_Master!F9)</f>
        <v/>
      </c>
      <c r="AI198" s="210">
        <f>IFERROR(IF(Building_Master!H9&lt;&gt;"","with "&amp;Building_Master!H9,IF(OR(AG198="",AND(AA198="",SUMIF(Building_Master!$H$5:$H$22,$A198,$AA$194:$AA$211)=0)),"",(N(AA198)+SUMIF(Building_Master!$H$5:$H$22,$A198,$AA$194:$AA$211))*1000/(AG198*$B$13))),"")</f>
        <v>1076.2463343108504</v>
      </c>
      <c r="AJ198" s="210">
        <f>IFERROR(IF(Building_Master!H9&lt;&gt;"","with "&amp;Building_Master!H9,IF(OR(AG198="",AND(AD198="",SUMIF(Building_Master!$H$5:$H$22,$A198,$AD$194:$AD$211)=0)),"",(N(AD198)+SUMIF(Building_Master!$H$5:$H$22,$A198,$AD$194:$AD$211))/AG198)),"")</f>
        <v>81.272727272727266</v>
      </c>
      <c r="AK198" s="212" t="str">
        <f t="shared" si="96"/>
        <v/>
      </c>
      <c r="AL198" s="213">
        <f t="shared" si="97"/>
        <v>0.20887877063175869</v>
      </c>
      <c r="AM198" s="213">
        <f t="shared" si="98"/>
        <v>2.4713199723565997E-2</v>
      </c>
      <c r="AN198" s="205">
        <f t="shared" si="99"/>
        <v>1468</v>
      </c>
      <c r="AO198" s="205">
        <f t="shared" si="100"/>
        <v>3576</v>
      </c>
      <c r="AP198" s="205">
        <f t="shared" si="101"/>
        <v>7012</v>
      </c>
      <c r="AQ198" s="205">
        <f t="shared" si="102"/>
        <v>43986</v>
      </c>
    </row>
    <row r="199" spans="1:43" x14ac:dyDescent="0.2">
      <c r="A199" t="s">
        <v>598</v>
      </c>
      <c r="B199" t="s">
        <v>225</v>
      </c>
      <c r="C199" s="205">
        <f t="shared" ref="C199:N199" si="107">IF(COUNT(C117)=0,"",SUM(C117))</f>
        <v>209</v>
      </c>
      <c r="D199" s="205">
        <f t="shared" si="107"/>
        <v>73</v>
      </c>
      <c r="E199" s="205">
        <f t="shared" si="107"/>
        <v>268</v>
      </c>
      <c r="F199" s="205">
        <f t="shared" si="107"/>
        <v>149</v>
      </c>
      <c r="G199" s="205">
        <f t="shared" si="107"/>
        <v>167</v>
      </c>
      <c r="H199" s="205">
        <f t="shared" si="107"/>
        <v>46</v>
      </c>
      <c r="I199" s="205">
        <f t="shared" si="107"/>
        <v>42</v>
      </c>
      <c r="J199" s="205">
        <f t="shared" si="107"/>
        <v>45</v>
      </c>
      <c r="K199" s="205" t="str">
        <f t="shared" si="107"/>
        <v/>
      </c>
      <c r="L199" s="205" t="str">
        <f t="shared" si="107"/>
        <v/>
      </c>
      <c r="M199" s="205" t="str">
        <f t="shared" si="107"/>
        <v/>
      </c>
      <c r="N199" s="205" t="str">
        <f t="shared" si="107"/>
        <v/>
      </c>
      <c r="O199" s="205">
        <f t="shared" si="78"/>
        <v>4053</v>
      </c>
      <c r="P199" s="205">
        <f t="shared" si="79"/>
        <v>6416</v>
      </c>
      <c r="Q199" s="205">
        <f t="shared" si="80"/>
        <v>9833</v>
      </c>
      <c r="R199" s="205">
        <f t="shared" si="81"/>
        <v>14587</v>
      </c>
      <c r="S199" s="205">
        <f t="shared" si="82"/>
        <v>12517</v>
      </c>
      <c r="T199" s="205">
        <f t="shared" si="83"/>
        <v>1965</v>
      </c>
      <c r="U199" s="205">
        <f t="shared" si="84"/>
        <v>5778</v>
      </c>
      <c r="V199" s="205">
        <f t="shared" si="85"/>
        <v>12306</v>
      </c>
      <c r="W199" s="205" t="str">
        <f t="shared" si="86"/>
        <v/>
      </c>
      <c r="X199" s="205" t="str">
        <f t="shared" si="87"/>
        <v/>
      </c>
      <c r="Y199" s="205" t="str">
        <f t="shared" si="88"/>
        <v/>
      </c>
      <c r="Z199" s="205" t="str">
        <f t="shared" si="89"/>
        <v/>
      </c>
      <c r="AA199" s="205">
        <f t="shared" si="90"/>
        <v>45</v>
      </c>
      <c r="AB199" s="205">
        <f t="shared" si="91"/>
        <v>454.25</v>
      </c>
      <c r="AC199" s="222">
        <f t="shared" si="92"/>
        <v>-0.90093560814529439</v>
      </c>
      <c r="AD199" s="205">
        <f t="shared" si="93"/>
        <v>12306</v>
      </c>
      <c r="AE199" s="205">
        <f t="shared" si="94"/>
        <v>5468.95</v>
      </c>
      <c r="AF199" s="222">
        <f t="shared" si="95"/>
        <v>1.2501577085180884</v>
      </c>
      <c r="AG199" s="205">
        <f>IF(Building_Master!E10="","",Building_Master!E10)</f>
        <v>17</v>
      </c>
      <c r="AH199" s="205" t="str">
        <f>IF(Building_Master!F10="","",Building_Master!F10)</f>
        <v/>
      </c>
      <c r="AI199" s="210">
        <f>IFERROR(IF(Building_Master!H10&lt;&gt;"","with "&amp;Building_Master!H10,IF(OR(AG199="",AND(AA199="",SUMIF(Building_Master!$H$5:$H$22,$A199,$AA$194:$AA$211)=0)),"",(N(AA199)+SUMIF(Building_Master!$H$5:$H$22,$A199,$AA$194:$AA$211))*1000/(AG199*$B$13))),"")</f>
        <v>85.388994307400381</v>
      </c>
      <c r="AJ199" s="210">
        <f>IFERROR(IF(Building_Master!H10&lt;&gt;"","with "&amp;Building_Master!H10,IF(OR(AG199="",AND(AD199="",SUMIF(Building_Master!$H$5:$H$22,$A199,$AD$194:$AD$211)=0)),"",(N(AD199)+SUMIF(Building_Master!$H$5:$H$22,$A199,$AD$194:$AD$211))/AG199)),"")</f>
        <v>723.88235294117646</v>
      </c>
      <c r="AK199" s="212" t="str">
        <f t="shared" si="96"/>
        <v/>
      </c>
      <c r="AL199" s="213">
        <f t="shared" si="97"/>
        <v>6.4029595902105859E-3</v>
      </c>
      <c r="AM199" s="213">
        <f t="shared" si="98"/>
        <v>8.5044920525224596E-2</v>
      </c>
      <c r="AN199" s="205">
        <f t="shared" si="99"/>
        <v>45</v>
      </c>
      <c r="AO199" s="205">
        <f t="shared" si="100"/>
        <v>12306</v>
      </c>
      <c r="AP199" s="205">
        <f t="shared" si="101"/>
        <v>999</v>
      </c>
      <c r="AQ199" s="205">
        <f t="shared" si="102"/>
        <v>67455</v>
      </c>
    </row>
    <row r="200" spans="1:43" x14ac:dyDescent="0.2">
      <c r="A200" t="s">
        <v>601</v>
      </c>
      <c r="B200" t="s">
        <v>225</v>
      </c>
      <c r="C200" s="205">
        <f t="shared" ref="C200:N200" si="108">IF(COUNT(C118)=0,"",SUM(C118))</f>
        <v>233</v>
      </c>
      <c r="D200" s="205">
        <f t="shared" si="108"/>
        <v>285</v>
      </c>
      <c r="E200" s="205">
        <f t="shared" si="108"/>
        <v>337</v>
      </c>
      <c r="F200" s="205">
        <f t="shared" si="108"/>
        <v>377</v>
      </c>
      <c r="G200" s="205">
        <f t="shared" si="108"/>
        <v>358</v>
      </c>
      <c r="H200" s="205">
        <f t="shared" si="108"/>
        <v>200</v>
      </c>
      <c r="I200" s="205">
        <f t="shared" si="108"/>
        <v>647</v>
      </c>
      <c r="J200" s="205">
        <f t="shared" si="108"/>
        <v>710</v>
      </c>
      <c r="K200" s="205" t="str">
        <f t="shared" si="108"/>
        <v/>
      </c>
      <c r="L200" s="205" t="str">
        <f t="shared" si="108"/>
        <v/>
      </c>
      <c r="M200" s="205" t="str">
        <f t="shared" si="108"/>
        <v/>
      </c>
      <c r="N200" s="205" t="str">
        <f t="shared" si="108"/>
        <v/>
      </c>
      <c r="O200" s="205">
        <f t="shared" si="78"/>
        <v>3981</v>
      </c>
      <c r="P200" s="205">
        <f t="shared" si="79"/>
        <v>5304</v>
      </c>
      <c r="Q200" s="205">
        <f t="shared" si="80"/>
        <v>7352</v>
      </c>
      <c r="R200" s="205">
        <f t="shared" si="81"/>
        <v>9602</v>
      </c>
      <c r="S200" s="205">
        <f t="shared" si="82"/>
        <v>9997</v>
      </c>
      <c r="T200" s="205">
        <f t="shared" si="83"/>
        <v>4369</v>
      </c>
      <c r="U200" s="205">
        <f t="shared" si="84"/>
        <v>4443</v>
      </c>
      <c r="V200" s="205">
        <f t="shared" si="85"/>
        <v>5498</v>
      </c>
      <c r="W200" s="205" t="str">
        <f t="shared" si="86"/>
        <v/>
      </c>
      <c r="X200" s="205" t="str">
        <f t="shared" si="87"/>
        <v/>
      </c>
      <c r="Y200" s="205" t="str">
        <f t="shared" si="88"/>
        <v/>
      </c>
      <c r="Z200" s="205" t="str">
        <f t="shared" si="89"/>
        <v/>
      </c>
      <c r="AA200" s="205">
        <f t="shared" si="90"/>
        <v>710</v>
      </c>
      <c r="AB200" s="205">
        <f t="shared" si="91"/>
        <v>341.25</v>
      </c>
      <c r="AC200" s="222">
        <f t="shared" si="92"/>
        <v>1.0805860805860807</v>
      </c>
      <c r="AD200" s="205">
        <f t="shared" si="93"/>
        <v>5498</v>
      </c>
      <c r="AE200" s="205">
        <f t="shared" si="94"/>
        <v>4599.3999999999896</v>
      </c>
      <c r="AF200" s="222">
        <f t="shared" si="95"/>
        <v>0.19537330956211951</v>
      </c>
      <c r="AG200" s="205">
        <f>IF(Building_Master!E11="","",Building_Master!E11)</f>
        <v>41</v>
      </c>
      <c r="AH200" s="205" t="str">
        <f>IF(Building_Master!F11="","",Building_Master!F11)</f>
        <v/>
      </c>
      <c r="AI200" s="210">
        <f>IFERROR(IF(Building_Master!H11&lt;&gt;"","with "&amp;Building_Master!H11,IF(OR(AG200="",AND(AA200="",SUMIF(Building_Master!$H$5:$H$22,$A200,$AA$194:$AA$211)=0)),"",(N(AA200)+SUMIF(Building_Master!$H$5:$H$22,$A200,$AA$194:$AA$211))*1000/(AG200*$B$13))),"")</f>
        <v>558.61526357199057</v>
      </c>
      <c r="AJ200" s="210">
        <f>IFERROR(IF(Building_Master!H11&lt;&gt;"","with "&amp;Building_Master!H11,IF(OR(AG200="",AND(AD200="",SUMIF(Building_Master!$H$5:$H$22,$A200,$AD$194:$AD$211)=0)),"",(N(AD200)+SUMIF(Building_Master!$H$5:$H$22,$A200,$AD$194:$AD$211))/AG200)),"")</f>
        <v>134.09756097560975</v>
      </c>
      <c r="AK200" s="212" t="str">
        <f t="shared" si="96"/>
        <v/>
      </c>
      <c r="AL200" s="213">
        <f t="shared" si="97"/>
        <v>0.1010244735344337</v>
      </c>
      <c r="AM200" s="213">
        <f t="shared" si="98"/>
        <v>3.7995853489979269E-2</v>
      </c>
      <c r="AN200" s="205">
        <f t="shared" si="99"/>
        <v>710</v>
      </c>
      <c r="AO200" s="205">
        <f t="shared" si="100"/>
        <v>5498</v>
      </c>
      <c r="AP200" s="205">
        <f t="shared" si="101"/>
        <v>3147</v>
      </c>
      <c r="AQ200" s="205">
        <f t="shared" si="102"/>
        <v>50546</v>
      </c>
    </row>
    <row r="201" spans="1:43" x14ac:dyDescent="0.2">
      <c r="A201" t="s">
        <v>603</v>
      </c>
      <c r="B201" t="s">
        <v>225</v>
      </c>
      <c r="C201" s="205">
        <f t="shared" ref="C201:N201" si="109">IF(COUNT(C119)=0,"",SUM(C119))</f>
        <v>0</v>
      </c>
      <c r="D201" s="205">
        <f t="shared" si="109"/>
        <v>101</v>
      </c>
      <c r="E201" s="205">
        <f t="shared" si="109"/>
        <v>450</v>
      </c>
      <c r="F201" s="205">
        <f t="shared" si="109"/>
        <v>399</v>
      </c>
      <c r="G201" s="205">
        <f t="shared" si="109"/>
        <v>205</v>
      </c>
      <c r="H201" s="205">
        <f t="shared" si="109"/>
        <v>50</v>
      </c>
      <c r="I201" s="205">
        <f t="shared" si="109"/>
        <v>0</v>
      </c>
      <c r="J201" s="205">
        <f t="shared" si="109"/>
        <v>0</v>
      </c>
      <c r="K201" s="205" t="str">
        <f t="shared" si="109"/>
        <v/>
      </c>
      <c r="L201" s="205" t="str">
        <f t="shared" si="109"/>
        <v/>
      </c>
      <c r="M201" s="205" t="str">
        <f t="shared" si="109"/>
        <v/>
      </c>
      <c r="N201" s="205" t="str">
        <f t="shared" si="109"/>
        <v/>
      </c>
      <c r="O201" s="205">
        <f t="shared" si="78"/>
        <v>4068</v>
      </c>
      <c r="P201" s="205">
        <f t="shared" si="79"/>
        <v>7064</v>
      </c>
      <c r="Q201" s="205">
        <f t="shared" si="80"/>
        <v>10129</v>
      </c>
      <c r="R201" s="205">
        <f t="shared" si="81"/>
        <v>13778</v>
      </c>
      <c r="S201" s="205">
        <f t="shared" si="82"/>
        <v>14594</v>
      </c>
      <c r="T201" s="205">
        <f t="shared" si="83"/>
        <v>3887</v>
      </c>
      <c r="U201" s="205">
        <f t="shared" si="84"/>
        <v>6393</v>
      </c>
      <c r="V201" s="205">
        <f t="shared" si="85"/>
        <v>8718</v>
      </c>
      <c r="W201" s="205" t="str">
        <f t="shared" si="86"/>
        <v/>
      </c>
      <c r="X201" s="205" t="str">
        <f t="shared" si="87"/>
        <v/>
      </c>
      <c r="Y201" s="205" t="str">
        <f t="shared" si="88"/>
        <v/>
      </c>
      <c r="Z201" s="205" t="str">
        <f t="shared" si="89"/>
        <v/>
      </c>
      <c r="AA201" s="205">
        <f t="shared" si="90"/>
        <v>0</v>
      </c>
      <c r="AB201" s="205">
        <f t="shared" si="91"/>
        <v>463.08333333333201</v>
      </c>
      <c r="AC201" s="222">
        <f t="shared" si="92"/>
        <v>-1</v>
      </c>
      <c r="AD201" s="205">
        <f t="shared" si="93"/>
        <v>8718</v>
      </c>
      <c r="AE201" s="205">
        <f t="shared" si="94"/>
        <v>5202.8500000000004</v>
      </c>
      <c r="AF201" s="222">
        <f t="shared" si="95"/>
        <v>0.67562009283373525</v>
      </c>
      <c r="AG201" s="205">
        <f>IF(Building_Master!E12="","",Building_Master!E12)</f>
        <v>28</v>
      </c>
      <c r="AH201" s="205" t="str">
        <f>IF(Building_Master!F12="","",Building_Master!F12)</f>
        <v/>
      </c>
      <c r="AI201" s="210">
        <f>IFERROR(IF(Building_Master!H12&lt;&gt;"","with "&amp;Building_Master!H12,IF(OR(AG201="",AND(AA201="",SUMIF(Building_Master!$H$5:$H$22,$A201,$AA$194:$AA$211)=0)),"",(N(AA201)+SUMIF(Building_Master!$H$5:$H$22,$A201,$AA$194:$AA$211))*1000/(AG201*$B$13))),"")</f>
        <v>0</v>
      </c>
      <c r="AJ201" s="210">
        <f>IFERROR(IF(Building_Master!H12&lt;&gt;"","with "&amp;Building_Master!H12,IF(OR(AG201="",AND(AD201="",SUMIF(Building_Master!$H$5:$H$22,$A201,$AD$194:$AD$211)=0)),"",(N(AD201)+SUMIF(Building_Master!$H$5:$H$22,$A201,$AD$194:$AD$211))/AG201)),"")</f>
        <v>311.35714285714283</v>
      </c>
      <c r="AK201" s="212" t="str">
        <f t="shared" si="96"/>
        <v/>
      </c>
      <c r="AL201" s="213">
        <f t="shared" si="97"/>
        <v>0</v>
      </c>
      <c r="AM201" s="213">
        <f t="shared" si="98"/>
        <v>6.0248790601243954E-2</v>
      </c>
      <c r="AN201" s="205">
        <f t="shared" si="99"/>
        <v>0</v>
      </c>
      <c r="AO201" s="205">
        <f t="shared" si="100"/>
        <v>8718</v>
      </c>
      <c r="AP201" s="205">
        <f t="shared" si="101"/>
        <v>1205</v>
      </c>
      <c r="AQ201" s="205">
        <f t="shared" si="102"/>
        <v>68631</v>
      </c>
    </row>
    <row r="202" spans="1:43" x14ac:dyDescent="0.2">
      <c r="A202" t="s">
        <v>605</v>
      </c>
      <c r="B202" t="s">
        <v>234</v>
      </c>
      <c r="C202" s="205">
        <f t="shared" ref="C202:N202" si="110">IF(COUNT(C120,C121)=0,"",SUM(C120,C121))</f>
        <v>27</v>
      </c>
      <c r="D202" s="205">
        <f t="shared" si="110"/>
        <v>22</v>
      </c>
      <c r="E202" s="205">
        <f t="shared" si="110"/>
        <v>41</v>
      </c>
      <c r="F202" s="205">
        <f t="shared" si="110"/>
        <v>25</v>
      </c>
      <c r="G202" s="205">
        <f t="shared" si="110"/>
        <v>28</v>
      </c>
      <c r="H202" s="205">
        <f t="shared" si="110"/>
        <v>8</v>
      </c>
      <c r="I202" s="205">
        <f t="shared" si="110"/>
        <v>87</v>
      </c>
      <c r="J202" s="205">
        <f t="shared" si="110"/>
        <v>120</v>
      </c>
      <c r="K202" s="205" t="str">
        <f t="shared" si="110"/>
        <v/>
      </c>
      <c r="L202" s="205" t="str">
        <f t="shared" si="110"/>
        <v/>
      </c>
      <c r="M202" s="205" t="str">
        <f t="shared" si="110"/>
        <v/>
      </c>
      <c r="N202" s="205" t="str">
        <f t="shared" si="110"/>
        <v/>
      </c>
      <c r="O202" s="205">
        <f t="shared" si="78"/>
        <v>3679</v>
      </c>
      <c r="P202" s="205">
        <f t="shared" si="79"/>
        <v>5521</v>
      </c>
      <c r="Q202" s="205">
        <f t="shared" si="80"/>
        <v>10138</v>
      </c>
      <c r="R202" s="205">
        <f t="shared" si="81"/>
        <v>16196</v>
      </c>
      <c r="S202" s="205">
        <f t="shared" si="82"/>
        <v>21333</v>
      </c>
      <c r="T202" s="205">
        <f t="shared" si="83"/>
        <v>4292</v>
      </c>
      <c r="U202" s="205">
        <f t="shared" si="84"/>
        <v>7078</v>
      </c>
      <c r="V202" s="205">
        <f t="shared" si="85"/>
        <v>10905</v>
      </c>
      <c r="W202" s="205" t="str">
        <f t="shared" si="86"/>
        <v/>
      </c>
      <c r="X202" s="205" t="str">
        <f t="shared" si="87"/>
        <v/>
      </c>
      <c r="Y202" s="205" t="str">
        <f t="shared" si="88"/>
        <v/>
      </c>
      <c r="Z202" s="205" t="str">
        <f t="shared" si="89"/>
        <v/>
      </c>
      <c r="AA202" s="205">
        <f>IF(COUNT(Q120,Q121)=0,"",SUM(Q120,Q121))</f>
        <v>120</v>
      </c>
      <c r="AB202" s="205">
        <f>IF(COUNT(P120,P121)=0,"",SUM(P120,P121))</f>
        <v>513</v>
      </c>
      <c r="AC202" s="222">
        <f t="shared" si="92"/>
        <v>-0.76608187134502925</v>
      </c>
      <c r="AD202" s="205">
        <f t="shared" si="93"/>
        <v>10905</v>
      </c>
      <c r="AE202" s="205">
        <f t="shared" si="94"/>
        <v>8438.25</v>
      </c>
      <c r="AF202" s="222">
        <f t="shared" si="95"/>
        <v>0.29232957070482635</v>
      </c>
      <c r="AG202" s="205" t="str">
        <f>IF(Building_Master!E13="","",Building_Master!E13)</f>
        <v/>
      </c>
      <c r="AH202" s="205" t="str">
        <f>IF(Building_Master!F13="","",Building_Master!F13)</f>
        <v/>
      </c>
      <c r="AI202" s="210" t="str">
        <f>IFERROR(IF(Building_Master!H13&lt;&gt;"","with "&amp;Building_Master!H13,IF(OR(AG202="",AND(AA202="",SUMIF(Building_Master!$H$5:$H$22,$A202,$AA$194:$AA$211)=0)),"",(N(AA202)+SUMIF(Building_Master!$H$5:$H$22,$A202,$AA$194:$AA$211))*1000/(AG202*$B$13))),"")</f>
        <v/>
      </c>
      <c r="AJ202" s="210" t="str">
        <f>IFERROR(IF(Building_Master!H13&lt;&gt;"","with "&amp;Building_Master!H13,IF(OR(AG202="",AND(AD202="",SUMIF(Building_Master!$H$5:$H$22,$A202,$AD$194:$AD$211)=0)),"",(N(AD202)+SUMIF(Building_Master!$H$5:$H$22,$A202,$AD$194:$AD$211))/AG202)),"")</f>
        <v/>
      </c>
      <c r="AK202" s="212" t="str">
        <f t="shared" si="96"/>
        <v/>
      </c>
      <c r="AL202" s="213">
        <f t="shared" si="97"/>
        <v>1.707455890722823E-2</v>
      </c>
      <c r="AM202" s="213">
        <f t="shared" si="98"/>
        <v>7.5362819626814098E-2</v>
      </c>
      <c r="AN202" s="205">
        <f>IF(COUNT(U120,U121)=0,"",SUM(U120,U121))</f>
        <v>120</v>
      </c>
      <c r="AO202" s="205">
        <f t="shared" si="100"/>
        <v>10905</v>
      </c>
      <c r="AP202" s="205">
        <f>IF(COUNT(R120,R121)=0,"",SUM(R120,R121))</f>
        <v>358</v>
      </c>
      <c r="AQ202" s="205">
        <f t="shared" si="102"/>
        <v>79142</v>
      </c>
    </row>
    <row r="203" spans="1:43" x14ac:dyDescent="0.2">
      <c r="A203" t="s">
        <v>607</v>
      </c>
      <c r="B203" t="s">
        <v>234</v>
      </c>
      <c r="C203" s="205">
        <f t="shared" ref="C203:N203" si="111">IF(COUNT(C122,C124)=0,"",SUM(C122,C124))</f>
        <v>101</v>
      </c>
      <c r="D203" s="205">
        <f t="shared" si="111"/>
        <v>50</v>
      </c>
      <c r="E203" s="205">
        <f t="shared" si="111"/>
        <v>61</v>
      </c>
      <c r="F203" s="205">
        <f t="shared" si="111"/>
        <v>90</v>
      </c>
      <c r="G203" s="205">
        <f t="shared" si="111"/>
        <v>7</v>
      </c>
      <c r="H203" s="205">
        <f t="shared" si="111"/>
        <v>13</v>
      </c>
      <c r="I203" s="205">
        <f t="shared" si="111"/>
        <v>78</v>
      </c>
      <c r="J203" s="205">
        <f t="shared" si="111"/>
        <v>82</v>
      </c>
      <c r="K203" s="205" t="str">
        <f t="shared" si="111"/>
        <v/>
      </c>
      <c r="L203" s="205" t="str">
        <f t="shared" si="111"/>
        <v/>
      </c>
      <c r="M203" s="205" t="str">
        <f t="shared" si="111"/>
        <v/>
      </c>
      <c r="N203" s="205" t="str">
        <f t="shared" si="111"/>
        <v/>
      </c>
      <c r="O203" s="205">
        <f t="shared" si="78"/>
        <v>7015</v>
      </c>
      <c r="P203" s="205">
        <f t="shared" si="79"/>
        <v>5863</v>
      </c>
      <c r="Q203" s="205">
        <f t="shared" si="80"/>
        <v>10663</v>
      </c>
      <c r="R203" s="205">
        <f t="shared" si="81"/>
        <v>18355</v>
      </c>
      <c r="S203" s="205">
        <f t="shared" si="82"/>
        <v>19464</v>
      </c>
      <c r="T203" s="205">
        <f t="shared" si="83"/>
        <v>9012</v>
      </c>
      <c r="U203" s="205">
        <f t="shared" si="84"/>
        <v>7647</v>
      </c>
      <c r="V203" s="205">
        <f t="shared" si="85"/>
        <v>8760</v>
      </c>
      <c r="W203" s="205" t="str">
        <f t="shared" si="86"/>
        <v/>
      </c>
      <c r="X203" s="205" t="str">
        <f t="shared" si="87"/>
        <v/>
      </c>
      <c r="Y203" s="205" t="str">
        <f t="shared" si="88"/>
        <v/>
      </c>
      <c r="Z203" s="205" t="str">
        <f t="shared" si="89"/>
        <v/>
      </c>
      <c r="AA203" s="205">
        <f>IF(COUNT(Q122,Q124)=0,"",SUM(Q122,Q124))</f>
        <v>82</v>
      </c>
      <c r="AB203" s="205">
        <f>IF(COUNT(P122,P124)=0,"",SUM(P122,P124))</f>
        <v>466.41666666666669</v>
      </c>
      <c r="AC203" s="222">
        <f t="shared" si="92"/>
        <v>-0.8241915311774165</v>
      </c>
      <c r="AD203" s="205">
        <f t="shared" si="93"/>
        <v>8760</v>
      </c>
      <c r="AE203" s="205">
        <f t="shared" si="94"/>
        <v>9621.1666666666606</v>
      </c>
      <c r="AF203" s="222">
        <f t="shared" si="95"/>
        <v>-8.9507509484296199E-2</v>
      </c>
      <c r="AG203" s="205" t="str">
        <f>IF(Building_Master!E14="","",Building_Master!E14)</f>
        <v/>
      </c>
      <c r="AH203" s="205" t="str">
        <f>IF(Building_Master!F14="","",Building_Master!F14)</f>
        <v/>
      </c>
      <c r="AI203" s="210" t="str">
        <f>IFERROR(IF(Building_Master!H14&lt;&gt;"","with "&amp;Building_Master!H14,IF(OR(AG203="",AND(AA203="",SUMIF(Building_Master!$H$5:$H$22,$A203,$AA$194:$AA$211)=0)),"",(N(AA203)+SUMIF(Building_Master!$H$5:$H$22,$A203,$AA$194:$AA$211))*1000/(AG203*$B$13))),"")</f>
        <v/>
      </c>
      <c r="AJ203" s="210" t="str">
        <f>IFERROR(IF(Building_Master!H14&lt;&gt;"","with "&amp;Building_Master!H14,IF(OR(AG203="",AND(AD203="",SUMIF(Building_Master!$H$5:$H$22,$A203,$AD$194:$AD$211)=0)),"",(N(AD203)+SUMIF(Building_Master!$H$5:$H$22,$A203,$AD$194:$AD$211))/AG203)),"")</f>
        <v/>
      </c>
      <c r="AK203" s="212" t="str">
        <f t="shared" si="96"/>
        <v/>
      </c>
      <c r="AL203" s="213">
        <f t="shared" si="97"/>
        <v>1.1667615253272624E-2</v>
      </c>
      <c r="AM203" s="213">
        <f t="shared" si="98"/>
        <v>6.0539046302695229E-2</v>
      </c>
      <c r="AN203" s="205">
        <f>IF(COUNT(U122,U124)=0,"",SUM(U122,U124))</f>
        <v>82</v>
      </c>
      <c r="AO203" s="205">
        <f t="shared" si="100"/>
        <v>8760</v>
      </c>
      <c r="AP203" s="205">
        <f>IF(COUNT(R122,R124)=0,"",SUM(R122,R124))</f>
        <v>482</v>
      </c>
      <c r="AQ203" s="205">
        <f t="shared" si="102"/>
        <v>86779</v>
      </c>
    </row>
    <row r="204" spans="1:43" x14ac:dyDescent="0.2">
      <c r="A204" t="s">
        <v>609</v>
      </c>
      <c r="B204" t="s">
        <v>234</v>
      </c>
      <c r="C204" s="205">
        <f t="shared" ref="C204:N204" si="112">IF(COUNT(C123)=0,"",SUM(C123))</f>
        <v>33</v>
      </c>
      <c r="D204" s="205">
        <f t="shared" si="112"/>
        <v>41</v>
      </c>
      <c r="E204" s="205">
        <f t="shared" si="112"/>
        <v>15</v>
      </c>
      <c r="F204" s="205">
        <f t="shared" si="112"/>
        <v>121</v>
      </c>
      <c r="G204" s="205">
        <f t="shared" si="112"/>
        <v>272</v>
      </c>
      <c r="H204" s="205">
        <f t="shared" si="112"/>
        <v>5</v>
      </c>
      <c r="I204" s="205">
        <f t="shared" si="112"/>
        <v>26</v>
      </c>
      <c r="J204" s="205">
        <f t="shared" si="112"/>
        <v>45</v>
      </c>
      <c r="K204" s="205" t="str">
        <f t="shared" si="112"/>
        <v/>
      </c>
      <c r="L204" s="205" t="str">
        <f t="shared" si="112"/>
        <v/>
      </c>
      <c r="M204" s="205" t="str">
        <f t="shared" si="112"/>
        <v/>
      </c>
      <c r="N204" s="205" t="str">
        <f t="shared" si="112"/>
        <v/>
      </c>
      <c r="O204" s="205">
        <f t="shared" si="78"/>
        <v>6053</v>
      </c>
      <c r="P204" s="205">
        <f t="shared" si="79"/>
        <v>5908</v>
      </c>
      <c r="Q204" s="205">
        <f t="shared" si="80"/>
        <v>8688</v>
      </c>
      <c r="R204" s="205">
        <f t="shared" si="81"/>
        <v>11663</v>
      </c>
      <c r="S204" s="205">
        <f t="shared" si="82"/>
        <v>13162</v>
      </c>
      <c r="T204" s="205">
        <f t="shared" si="83"/>
        <v>7658</v>
      </c>
      <c r="U204" s="205">
        <f t="shared" si="84"/>
        <v>8075</v>
      </c>
      <c r="V204" s="205">
        <f t="shared" si="85"/>
        <v>8229</v>
      </c>
      <c r="W204" s="205" t="str">
        <f t="shared" si="86"/>
        <v/>
      </c>
      <c r="X204" s="205" t="str">
        <f t="shared" si="87"/>
        <v/>
      </c>
      <c r="Y204" s="205" t="str">
        <f t="shared" si="88"/>
        <v/>
      </c>
      <c r="Z204" s="205" t="str">
        <f t="shared" si="89"/>
        <v/>
      </c>
      <c r="AA204" s="205">
        <f>IF(COUNT(Q123)=0,"",SUM(Q123))</f>
        <v>45</v>
      </c>
      <c r="AB204" s="205">
        <f>IF(COUNT(P123)=0,"",SUM(P123))</f>
        <v>33.8333333333333</v>
      </c>
      <c r="AC204" s="222">
        <f t="shared" si="92"/>
        <v>0.3300492610837451</v>
      </c>
      <c r="AD204" s="205">
        <f t="shared" si="93"/>
        <v>8229</v>
      </c>
      <c r="AE204" s="205">
        <f t="shared" si="94"/>
        <v>7514.75</v>
      </c>
      <c r="AF204" s="222">
        <f t="shared" si="95"/>
        <v>9.5046408729498655E-2</v>
      </c>
      <c r="AG204" s="205" t="str">
        <f>IF(Building_Master!E15="","",Building_Master!E15)</f>
        <v/>
      </c>
      <c r="AH204" s="205" t="str">
        <f>IF(Building_Master!F15="","",Building_Master!F15)</f>
        <v/>
      </c>
      <c r="AI204" s="210" t="str">
        <f>IFERROR(IF(Building_Master!H15&lt;&gt;"","with "&amp;Building_Master!H15,IF(OR(AG204="",AND(AA204="",SUMIF(Building_Master!$H$5:$H$22,$A204,$AA$194:$AA$211)=0)),"",(N(AA204)+SUMIF(Building_Master!$H$5:$H$22,$A204,$AA$194:$AA$211))*1000/(AG204*$B$13))),"")</f>
        <v/>
      </c>
      <c r="AJ204" s="210" t="str">
        <f>IFERROR(IF(Building_Master!H15&lt;&gt;"","with "&amp;Building_Master!H15,IF(OR(AG204="",AND(AD204="",SUMIF(Building_Master!$H$5:$H$22,$A204,$AD$194:$AD$211)=0)),"",(N(AD204)+SUMIF(Building_Master!$H$5:$H$22,$A204,$AD$194:$AD$211))/AG204)),"")</f>
        <v/>
      </c>
      <c r="AK204" s="212" t="str">
        <f t="shared" si="96"/>
        <v/>
      </c>
      <c r="AL204" s="213">
        <f t="shared" si="97"/>
        <v>6.4029595902105859E-3</v>
      </c>
      <c r="AM204" s="213">
        <f t="shared" si="98"/>
        <v>5.6869384934346921E-2</v>
      </c>
      <c r="AN204" s="205">
        <f>IF(COUNT(U123)=0,"",SUM(U123))</f>
        <v>45</v>
      </c>
      <c r="AO204" s="205">
        <f t="shared" si="100"/>
        <v>8229</v>
      </c>
      <c r="AP204" s="205">
        <f>IF(COUNT(R123)=0,"",SUM(R123))</f>
        <v>558</v>
      </c>
      <c r="AQ204" s="205">
        <f t="shared" si="102"/>
        <v>69436</v>
      </c>
    </row>
    <row r="205" spans="1:43" x14ac:dyDescent="0.2">
      <c r="A205" t="s">
        <v>239</v>
      </c>
      <c r="B205" t="s">
        <v>234</v>
      </c>
      <c r="C205" s="205">
        <f t="shared" ref="C205:N205" si="113">IF(COUNT(C125)=0,"",SUM(C125))</f>
        <v>1</v>
      </c>
      <c r="D205" s="205">
        <f t="shared" si="113"/>
        <v>25</v>
      </c>
      <c r="E205" s="205">
        <f t="shared" si="113"/>
        <v>53</v>
      </c>
      <c r="F205" s="205">
        <f t="shared" si="113"/>
        <v>329</v>
      </c>
      <c r="G205" s="205">
        <f t="shared" si="113"/>
        <v>224</v>
      </c>
      <c r="H205" s="205">
        <f t="shared" si="113"/>
        <v>61</v>
      </c>
      <c r="I205" s="205">
        <f t="shared" si="113"/>
        <v>78</v>
      </c>
      <c r="J205" s="205">
        <f t="shared" si="113"/>
        <v>38</v>
      </c>
      <c r="K205" s="205" t="str">
        <f t="shared" si="113"/>
        <v/>
      </c>
      <c r="L205" s="205" t="str">
        <f t="shared" si="113"/>
        <v/>
      </c>
      <c r="M205" s="205" t="str">
        <f t="shared" si="113"/>
        <v/>
      </c>
      <c r="N205" s="205" t="str">
        <f t="shared" si="113"/>
        <v/>
      </c>
      <c r="O205" s="205">
        <f t="shared" si="78"/>
        <v>14400</v>
      </c>
      <c r="P205" s="205">
        <f t="shared" si="79"/>
        <v>17500</v>
      </c>
      <c r="Q205" s="205">
        <f t="shared" si="80"/>
        <v>20100</v>
      </c>
      <c r="R205" s="205">
        <f t="shared" si="81"/>
        <v>21900</v>
      </c>
      <c r="S205" s="205">
        <f t="shared" si="82"/>
        <v>26200</v>
      </c>
      <c r="T205" s="205">
        <f t="shared" si="83"/>
        <v>17200</v>
      </c>
      <c r="U205" s="205">
        <f t="shared" si="84"/>
        <v>18700</v>
      </c>
      <c r="V205" s="205">
        <f t="shared" si="85"/>
        <v>18300</v>
      </c>
      <c r="W205" s="205" t="str">
        <f t="shared" si="86"/>
        <v/>
      </c>
      <c r="X205" s="205" t="str">
        <f t="shared" si="87"/>
        <v/>
      </c>
      <c r="Y205" s="205" t="str">
        <f t="shared" si="88"/>
        <v/>
      </c>
      <c r="Z205" s="205" t="str">
        <f t="shared" si="89"/>
        <v/>
      </c>
      <c r="AA205" s="205">
        <f>IF(COUNT(Q125)=0,"",SUM(Q125))</f>
        <v>38</v>
      </c>
      <c r="AB205" s="205">
        <f>IF(COUNT(P125)=0,"",SUM(P125))</f>
        <v>8.75</v>
      </c>
      <c r="AC205" s="222">
        <f t="shared" si="92"/>
        <v>3.3428571428571425</v>
      </c>
      <c r="AD205" s="205">
        <f t="shared" si="93"/>
        <v>18300</v>
      </c>
      <c r="AE205" s="205">
        <f t="shared" si="94"/>
        <v>18408.333333333201</v>
      </c>
      <c r="AF205" s="222">
        <f t="shared" si="95"/>
        <v>-5.8850158442662615E-3</v>
      </c>
      <c r="AG205" s="205" t="str">
        <f>IF(Building_Master!E16="","",Building_Master!E16)</f>
        <v/>
      </c>
      <c r="AH205" s="205" t="str">
        <f>IF(Building_Master!F16="","",Building_Master!F16)</f>
        <v/>
      </c>
      <c r="AI205" s="210" t="str">
        <f>IFERROR(IF(Building_Master!H16&lt;&gt;"","with "&amp;Building_Master!H16,IF(OR(AG205="",AND(AA205="",SUMIF(Building_Master!$H$5:$H$22,$A205,$AA$194:$AA$211)=0)),"",(N(AA205)+SUMIF(Building_Master!$H$5:$H$22,$A205,$AA$194:$AA$211))*1000/(AG205*$B$13))),"")</f>
        <v/>
      </c>
      <c r="AJ205" s="210" t="str">
        <f>IFERROR(IF(Building_Master!H16&lt;&gt;"","with "&amp;Building_Master!H16,IF(OR(AG205="",AND(AD205="",SUMIF(Building_Master!$H$5:$H$22,$A205,$AD$194:$AD$211)=0)),"",(N(AD205)+SUMIF(Building_Master!$H$5:$H$22,$A205,$AD$194:$AD$211))/AG205)),"")</f>
        <v/>
      </c>
      <c r="AK205" s="212" t="str">
        <f t="shared" si="96"/>
        <v/>
      </c>
      <c r="AL205" s="213">
        <f t="shared" si="97"/>
        <v>5.4069436539556058E-3</v>
      </c>
      <c r="AM205" s="213">
        <f t="shared" si="98"/>
        <v>0.12646855563234277</v>
      </c>
      <c r="AN205" s="205">
        <f>IF(COUNT(U125)=0,"",SUM(U125))</f>
        <v>38</v>
      </c>
      <c r="AO205" s="205">
        <f t="shared" si="100"/>
        <v>18300</v>
      </c>
      <c r="AP205" s="205">
        <f>IF(COUNT(R125)=0,"",SUM(R125))</f>
        <v>809</v>
      </c>
      <c r="AQ205" s="205">
        <f t="shared" si="102"/>
        <v>154300</v>
      </c>
    </row>
    <row r="206" spans="1:43" x14ac:dyDescent="0.2">
      <c r="A206" t="s">
        <v>240</v>
      </c>
      <c r="B206" t="s">
        <v>241</v>
      </c>
      <c r="C206" s="205">
        <f t="shared" ref="C206:N206" si="114">IF(COUNT(C126)=0,"",SUM(C126))</f>
        <v>180</v>
      </c>
      <c r="D206" s="205">
        <f t="shared" si="114"/>
        <v>186</v>
      </c>
      <c r="E206" s="205">
        <f t="shared" si="114"/>
        <v>587</v>
      </c>
      <c r="F206" s="205">
        <f t="shared" si="114"/>
        <v>28</v>
      </c>
      <c r="G206" s="205">
        <f t="shared" si="114"/>
        <v>73</v>
      </c>
      <c r="H206" s="205">
        <f t="shared" si="114"/>
        <v>77</v>
      </c>
      <c r="I206" s="205">
        <f t="shared" si="114"/>
        <v>1089</v>
      </c>
      <c r="J206" s="205">
        <f t="shared" si="114"/>
        <v>1094</v>
      </c>
      <c r="K206" s="205" t="str">
        <f t="shared" si="114"/>
        <v/>
      </c>
      <c r="L206" s="205" t="str">
        <f t="shared" si="114"/>
        <v/>
      </c>
      <c r="M206" s="205" t="str">
        <f t="shared" si="114"/>
        <v/>
      </c>
      <c r="N206" s="205" t="str">
        <f t="shared" si="114"/>
        <v/>
      </c>
      <c r="O206" s="205">
        <f t="shared" ref="O206:Z206" si="115">IF(C159="","",C159)</f>
        <v>12770</v>
      </c>
      <c r="P206" s="205">
        <f t="shared" si="115"/>
        <v>15830</v>
      </c>
      <c r="Q206" s="205">
        <f t="shared" si="115"/>
        <v>19230</v>
      </c>
      <c r="R206" s="205">
        <f t="shared" si="115"/>
        <v>25480</v>
      </c>
      <c r="S206" s="205">
        <f t="shared" si="115"/>
        <v>27890</v>
      </c>
      <c r="T206" s="205">
        <f t="shared" si="115"/>
        <v>19950</v>
      </c>
      <c r="U206" s="205">
        <f t="shared" si="115"/>
        <v>21650</v>
      </c>
      <c r="V206" s="205">
        <f t="shared" si="115"/>
        <v>25640</v>
      </c>
      <c r="W206" s="205" t="str">
        <f t="shared" si="115"/>
        <v/>
      </c>
      <c r="X206" s="205" t="str">
        <f t="shared" si="115"/>
        <v/>
      </c>
      <c r="Y206" s="205" t="str">
        <f t="shared" si="115"/>
        <v/>
      </c>
      <c r="Z206" s="205" t="str">
        <f t="shared" si="115"/>
        <v/>
      </c>
      <c r="AA206" s="205">
        <f>IF(COUNT(Q126)=0,"",SUM(Q126))</f>
        <v>1094</v>
      </c>
      <c r="AB206" s="205">
        <f>IF(COUNT(P126)=0,"",SUM(P126))</f>
        <v>183.25</v>
      </c>
      <c r="AC206" s="222">
        <f t="shared" si="92"/>
        <v>4.9699863574351975</v>
      </c>
      <c r="AD206" s="205">
        <f>Q159</f>
        <v>25640</v>
      </c>
      <c r="AE206" s="205">
        <f>O159</f>
        <v>25376.833333333201</v>
      </c>
      <c r="AF206" s="222">
        <f t="shared" si="95"/>
        <v>1.037035091061278E-2</v>
      </c>
      <c r="AG206" s="205" t="str">
        <f>IF(Building_Master!E17="","",Building_Master!E17)</f>
        <v/>
      </c>
      <c r="AH206" s="205" t="str">
        <f>IF(Building_Master!F17="","",Building_Master!F17)</f>
        <v/>
      </c>
      <c r="AI206" s="210" t="str">
        <f>IFERROR(IF(Building_Master!H17&lt;&gt;"","with "&amp;Building_Master!H17,IF(OR(AG206="",AND(AA206="",SUMIF(Building_Master!$H$5:$H$22,$A206,$AA$194:$AA$211)=0)),"",(N(AA206)+SUMIF(Building_Master!$H$5:$H$22,$A206,$AA$194:$AA$211))*1000/(AG206*$B$13))),"")</f>
        <v/>
      </c>
      <c r="AJ206" s="210" t="str">
        <f>IFERROR(IF(Building_Master!H17&lt;&gt;"","with "&amp;Building_Master!H17,IF(OR(AG206="",AND(AD206="",SUMIF(Building_Master!$H$5:$H$22,$A206,$AD$194:$AD$211)=0)),"",(N(AD206)+SUMIF(Building_Master!$H$5:$H$22,$A206,$AD$194:$AD$211))/AG206)),"")</f>
        <v/>
      </c>
      <c r="AK206" s="212" t="str">
        <f t="shared" si="96"/>
        <v/>
      </c>
      <c r="AL206" s="213">
        <f t="shared" si="97"/>
        <v>0.15566306203756403</v>
      </c>
      <c r="AM206" s="213">
        <f t="shared" si="98"/>
        <v>0.17719419488597096</v>
      </c>
      <c r="AN206" s="205">
        <f>IF(COUNT(U126)=0,"",SUM(U126))</f>
        <v>1094</v>
      </c>
      <c r="AO206" s="205">
        <f>U159</f>
        <v>25640</v>
      </c>
      <c r="AP206" s="205">
        <f>IF(COUNT(R126)=0,"",SUM(R126))</f>
        <v>3314</v>
      </c>
      <c r="AQ206" s="205">
        <f>R159</f>
        <v>168440</v>
      </c>
    </row>
    <row r="207" spans="1:43" x14ac:dyDescent="0.2">
      <c r="A207" t="s">
        <v>243</v>
      </c>
      <c r="B207" t="s">
        <v>241</v>
      </c>
      <c r="C207" s="205">
        <f t="shared" ref="C207:N207" si="116">IF(COUNT(C128)=0,"",SUM(C128))</f>
        <v>151</v>
      </c>
      <c r="D207" s="205">
        <f t="shared" si="116"/>
        <v>121</v>
      </c>
      <c r="E207" s="205">
        <f t="shared" si="116"/>
        <v>53</v>
      </c>
      <c r="F207" s="205">
        <f t="shared" si="116"/>
        <v>46</v>
      </c>
      <c r="G207" s="205">
        <f t="shared" si="116"/>
        <v>106</v>
      </c>
      <c r="H207" s="205">
        <f t="shared" si="116"/>
        <v>146</v>
      </c>
      <c r="I207" s="205">
        <f t="shared" si="116"/>
        <v>124</v>
      </c>
      <c r="J207" s="205">
        <f t="shared" si="116"/>
        <v>54</v>
      </c>
      <c r="K207" s="205" t="str">
        <f t="shared" si="116"/>
        <v/>
      </c>
      <c r="L207" s="205" t="str">
        <f t="shared" si="116"/>
        <v/>
      </c>
      <c r="M207" s="205" t="str">
        <f t="shared" si="116"/>
        <v/>
      </c>
      <c r="N207" s="205" t="str">
        <f t="shared" si="116"/>
        <v/>
      </c>
      <c r="O207" s="205">
        <f t="shared" ref="O207:Z207" si="117">IF(C154="","",C154)</f>
        <v>5755</v>
      </c>
      <c r="P207" s="205">
        <f t="shared" si="117"/>
        <v>6473</v>
      </c>
      <c r="Q207" s="205">
        <f t="shared" si="117"/>
        <v>8754</v>
      </c>
      <c r="R207" s="205">
        <f t="shared" si="117"/>
        <v>8861</v>
      </c>
      <c r="S207" s="205">
        <f t="shared" si="117"/>
        <v>8785</v>
      </c>
      <c r="T207" s="205">
        <f t="shared" si="117"/>
        <v>7367</v>
      </c>
      <c r="U207" s="205">
        <f t="shared" si="117"/>
        <v>7545</v>
      </c>
      <c r="V207" s="205">
        <f t="shared" si="117"/>
        <v>9768</v>
      </c>
      <c r="W207" s="205" t="str">
        <f t="shared" si="117"/>
        <v/>
      </c>
      <c r="X207" s="205" t="str">
        <f t="shared" si="117"/>
        <v/>
      </c>
      <c r="Y207" s="205" t="str">
        <f t="shared" si="117"/>
        <v/>
      </c>
      <c r="Z207" s="205" t="str">
        <f t="shared" si="117"/>
        <v/>
      </c>
      <c r="AA207" s="205">
        <f>IF(COUNT(Q128)=0,"",SUM(Q128))</f>
        <v>54</v>
      </c>
      <c r="AB207" s="205">
        <f>IF(COUNT(P128)=0,"",SUM(P128))</f>
        <v>467.16666666666703</v>
      </c>
      <c r="AC207" s="222">
        <f t="shared" si="92"/>
        <v>-0.88440956118444536</v>
      </c>
      <c r="AD207" s="205">
        <f>Q154</f>
        <v>9768</v>
      </c>
      <c r="AE207" s="205">
        <f>O154</f>
        <v>5689.2583333333196</v>
      </c>
      <c r="AF207" s="222">
        <f t="shared" si="95"/>
        <v>0.71691975081696779</v>
      </c>
      <c r="AG207" s="205" t="str">
        <f>IF(Building_Master!E18="","",Building_Master!E18)</f>
        <v/>
      </c>
      <c r="AH207" s="205" t="str">
        <f>IF(Building_Master!F18="","",Building_Master!F18)</f>
        <v/>
      </c>
      <c r="AI207" s="210" t="str">
        <f>IFERROR(IF(Building_Master!H18&lt;&gt;"","with "&amp;Building_Master!H18,IF(OR(AG207="",AND(AA207="",SUMIF(Building_Master!$H$5:$H$22,$A207,$AA$194:$AA$211)=0)),"",(N(AA207)+SUMIF(Building_Master!$H$5:$H$22,$A207,$AA$194:$AA$211))*1000/(AG207*$B$13))),"")</f>
        <v/>
      </c>
      <c r="AJ207" s="210" t="str">
        <f>IFERROR(IF(Building_Master!H18&lt;&gt;"","with "&amp;Building_Master!H18,IF(OR(AG207="",AND(AD207="",SUMIF(Building_Master!$H$5:$H$22,$A207,$AD$194:$AD$211)=0)),"",(N(AD207)+SUMIF(Building_Master!$H$5:$H$22,$A207,$AD$194:$AD$211))/AG207)),"")</f>
        <v/>
      </c>
      <c r="AK207" s="212" t="str">
        <f t="shared" si="96"/>
        <v/>
      </c>
      <c r="AL207" s="213">
        <f t="shared" si="97"/>
        <v>7.6835515082527032E-3</v>
      </c>
      <c r="AM207" s="213">
        <f t="shared" si="98"/>
        <v>6.7505183137525918E-2</v>
      </c>
      <c r="AN207" s="205">
        <f>IF(COUNT(U128)=0,"",SUM(U128))</f>
        <v>54</v>
      </c>
      <c r="AO207" s="205">
        <f>U154</f>
        <v>9768</v>
      </c>
      <c r="AP207" s="205">
        <f>IF(COUNT(R128)=0,"",SUM(R128))</f>
        <v>801</v>
      </c>
      <c r="AQ207" s="205">
        <f>R154</f>
        <v>63308</v>
      </c>
    </row>
    <row r="208" spans="1:43" x14ac:dyDescent="0.2">
      <c r="A208" t="s">
        <v>242</v>
      </c>
      <c r="B208" t="s">
        <v>241</v>
      </c>
      <c r="C208" s="205">
        <f t="shared" ref="C208:N208" si="118">IF(COUNT(C127)=0,"",SUM(C127))</f>
        <v>526</v>
      </c>
      <c r="D208" s="205">
        <f t="shared" si="118"/>
        <v>576</v>
      </c>
      <c r="E208" s="205">
        <f t="shared" si="118"/>
        <v>633</v>
      </c>
      <c r="F208" s="205">
        <f t="shared" si="118"/>
        <v>661</v>
      </c>
      <c r="G208" s="205">
        <f t="shared" si="118"/>
        <v>482</v>
      </c>
      <c r="H208" s="205">
        <f t="shared" si="118"/>
        <v>477</v>
      </c>
      <c r="I208" s="205">
        <f t="shared" si="118"/>
        <v>1640</v>
      </c>
      <c r="J208" s="205">
        <f t="shared" si="118"/>
        <v>1559</v>
      </c>
      <c r="K208" s="205" t="str">
        <f t="shared" si="118"/>
        <v/>
      </c>
      <c r="L208" s="205" t="str">
        <f t="shared" si="118"/>
        <v/>
      </c>
      <c r="M208" s="205" t="str">
        <f t="shared" si="118"/>
        <v/>
      </c>
      <c r="N208" s="205" t="str">
        <f t="shared" si="118"/>
        <v/>
      </c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>
        <f>IF(COUNT(Q127)=0,"",SUM(Q127))</f>
        <v>1559</v>
      </c>
      <c r="AB208" s="205">
        <f>IF(COUNT(P127)=0,"",SUM(P127))</f>
        <v>452.91666666666703</v>
      </c>
      <c r="AC208" s="222">
        <f t="shared" si="92"/>
        <v>2.4421343146274124</v>
      </c>
      <c r="AD208" s="205"/>
      <c r="AE208" s="205"/>
      <c r="AF208" s="222" t="str">
        <f t="shared" si="95"/>
        <v/>
      </c>
      <c r="AG208" s="205" t="str">
        <f>IF(Building_Master!E19="","",Building_Master!E19)</f>
        <v/>
      </c>
      <c r="AH208" s="205" t="str">
        <f>IF(Building_Master!F19="","",Building_Master!F19)</f>
        <v/>
      </c>
      <c r="AI208" s="210" t="str">
        <f>IFERROR(IF(Building_Master!H19&lt;&gt;"","with "&amp;Building_Master!H19,IF(OR(AG208="",AND(AA208="",SUMIF(Building_Master!$H$5:$H$22,$A208,$AA$194:$AA$211)=0)),"",(N(AA208)+SUMIF(Building_Master!$H$5:$H$22,$A208,$AA$194:$AA$211))*1000/(AG208*$B$13))),"")</f>
        <v/>
      </c>
      <c r="AJ208" s="210" t="str">
        <f>IFERROR(IF(Building_Master!H19&lt;&gt;"","with "&amp;Building_Master!H19,IF(OR(AG208="",AND(AD208="",SUMIF(Building_Master!$H$5:$H$22,$A208,$AD$194:$AD$211)=0)),"",(N(AD208)+SUMIF(Building_Master!$H$5:$H$22,$A208,$AD$194:$AD$211))/AG208)),"")</f>
        <v/>
      </c>
      <c r="AK208" s="212" t="str">
        <f t="shared" si="96"/>
        <v/>
      </c>
      <c r="AL208" s="213">
        <f t="shared" si="97"/>
        <v>0.22182697780307342</v>
      </c>
      <c r="AM208" s="213" t="str">
        <f t="shared" si="98"/>
        <v/>
      </c>
      <c r="AN208" s="205">
        <f>IF(COUNT(U127)=0,"",SUM(U127))</f>
        <v>1559</v>
      </c>
      <c r="AO208" s="205"/>
      <c r="AP208" s="205">
        <f>IF(COUNT(R127)=0,"",SUM(R127))</f>
        <v>6554</v>
      </c>
      <c r="AQ208" s="205"/>
    </row>
    <row r="209" spans="1:43" x14ac:dyDescent="0.2">
      <c r="A209" t="s">
        <v>244</v>
      </c>
      <c r="B209" t="s">
        <v>245</v>
      </c>
      <c r="C209" s="205">
        <f t="shared" ref="C209:N209" si="119">IF(COUNT(C129)=0,"",SUM(C129))</f>
        <v>468</v>
      </c>
      <c r="D209" s="205">
        <f t="shared" si="119"/>
        <v>497</v>
      </c>
      <c r="E209" s="205">
        <f t="shared" si="119"/>
        <v>520</v>
      </c>
      <c r="F209" s="205">
        <f t="shared" si="119"/>
        <v>468</v>
      </c>
      <c r="G209" s="205">
        <f t="shared" si="119"/>
        <v>445</v>
      </c>
      <c r="H209" s="205">
        <f t="shared" si="119"/>
        <v>589</v>
      </c>
      <c r="I209" s="205">
        <f t="shared" si="119"/>
        <v>598</v>
      </c>
      <c r="J209" s="205">
        <f t="shared" si="119"/>
        <v>570</v>
      </c>
      <c r="K209" s="205" t="str">
        <f t="shared" si="119"/>
        <v/>
      </c>
      <c r="L209" s="205" t="str">
        <f t="shared" si="119"/>
        <v/>
      </c>
      <c r="M209" s="205" t="str">
        <f t="shared" si="119"/>
        <v/>
      </c>
      <c r="N209" s="205" t="str">
        <f t="shared" si="119"/>
        <v/>
      </c>
      <c r="O209" s="205">
        <f t="shared" ref="O209:Z209" si="120">IF(C155="","",C155)</f>
        <v>2527</v>
      </c>
      <c r="P209" s="205">
        <f t="shared" si="120"/>
        <v>2796</v>
      </c>
      <c r="Q209" s="205">
        <f t="shared" si="120"/>
        <v>3576</v>
      </c>
      <c r="R209" s="205">
        <f t="shared" si="120"/>
        <v>3870</v>
      </c>
      <c r="S209" s="205">
        <f t="shared" si="120"/>
        <v>3937</v>
      </c>
      <c r="T209" s="205">
        <f t="shared" si="120"/>
        <v>3733</v>
      </c>
      <c r="U209" s="205">
        <f t="shared" si="120"/>
        <v>4140</v>
      </c>
      <c r="V209" s="205">
        <f t="shared" si="120"/>
        <v>3784</v>
      </c>
      <c r="W209" s="205" t="str">
        <f t="shared" si="120"/>
        <v/>
      </c>
      <c r="X209" s="205" t="str">
        <f t="shared" si="120"/>
        <v/>
      </c>
      <c r="Y209" s="205" t="str">
        <f t="shared" si="120"/>
        <v/>
      </c>
      <c r="Z209" s="205" t="str">
        <f t="shared" si="120"/>
        <v/>
      </c>
      <c r="AA209" s="205">
        <f>IF(COUNT(Q129)=0,"",SUM(Q129))</f>
        <v>570</v>
      </c>
      <c r="AB209" s="205">
        <f>IF(COUNT(P129)=0,"",SUM(P129))</f>
        <v>1140.6666666666599</v>
      </c>
      <c r="AC209" s="222">
        <f t="shared" si="92"/>
        <v>-0.50029222676796903</v>
      </c>
      <c r="AD209" s="205">
        <f>Q155</f>
        <v>3784</v>
      </c>
      <c r="AE209" s="205">
        <f>O155</f>
        <v>3302.5833333333198</v>
      </c>
      <c r="AF209" s="222">
        <f t="shared" si="95"/>
        <v>0.14576972571976943</v>
      </c>
      <c r="AG209" s="205" t="str">
        <f>IF(Building_Master!E20="","",Building_Master!E20)</f>
        <v/>
      </c>
      <c r="AH209" s="205" t="str">
        <f>IF(Building_Master!F20="","",Building_Master!F20)</f>
        <v/>
      </c>
      <c r="AI209" s="210" t="str">
        <f>IFERROR(IF(Building_Master!H20&lt;&gt;"","with "&amp;Building_Master!H20,IF(OR(AG209="",AND(AA209="",SUMIF(Building_Master!$H$5:$H$22,$A209,$AA$194:$AA$211)=0)),"",(N(AA209)+SUMIF(Building_Master!$H$5:$H$22,$A209,$AA$194:$AA$211))*1000/(AG209*$B$13))),"")</f>
        <v/>
      </c>
      <c r="AJ209" s="210" t="str">
        <f>IFERROR(IF(Building_Master!H20&lt;&gt;"","with "&amp;Building_Master!H20,IF(OR(AG209="",AND(AD209="",SUMIF(Building_Master!$H$5:$H$22,$A209,$AD$194:$AD$211)=0)),"",(N(AD209)+SUMIF(Building_Master!$H$5:$H$22,$A209,$AD$194:$AD$211))/AG209)),"")</f>
        <v/>
      </c>
      <c r="AK209" s="212" t="str">
        <f t="shared" si="96"/>
        <v/>
      </c>
      <c r="AL209" s="213">
        <f t="shared" si="97"/>
        <v>8.1104154809334097E-2</v>
      </c>
      <c r="AM209" s="213">
        <f t="shared" si="98"/>
        <v>2.6150656530753283E-2</v>
      </c>
      <c r="AN209" s="205">
        <f>IF(COUNT(U129)=0,"",SUM(U129))</f>
        <v>570</v>
      </c>
      <c r="AO209" s="205">
        <f>U155</f>
        <v>3784</v>
      </c>
      <c r="AP209" s="205">
        <f>IF(COUNT(R129)=0,"",SUM(R129))</f>
        <v>4155</v>
      </c>
      <c r="AQ209" s="205">
        <f>R155</f>
        <v>28363</v>
      </c>
    </row>
    <row r="210" spans="1:43" x14ac:dyDescent="0.2">
      <c r="A210" t="s">
        <v>246</v>
      </c>
      <c r="B210" t="s">
        <v>245</v>
      </c>
      <c r="C210" s="205">
        <f t="shared" ref="C210:N210" si="121">IF(COUNT(C130)=0,"",SUM(C130))</f>
        <v>48</v>
      </c>
      <c r="D210" s="205">
        <f t="shared" si="121"/>
        <v>33</v>
      </c>
      <c r="E210" s="205">
        <f t="shared" si="121"/>
        <v>43</v>
      </c>
      <c r="F210" s="205">
        <f t="shared" si="121"/>
        <v>78</v>
      </c>
      <c r="G210" s="205">
        <f t="shared" si="121"/>
        <v>204</v>
      </c>
      <c r="H210" s="205">
        <f t="shared" si="121"/>
        <v>96</v>
      </c>
      <c r="I210" s="205">
        <f t="shared" si="121"/>
        <v>176</v>
      </c>
      <c r="J210" s="205">
        <f t="shared" si="121"/>
        <v>209</v>
      </c>
      <c r="K210" s="205" t="str">
        <f t="shared" si="121"/>
        <v/>
      </c>
      <c r="L210" s="205" t="str">
        <f t="shared" si="121"/>
        <v/>
      </c>
      <c r="M210" s="205" t="str">
        <f t="shared" si="121"/>
        <v/>
      </c>
      <c r="N210" s="205" t="str">
        <f t="shared" si="121"/>
        <v/>
      </c>
      <c r="O210" s="205">
        <f t="shared" ref="O210:Z210" si="122">IF(C160="","",C160)</f>
        <v>780</v>
      </c>
      <c r="P210" s="205">
        <f t="shared" si="122"/>
        <v>1440</v>
      </c>
      <c r="Q210" s="205">
        <f t="shared" si="122"/>
        <v>3957</v>
      </c>
      <c r="R210" s="205">
        <f t="shared" si="122"/>
        <v>8560.2999999999993</v>
      </c>
      <c r="S210" s="205">
        <f t="shared" si="122"/>
        <v>7497.7</v>
      </c>
      <c r="T210" s="205">
        <f t="shared" si="122"/>
        <v>2035.8</v>
      </c>
      <c r="U210" s="205">
        <f t="shared" si="122"/>
        <v>2497.9</v>
      </c>
      <c r="V210" s="205">
        <f t="shared" si="122"/>
        <v>4852</v>
      </c>
      <c r="W210" s="205" t="str">
        <f t="shared" si="122"/>
        <v/>
      </c>
      <c r="X210" s="205" t="str">
        <f t="shared" si="122"/>
        <v/>
      </c>
      <c r="Y210" s="205" t="str">
        <f t="shared" si="122"/>
        <v/>
      </c>
      <c r="Z210" s="205" t="str">
        <f t="shared" si="122"/>
        <v/>
      </c>
      <c r="AA210" s="205">
        <f>IF(COUNT(Q130)=0,"",SUM(Q130))</f>
        <v>209</v>
      </c>
      <c r="AB210" s="205" t="str">
        <f>IF(COUNT(P130)=0,"",SUM(P130))</f>
        <v/>
      </c>
      <c r="AC210" s="222" t="str">
        <f t="shared" si="92"/>
        <v/>
      </c>
      <c r="AD210" s="205">
        <f>Q160</f>
        <v>4852</v>
      </c>
      <c r="AE210" s="205">
        <f>O160</f>
        <v>2515.2083333333198</v>
      </c>
      <c r="AF210" s="222">
        <f t="shared" si="95"/>
        <v>0.92906485546261286</v>
      </c>
      <c r="AG210" s="205" t="str">
        <f>IF(Building_Master!E21="","",Building_Master!E21)</f>
        <v/>
      </c>
      <c r="AH210" s="205" t="str">
        <f>IF(Building_Master!F21="","",Building_Master!F21)</f>
        <v/>
      </c>
      <c r="AI210" s="210" t="str">
        <f>IFERROR(IF(Building_Master!H21&lt;&gt;"","with "&amp;Building_Master!H21,IF(OR(AG210="",AND(AA210="",SUMIF(Building_Master!$H$5:$H$22,$A210,$AA$194:$AA$211)=0)),"",(N(AA210)+SUMIF(Building_Master!$H$5:$H$22,$A210,$AA$194:$AA$211))*1000/(AG210*$B$13))),"")</f>
        <v/>
      </c>
      <c r="AJ210" s="210" t="str">
        <f>IFERROR(IF(Building_Master!H21&lt;&gt;"","with "&amp;Building_Master!H21,IF(OR(AG210="",AND(AD210="",SUMIF(Building_Master!$H$5:$H$22,$A210,$AD$194:$AD$211)=0)),"",(N(AD210)+SUMIF(Building_Master!$H$5:$H$22,$A210,$AD$194:$AD$211))/AG210)),"")</f>
        <v/>
      </c>
      <c r="AK210" s="212" t="str">
        <f t="shared" si="96"/>
        <v/>
      </c>
      <c r="AL210" s="213">
        <f t="shared" si="97"/>
        <v>2.9738190096755834E-2</v>
      </c>
      <c r="AM210" s="213">
        <f t="shared" si="98"/>
        <v>3.3531444367657225E-2</v>
      </c>
      <c r="AN210" s="205">
        <f>IF(COUNT(U130)=0,"",SUM(U130))</f>
        <v>209</v>
      </c>
      <c r="AO210" s="205">
        <f>U160</f>
        <v>4852</v>
      </c>
      <c r="AP210" s="205">
        <f>IF(COUNT(R130)=0,"",SUM(R130))</f>
        <v>887</v>
      </c>
      <c r="AQ210" s="205">
        <f>R160</f>
        <v>31620.7</v>
      </c>
    </row>
    <row r="211" spans="1:43" x14ac:dyDescent="0.2">
      <c r="A211" t="s">
        <v>247</v>
      </c>
      <c r="B211" t="s">
        <v>245</v>
      </c>
      <c r="C211" s="205">
        <f t="shared" ref="C211:N211" si="123">IF(COUNT(C131)=0,"",SUM(C131))</f>
        <v>94</v>
      </c>
      <c r="D211" s="205">
        <f t="shared" si="123"/>
        <v>98</v>
      </c>
      <c r="E211" s="205">
        <f t="shared" si="123"/>
        <v>104</v>
      </c>
      <c r="F211" s="205">
        <f t="shared" si="123"/>
        <v>15</v>
      </c>
      <c r="G211" s="205">
        <f t="shared" si="123"/>
        <v>87</v>
      </c>
      <c r="H211" s="205">
        <f t="shared" si="123"/>
        <v>68</v>
      </c>
      <c r="I211" s="205">
        <f t="shared" si="123"/>
        <v>89</v>
      </c>
      <c r="J211" s="205">
        <f t="shared" si="123"/>
        <v>135</v>
      </c>
      <c r="K211" s="205" t="str">
        <f t="shared" si="123"/>
        <v/>
      </c>
      <c r="L211" s="205" t="str">
        <f t="shared" si="123"/>
        <v/>
      </c>
      <c r="M211" s="205" t="str">
        <f t="shared" si="123"/>
        <v/>
      </c>
      <c r="N211" s="205" t="str">
        <f t="shared" si="123"/>
        <v/>
      </c>
      <c r="O211" s="205">
        <f t="shared" ref="O211:Z211" si="124">IF(C138="","",C138)</f>
        <v>2447</v>
      </c>
      <c r="P211" s="205">
        <f t="shared" si="124"/>
        <v>2920</v>
      </c>
      <c r="Q211" s="205">
        <f t="shared" si="124"/>
        <v>3006</v>
      </c>
      <c r="R211" s="205">
        <f t="shared" si="124"/>
        <v>3383</v>
      </c>
      <c r="S211" s="205">
        <f t="shared" si="124"/>
        <v>2839</v>
      </c>
      <c r="T211" s="205">
        <f t="shared" si="124"/>
        <v>2202</v>
      </c>
      <c r="U211" s="205">
        <f t="shared" si="124"/>
        <v>2875</v>
      </c>
      <c r="V211" s="205">
        <f t="shared" si="124"/>
        <v>3382</v>
      </c>
      <c r="W211" s="205" t="str">
        <f t="shared" si="124"/>
        <v/>
      </c>
      <c r="X211" s="205" t="str">
        <f t="shared" si="124"/>
        <v/>
      </c>
      <c r="Y211" s="205" t="str">
        <f t="shared" si="124"/>
        <v/>
      </c>
      <c r="Z211" s="205" t="str">
        <f t="shared" si="124"/>
        <v/>
      </c>
      <c r="AA211" s="205">
        <f>IF(COUNT(Q131)=0,"",SUM(Q131))</f>
        <v>135</v>
      </c>
      <c r="AB211" s="205" t="str">
        <f>IF(COUNT(P131)=0,"",SUM(P131))</f>
        <v/>
      </c>
      <c r="AC211" s="222" t="str">
        <f t="shared" si="92"/>
        <v/>
      </c>
      <c r="AD211" s="205">
        <f>Q138</f>
        <v>3382</v>
      </c>
      <c r="AE211" s="205">
        <f>O138</f>
        <v>2706.5</v>
      </c>
      <c r="AF211" s="222">
        <f t="shared" si="95"/>
        <v>0.24958433401071489</v>
      </c>
      <c r="AG211" s="205" t="str">
        <f>IF(Building_Master!E22="","",Building_Master!E22)</f>
        <v/>
      </c>
      <c r="AH211" s="205" t="str">
        <f>IF(Building_Master!F22="","",Building_Master!F22)</f>
        <v/>
      </c>
      <c r="AI211" s="210" t="str">
        <f>IFERROR(IF(Building_Master!H22&lt;&gt;"","with "&amp;Building_Master!H22,IF(OR(AG211="",AND(AA211="",SUMIF(Building_Master!$H$5:$H$22,$A211,$AA$194:$AA$211)=0)),"",(N(AA211)+SUMIF(Building_Master!$H$5:$H$22,$A211,$AA$194:$AA$211))*1000/(AG211*$B$13))),"")</f>
        <v/>
      </c>
      <c r="AJ211" s="210" t="str">
        <f>IFERROR(IF(Building_Master!H22&lt;&gt;"","with "&amp;Building_Master!H22,IF(OR(AG211="",AND(AD211="",SUMIF(Building_Master!$H$5:$H$22,$A211,$AD$194:$AD$211)=0)),"",(N(AD211)+SUMIF(Building_Master!$H$5:$H$22,$A211,$AD$194:$AD$211))/AG211)),"")</f>
        <v/>
      </c>
      <c r="AK211" s="212" t="str">
        <f t="shared" si="96"/>
        <v/>
      </c>
      <c r="AL211" s="213">
        <f t="shared" si="97"/>
        <v>1.9208878770631758E-2</v>
      </c>
      <c r="AM211" s="213">
        <f t="shared" si="98"/>
        <v>2.3372494816862474E-2</v>
      </c>
      <c r="AN211" s="205">
        <f>IF(COUNT(U131)=0,"",SUM(U131))</f>
        <v>135</v>
      </c>
      <c r="AO211" s="205">
        <f>U138</f>
        <v>3382</v>
      </c>
      <c r="AP211" s="205">
        <f>IF(COUNT(R131)=0,"",SUM(R131))</f>
        <v>690</v>
      </c>
      <c r="AQ211" s="205">
        <f>R138</f>
        <v>23054</v>
      </c>
    </row>
    <row r="213" spans="1:43" ht="15.75" x14ac:dyDescent="0.25">
      <c r="A213" s="208" t="s">
        <v>883</v>
      </c>
    </row>
    <row r="214" spans="1:43" ht="15" x14ac:dyDescent="0.2">
      <c r="A214" s="202" t="s">
        <v>191</v>
      </c>
      <c r="B214" s="202" t="s">
        <v>884</v>
      </c>
      <c r="C214" s="202" t="s">
        <v>885</v>
      </c>
      <c r="D214" s="202" t="s">
        <v>886</v>
      </c>
      <c r="E214" s="202" t="s">
        <v>887</v>
      </c>
    </row>
    <row r="215" spans="1:43" x14ac:dyDescent="0.2">
      <c r="A215" t="s">
        <v>123</v>
      </c>
      <c r="B215" s="205">
        <f>IFERROR(IF($B$4="All Facilities",IF(COUNT($C$194:$C$211)=0,"",SUM($C$194:$C$211)),INDEX($C$194:$C$211,MATCH($B$4,$A$194:$A$211,0))),"")</f>
        <v>3511</v>
      </c>
      <c r="C215" s="205">
        <f>IFERROR(IF($B$4="All Facilities",IF(COUNT($O$194:$O$211)=0,"",SUM($O$194:$O$211)),INDEX($O$194:$O$211,MATCH($B$4,$A$194:$A$211,0))),"")</f>
        <v>80056</v>
      </c>
      <c r="D215" s="215">
        <f t="shared" ref="D215:D226" si="125">IF(B215="",0,B215)</f>
        <v>3511</v>
      </c>
      <c r="E215" s="215">
        <f t="shared" ref="E215:E226" si="126">IF(C215="",0,C215)</f>
        <v>80056</v>
      </c>
    </row>
    <row r="216" spans="1:43" x14ac:dyDescent="0.2">
      <c r="A216" t="s">
        <v>124</v>
      </c>
      <c r="B216" s="205">
        <f>IFERROR(IF($B$4="All Facilities",IF(COUNT($D$194:$D$211)=0,"",SUM($D$194:$D$211)),INDEX($D$194:$D$211,MATCH($B$4,$A$194:$A$211,0))),"")</f>
        <v>3737</v>
      </c>
      <c r="C216" s="205">
        <f>IFERROR(IF($B$4="All Facilities",IF(COUNT($P$194:$P$211)=0,"",SUM($P$194:$P$211)),INDEX($P$194:$P$211,MATCH($B$4,$A$194:$A$211,0))),"")</f>
        <v>101684</v>
      </c>
      <c r="D216" s="215">
        <f t="shared" si="125"/>
        <v>3737</v>
      </c>
      <c r="E216" s="215">
        <f t="shared" si="126"/>
        <v>101684</v>
      </c>
    </row>
    <row r="217" spans="1:43" x14ac:dyDescent="0.2">
      <c r="A217" t="s">
        <v>125</v>
      </c>
      <c r="B217" s="205">
        <f>IFERROR(IF($B$4="All Facilities",IF(COUNT($E$194:$E$211)=0,"",SUM($E$194:$E$211)),INDEX($E$194:$E$211,MATCH($B$4,$A$194:$A$211,0))),"")</f>
        <v>4736</v>
      </c>
      <c r="C217" s="205">
        <f>IFERROR(IF($B$4="All Facilities",IF(COUNT($Q$194:$Q$211)=0,"",SUM($Q$194:$Q$211)),INDEX($Q$194:$Q$211,MATCH($B$4,$A$194:$A$211,0))),"")</f>
        <v>143684</v>
      </c>
      <c r="D217" s="215">
        <f t="shared" si="125"/>
        <v>4736</v>
      </c>
      <c r="E217" s="215">
        <f t="shared" si="126"/>
        <v>143684</v>
      </c>
    </row>
    <row r="218" spans="1:43" x14ac:dyDescent="0.2">
      <c r="A218" t="s">
        <v>126</v>
      </c>
      <c r="B218" s="205">
        <f>IFERROR(IF($B$4="All Facilities",IF(COUNT($F$194:$F$211)=0,"",SUM($F$194:$F$211)),INDEX($F$194:$F$211,MATCH($B$4,$A$194:$A$211,0))),"")</f>
        <v>4529</v>
      </c>
      <c r="C218" s="205">
        <f>IFERROR(IF($B$4="All Facilities",IF(COUNT($R$194:$R$211)=0,"",SUM($R$194:$R$211)),INDEX($R$194:$R$211,MATCH($B$4,$A$194:$A$211,0))),"")</f>
        <v>196729.3</v>
      </c>
      <c r="D218" s="215">
        <f t="shared" si="125"/>
        <v>4529</v>
      </c>
      <c r="E218" s="215">
        <f t="shared" si="126"/>
        <v>196729.3</v>
      </c>
    </row>
    <row r="219" spans="1:43" x14ac:dyDescent="0.2">
      <c r="A219" t="s">
        <v>127</v>
      </c>
      <c r="B219" s="205">
        <f>IFERROR(IF($B$4="All Facilities",IF(COUNT($G$194:$G$211)=0,"",SUM($G$194:$G$211)),INDEX($G$194:$G$211,MATCH($B$4,$A$194:$A$211,0))),"")</f>
        <v>4021</v>
      </c>
      <c r="C219" s="205">
        <f>IFERROR(IF($B$4="All Facilities",IF(COUNT($S$194:$S$211)=0,"",SUM($S$194:$S$211)),INDEX($S$194:$S$211,MATCH($B$4,$A$194:$A$211,0))),"")</f>
        <v>200837.7</v>
      </c>
      <c r="D219" s="215">
        <f t="shared" si="125"/>
        <v>4021</v>
      </c>
      <c r="E219" s="215">
        <f t="shared" si="126"/>
        <v>200837.7</v>
      </c>
    </row>
    <row r="220" spans="1:43" x14ac:dyDescent="0.2">
      <c r="A220" t="s">
        <v>128</v>
      </c>
      <c r="B220" s="205">
        <f>IFERROR(IF($B$4="All Facilities",IF(COUNT($H$194:$H$211)=0,"",SUM($H$194:$H$211)),INDEX($H$194:$H$211,MATCH($B$4,$A$194:$A$211,0))),"")</f>
        <v>2574</v>
      </c>
      <c r="C220" s="205">
        <f>IFERROR(IF($B$4="All Facilities",IF(COUNT($T$194:$T$211)=0,"",SUM($T$194:$T$211)),INDEX($T$194:$T$211,MATCH($B$4,$A$194:$A$211,0))),"")</f>
        <v>96730.8</v>
      </c>
      <c r="D220" s="215">
        <f t="shared" si="125"/>
        <v>2574</v>
      </c>
      <c r="E220" s="215">
        <f t="shared" si="126"/>
        <v>96730.8</v>
      </c>
    </row>
    <row r="221" spans="1:43" x14ac:dyDescent="0.2">
      <c r="A221" t="s">
        <v>129</v>
      </c>
      <c r="B221" s="205">
        <f>IFERROR(IF($B$4="All Facilities",IF(COUNT($I$194:$I$211)=0,"",SUM($I$194:$I$211)),INDEX($I$194:$I$211,MATCH($B$4,$A$194:$A$211,0))),"")</f>
        <v>6551</v>
      </c>
      <c r="C221" s="205">
        <f>IFERROR(IF($B$4="All Facilities",IF(COUNT($U$194:$U$211)=0,"",SUM($U$194:$U$211)),INDEX($U$194:$U$211,MATCH($B$4,$A$194:$A$211,0))),"")</f>
        <v>119356.9</v>
      </c>
      <c r="D221" s="215">
        <f t="shared" si="125"/>
        <v>6551</v>
      </c>
      <c r="E221" s="215">
        <f t="shared" si="126"/>
        <v>119356.9</v>
      </c>
    </row>
    <row r="222" spans="1:43" x14ac:dyDescent="0.2">
      <c r="A222" t="s">
        <v>7</v>
      </c>
      <c r="B222" s="205">
        <f>IFERROR(IF($B$4="All Facilities",IF(COUNT($J$194:$J$211)=0,"",SUM($J$194:$J$211)),INDEX($J$194:$J$211,MATCH($B$4,$A$194:$A$211,0))),"")</f>
        <v>7028</v>
      </c>
      <c r="C222" s="205">
        <f>IFERROR(IF($B$4="All Facilities",IF(COUNT($V$194:$V$211)=0,"",SUM($V$194:$V$211)),INDEX($V$194:$V$211,MATCH($B$4,$A$194:$A$211,0))),"")</f>
        <v>144700</v>
      </c>
      <c r="D222" s="215">
        <f t="shared" si="125"/>
        <v>7028</v>
      </c>
      <c r="E222" s="215">
        <f t="shared" si="126"/>
        <v>144700</v>
      </c>
    </row>
    <row r="223" spans="1:43" x14ac:dyDescent="0.2">
      <c r="A223" t="s">
        <v>130</v>
      </c>
      <c r="B223" s="205" t="str">
        <f>IFERROR(IF($B$4="All Facilities",IF(COUNT($K$194:$K$211)=0,"",SUM($K$194:$K$211)),INDEX($K$194:$K$211,MATCH($B$4,$A$194:$A$211,0))),"")</f>
        <v/>
      </c>
      <c r="C223" s="205" t="str">
        <f>IFERROR(IF($B$4="All Facilities",IF(COUNT($W$194:$W$211)=0,"",SUM($W$194:$W$211)),INDEX($W$194:$W$211,MATCH($B$4,$A$194:$A$211,0))),"")</f>
        <v/>
      </c>
      <c r="D223" s="215">
        <f t="shared" si="125"/>
        <v>0</v>
      </c>
      <c r="E223" s="215">
        <f t="shared" si="126"/>
        <v>0</v>
      </c>
    </row>
    <row r="224" spans="1:43" x14ac:dyDescent="0.2">
      <c r="A224" t="s">
        <v>131</v>
      </c>
      <c r="B224" s="205" t="str">
        <f>IFERROR(IF($B$4="All Facilities",IF(COUNT($L$194:$L$211)=0,"",SUM($L$194:$L$211)),INDEX($L$194:$L$211,MATCH($B$4,$A$194:$A$211,0))),"")</f>
        <v/>
      </c>
      <c r="C224" s="205" t="str">
        <f>IFERROR(IF($B$4="All Facilities",IF(COUNT($X$194:$X$211)=0,"",SUM($X$194:$X$211)),INDEX($X$194:$X$211,MATCH($B$4,$A$194:$A$211,0))),"")</f>
        <v/>
      </c>
      <c r="D224" s="215">
        <f t="shared" si="125"/>
        <v>0</v>
      </c>
      <c r="E224" s="215">
        <f t="shared" si="126"/>
        <v>0</v>
      </c>
    </row>
    <row r="225" spans="1:5" x14ac:dyDescent="0.2">
      <c r="A225" t="s">
        <v>132</v>
      </c>
      <c r="B225" s="205" t="str">
        <f>IFERROR(IF($B$4="All Facilities",IF(COUNT($M$194:$M$211)=0,"",SUM($M$194:$M$211)),INDEX($M$194:$M$211,MATCH($B$4,$A$194:$A$211,0))),"")</f>
        <v/>
      </c>
      <c r="C225" s="205" t="str">
        <f>IFERROR(IF($B$4="All Facilities",IF(COUNT($Y$194:$Y$211)=0,"",SUM($Y$194:$Y$211)),INDEX($Y$194:$Y$211,MATCH($B$4,$A$194:$A$211,0))),"")</f>
        <v/>
      </c>
      <c r="D225" s="215">
        <f t="shared" si="125"/>
        <v>0</v>
      </c>
      <c r="E225" s="215">
        <f t="shared" si="126"/>
        <v>0</v>
      </c>
    </row>
    <row r="226" spans="1:5" x14ac:dyDescent="0.2">
      <c r="A226" t="s">
        <v>133</v>
      </c>
      <c r="B226" s="205" t="str">
        <f>IFERROR(IF($B$4="All Facilities",IF(COUNT($N$194:$N$211)=0,"",SUM($N$194:$N$211)),INDEX($N$194:$N$211,MATCH($B$4,$A$194:$A$211,0))),"")</f>
        <v/>
      </c>
      <c r="C226" s="205" t="str">
        <f>IFERROR(IF($B$4="All Facilities",IF(COUNT($Z$194:$Z$211)=0,"",SUM($Z$194:$Z$211)),INDEX($Z$194:$Z$211,MATCH($B$4,$A$194:$A$211,0))),"")</f>
        <v/>
      </c>
      <c r="D226" s="215">
        <f t="shared" si="125"/>
        <v>0</v>
      </c>
      <c r="E226" s="215">
        <f t="shared" si="126"/>
        <v>0</v>
      </c>
    </row>
    <row r="229" spans="1:5" ht="15" x14ac:dyDescent="0.2">
      <c r="A229" s="202" t="s">
        <v>888</v>
      </c>
      <c r="B229" s="202" t="s">
        <v>889</v>
      </c>
    </row>
    <row r="230" spans="1:5" x14ac:dyDescent="0.2">
      <c r="A230" t="s">
        <v>225</v>
      </c>
      <c r="B230" s="205">
        <f>SUMIF($B$112:$B$131,A230,$Q$112:$Q$131)</f>
        <v>3122</v>
      </c>
    </row>
    <row r="231" spans="1:5" x14ac:dyDescent="0.2">
      <c r="A231" t="s">
        <v>234</v>
      </c>
      <c r="B231" s="205">
        <f>SUMIF($B$112:$B$131,A231,$Q$112:$Q$131)</f>
        <v>285</v>
      </c>
    </row>
    <row r="232" spans="1:5" x14ac:dyDescent="0.2">
      <c r="A232" t="s">
        <v>241</v>
      </c>
      <c r="B232" s="205">
        <f>SUMIF($B$112:$B$131,A232,$Q$112:$Q$131)</f>
        <v>2707</v>
      </c>
    </row>
    <row r="233" spans="1:5" x14ac:dyDescent="0.2">
      <c r="A233" t="s">
        <v>245</v>
      </c>
      <c r="B233" s="205">
        <f>SUMIF($B$112:$B$131,A233,$Q$112:$Q$131)</f>
        <v>914</v>
      </c>
    </row>
    <row r="236" spans="1:5" ht="15" x14ac:dyDescent="0.2">
      <c r="A236" s="202" t="s">
        <v>142</v>
      </c>
      <c r="B236" s="202" t="s">
        <v>201</v>
      </c>
      <c r="C236" s="202" t="s">
        <v>145</v>
      </c>
      <c r="D236" s="202" t="s">
        <v>139</v>
      </c>
      <c r="E236" s="202" t="s">
        <v>621</v>
      </c>
    </row>
    <row r="237" spans="1:5" x14ac:dyDescent="0.2">
      <c r="A237" t="s">
        <v>160</v>
      </c>
      <c r="B237" s="209">
        <f>IFERROR(IF(G34="","",G34/G36*100),"")</f>
        <v>39.931255116370124</v>
      </c>
      <c r="C237" s="209">
        <f>IFERROR(IF(G35="","",G35/G36*100),"")</f>
        <v>47.424715313504393</v>
      </c>
      <c r="D237" s="209">
        <v>100</v>
      </c>
      <c r="E237" s="209">
        <f>IFERROR(AVERAGE(G21:G32)/G36*100,"")</f>
        <v>26.424306003873376</v>
      </c>
    </row>
    <row r="238" spans="1:5" x14ac:dyDescent="0.2">
      <c r="A238" t="s">
        <v>890</v>
      </c>
      <c r="B238" s="209">
        <f>IFERROR(IF(J34="","",J34/J36*100),"")</f>
        <v>38.572377094995026</v>
      </c>
      <c r="C238" s="209">
        <f>IFERROR(IF(J35="","",J35/J36*100),"")</f>
        <v>58.476717352344174</v>
      </c>
      <c r="D238" s="209">
        <v>100</v>
      </c>
      <c r="E238" s="209">
        <f>IFERROR(AVERAGE(J21:J32)/J36*100,"")</f>
        <v>55.50180854737777</v>
      </c>
    </row>
    <row r="239" spans="1:5" x14ac:dyDescent="0.2">
      <c r="A239" t="s">
        <v>891</v>
      </c>
      <c r="B239" s="209" t="str">
        <f>IFERROR(IF(N34="","",N34/N36*100),"")</f>
        <v/>
      </c>
      <c r="C239" s="209">
        <f>IFERROR(IF(N35="","",N35/N36*100),"")</f>
        <v>139.28166622106573</v>
      </c>
      <c r="D239" s="209">
        <v>100</v>
      </c>
      <c r="E239" s="209">
        <f>IFERROR(AVERAGE(N21:N32)/N36*100,"")</f>
        <v>98.815329173554659</v>
      </c>
    </row>
    <row r="240" spans="1:5" x14ac:dyDescent="0.2">
      <c r="A240" t="s">
        <v>892</v>
      </c>
      <c r="B240" s="209" t="str">
        <f>IFERROR(IF(AB34="","",AB34/AB36*100),"")</f>
        <v/>
      </c>
      <c r="C240" s="209">
        <f>IFERROR(IF(AB35="","",AB35/AB36*100),"")</f>
        <v>340.03708747658624</v>
      </c>
      <c r="D240" s="209">
        <v>100</v>
      </c>
      <c r="E240" s="209">
        <f>IFERROR(AVERAGE(AB21:AB32)/AB36*100,"")</f>
        <v>122.22348381858872</v>
      </c>
    </row>
    <row r="241" spans="1:19" x14ac:dyDescent="0.2">
      <c r="A241" t="s">
        <v>893</v>
      </c>
      <c r="B241" s="209">
        <f>IFERROR(IF(L34="","",L34/L36*100),"")</f>
        <v>46.743321827284817</v>
      </c>
      <c r="C241" s="209">
        <f>IFERROR(IF(L35="","",L35/L36*100),"")</f>
        <v>114.39733184065676</v>
      </c>
      <c r="D241" s="209">
        <v>100</v>
      </c>
      <c r="E241" s="209">
        <f>IFERROR(AVERAGE(L21:L32)/L36*100,"")</f>
        <v>101.06119973878161</v>
      </c>
    </row>
    <row r="242" spans="1:19" x14ac:dyDescent="0.2">
      <c r="A242" t="s">
        <v>894</v>
      </c>
      <c r="B242" s="209">
        <f>IFERROR(IF(Q34="","",Q34/Q36*100),"")</f>
        <v>145.55664007823464</v>
      </c>
      <c r="C242" s="209">
        <f>IFERROR(IF(Q35="","",Q35/Q36*100),"")</f>
        <v>132.6460403273912</v>
      </c>
      <c r="D242" s="209">
        <v>100</v>
      </c>
      <c r="E242" s="209">
        <f>IFERROR(AVERAGE(Q21:Q32)/Q36*100,"")</f>
        <v>87.229961153570969</v>
      </c>
    </row>
    <row r="243" spans="1:19" x14ac:dyDescent="0.2">
      <c r="A243" t="s">
        <v>895</v>
      </c>
      <c r="B243" s="209">
        <f>IFERROR(IF(K34="","",K34/K36*100),"")</f>
        <v>159.43847623947954</v>
      </c>
      <c r="C243" s="209">
        <f>IFERROR(IF(K35="","",K35/K36*100),"")</f>
        <v>79.032673012606182</v>
      </c>
      <c r="D243" s="209">
        <v>100</v>
      </c>
      <c r="E243" s="209">
        <f>IFERROR(AVERAGE(K21:K32)/K36*100,"")</f>
        <v>72.521959645705508</v>
      </c>
    </row>
    <row r="244" spans="1:19" x14ac:dyDescent="0.2">
      <c r="A244" t="s">
        <v>896</v>
      </c>
      <c r="B244" s="209">
        <f>IFERROR(IF(C34="","",C34/C36*100),"")</f>
        <v>184.41176470588238</v>
      </c>
      <c r="C244" s="209">
        <f>IFERROR(IF(C35="","",C35/C36*100),"")</f>
        <v>170.0980392156859</v>
      </c>
      <c r="D244" s="209">
        <v>100</v>
      </c>
      <c r="E244" s="209">
        <f>IFERROR(AVERAGE(C21:C32)/C36*100,"")</f>
        <v>189.41176470588235</v>
      </c>
    </row>
    <row r="248" spans="1:19" ht="15" x14ac:dyDescent="0.2">
      <c r="A248" s="202" t="s">
        <v>897</v>
      </c>
      <c r="B248" s="202" t="s">
        <v>898</v>
      </c>
      <c r="C248" s="202" t="s">
        <v>899</v>
      </c>
      <c r="D248" s="202" t="s">
        <v>900</v>
      </c>
      <c r="F248" s="202" t="s">
        <v>901</v>
      </c>
      <c r="G248" s="202" t="s">
        <v>898</v>
      </c>
      <c r="H248" s="202" t="s">
        <v>899</v>
      </c>
      <c r="I248" s="202" t="s">
        <v>900</v>
      </c>
      <c r="K248" s="202" t="s">
        <v>902</v>
      </c>
      <c r="L248" s="202" t="s">
        <v>898</v>
      </c>
      <c r="M248" s="202" t="s">
        <v>899</v>
      </c>
      <c r="N248" s="202" t="s">
        <v>900</v>
      </c>
      <c r="P248" s="202" t="s">
        <v>903</v>
      </c>
      <c r="Q248" s="202" t="s">
        <v>898</v>
      </c>
      <c r="R248" s="202" t="s">
        <v>899</v>
      </c>
      <c r="S248" s="202" t="s">
        <v>900</v>
      </c>
    </row>
    <row r="249" spans="1:19" x14ac:dyDescent="0.2">
      <c r="A249">
        <f t="shared" ref="A249:A268" si="127">IF(ISNUMBER(Q112),Q112,0)+ROW()/1000000</f>
        <v>329.000249</v>
      </c>
      <c r="B249">
        <v>1</v>
      </c>
      <c r="C249" t="str">
        <f t="shared" ref="C249:C268" si="128">INDEX($A$112:$A$131,MATCH(LARGE($A$249:$A$268,B249),$A$249:$A$268,0))</f>
        <v>Swimming Pool</v>
      </c>
      <c r="D249" s="205">
        <f t="shared" ref="D249:D268" si="129">INDEX($Q$112:$Q$131,MATCH(LARGE($A$249:$A$268,B249),$A$249:$A$268,0))</f>
        <v>1559</v>
      </c>
      <c r="F249">
        <f t="shared" ref="F249:F269" si="130">IF(ISNUMBER(Q136),Q136,0)+ROW()/1000000</f>
        <v>815.00024900000005</v>
      </c>
      <c r="G249">
        <v>1</v>
      </c>
      <c r="H249" t="str">
        <f t="shared" ref="H249:H273" si="131">INDEX($A$136:$A$160,MATCH(LARGE($F$249:$F$273,G249),$F$249:$F$273,0))</f>
        <v>Commons</v>
      </c>
      <c r="I249" s="205">
        <f t="shared" ref="I249:I273" si="132">INDEX($Q$136:$Q$160,MATCH(LARGE($F$249:$F$273,G249),$F$249:$F$273,0))</f>
        <v>25640</v>
      </c>
      <c r="K249">
        <f t="shared" ref="K249:K259" si="133">IF(ISNUMBER(Q165),Q165,0)+ROW()/1000000</f>
        <v>2457.0002490000002</v>
      </c>
      <c r="L249">
        <v>1</v>
      </c>
      <c r="M249" t="str">
        <f t="shared" ref="M249:M259" si="134">INDEX($A$165:$A$175,MATCH(LARGE($K$249:$K$259,L249),$K$249:$K$259,0))</f>
        <v>SS</v>
      </c>
      <c r="N249" s="205">
        <f t="shared" ref="N249:N259" si="135">INDEX($Q$165:$Q$175,MATCH(LARGE($K$249:$K$259,L249),$K$249:$K$259,0))</f>
        <v>4596</v>
      </c>
      <c r="P249">
        <f t="shared" ref="P249:P258" si="136">IF(ISNUMBER(Q180),Q180,0)+ROW()/1000000</f>
        <v>19530.000249000001</v>
      </c>
      <c r="Q249">
        <v>1</v>
      </c>
      <c r="R249" t="str">
        <f t="shared" ref="R249:R258" si="137">INDEX($A$180:$A$189,MATCH(LARGE($P$249:$P$258,Q249),$P$249:$P$258,0))</f>
        <v>Ground Mount And Substation</v>
      </c>
      <c r="S249" s="205">
        <f t="shared" ref="S249:S258" si="138">INDEX($Q$180:$Q$189,MATCH(LARGE($P$249:$P$258,Q249),$P$249:$P$258,0))</f>
        <v>44867</v>
      </c>
    </row>
    <row r="250" spans="1:19" x14ac:dyDescent="0.2">
      <c r="A250">
        <f t="shared" si="127"/>
        <v>312.00024999999999</v>
      </c>
      <c r="B250">
        <v>2</v>
      </c>
      <c r="C250" t="str">
        <f t="shared" si="128"/>
        <v>SR-9-10B1A</v>
      </c>
      <c r="D250" s="205">
        <f t="shared" si="129"/>
        <v>1468</v>
      </c>
      <c r="F250">
        <f t="shared" si="130"/>
        <v>1331.0002500000001</v>
      </c>
      <c r="G250">
        <v>2</v>
      </c>
      <c r="H250" t="str">
        <f t="shared" si="131"/>
        <v>Academy Building</v>
      </c>
      <c r="I250" s="205">
        <f t="shared" si="132"/>
        <v>18300</v>
      </c>
      <c r="K250">
        <f t="shared" si="133"/>
        <v>4596.0002500000001</v>
      </c>
      <c r="L250">
        <v>2</v>
      </c>
      <c r="M250" t="str">
        <f t="shared" si="134"/>
        <v>Nursery</v>
      </c>
      <c r="N250" s="205">
        <f t="shared" si="135"/>
        <v>2850</v>
      </c>
      <c r="P250">
        <f t="shared" si="136"/>
        <v>4783.0002500000001</v>
      </c>
      <c r="Q250">
        <v>2</v>
      </c>
      <c r="R250" t="str">
        <f t="shared" si="137"/>
        <v>Ab Building</v>
      </c>
      <c r="S250" s="205">
        <f t="shared" si="138"/>
        <v>19530</v>
      </c>
    </row>
    <row r="251" spans="1:19" x14ac:dyDescent="0.2">
      <c r="A251">
        <f t="shared" si="127"/>
        <v>64.000251000000006</v>
      </c>
      <c r="B251">
        <v>3</v>
      </c>
      <c r="C251" t="str">
        <f t="shared" si="128"/>
        <v>Commons</v>
      </c>
      <c r="D251" s="205">
        <f t="shared" si="129"/>
        <v>1094</v>
      </c>
      <c r="F251">
        <f t="shared" si="130"/>
        <v>3382.0002509999999</v>
      </c>
      <c r="G251">
        <v>3</v>
      </c>
      <c r="H251" t="str">
        <f t="shared" si="131"/>
        <v>SR-9-10B</v>
      </c>
      <c r="I251" s="205">
        <f t="shared" si="132"/>
        <v>12306</v>
      </c>
      <c r="K251">
        <f t="shared" si="133"/>
        <v>1137.0002509999999</v>
      </c>
      <c r="L251">
        <v>3</v>
      </c>
      <c r="M251" t="str">
        <f t="shared" si="134"/>
        <v>SR9/10B</v>
      </c>
      <c r="N251" s="205">
        <f t="shared" si="135"/>
        <v>2647</v>
      </c>
      <c r="P251">
        <f t="shared" si="136"/>
        <v>3955.0002509999999</v>
      </c>
      <c r="Q251">
        <v>3</v>
      </c>
      <c r="R251" t="str">
        <f t="shared" si="137"/>
        <v>Commons Building</v>
      </c>
      <c r="S251" s="205">
        <f t="shared" si="138"/>
        <v>17451</v>
      </c>
    </row>
    <row r="252" spans="1:19" x14ac:dyDescent="0.2">
      <c r="A252">
        <f t="shared" si="127"/>
        <v>194.00025199999999</v>
      </c>
      <c r="B252">
        <v>4</v>
      </c>
      <c r="C252" t="str">
        <f t="shared" si="128"/>
        <v>SR-11-12CA</v>
      </c>
      <c r="D252" s="205">
        <f t="shared" si="129"/>
        <v>710</v>
      </c>
      <c r="F252">
        <f t="shared" si="130"/>
        <v>933.00025200000005</v>
      </c>
      <c r="G252">
        <v>4</v>
      </c>
      <c r="H252" t="str">
        <f t="shared" si="131"/>
        <v>Pump House</v>
      </c>
      <c r="I252" s="205">
        <f t="shared" si="132"/>
        <v>11500</v>
      </c>
      <c r="K252">
        <f t="shared" si="133"/>
        <v>1271.000252</v>
      </c>
      <c r="L252">
        <v>4</v>
      </c>
      <c r="M252" t="str">
        <f t="shared" si="134"/>
        <v>JS</v>
      </c>
      <c r="N252" s="205">
        <f t="shared" si="135"/>
        <v>2457</v>
      </c>
      <c r="P252">
        <f t="shared" si="136"/>
        <v>17451.000252000002</v>
      </c>
      <c r="Q252">
        <v>4</v>
      </c>
      <c r="R252" t="str">
        <f t="shared" si="137"/>
        <v>Facility Block</v>
      </c>
      <c r="S252" s="205">
        <f t="shared" si="138"/>
        <v>6770</v>
      </c>
    </row>
    <row r="253" spans="1:19" x14ac:dyDescent="0.2">
      <c r="A253">
        <f t="shared" si="127"/>
        <v>1468.0002529999999</v>
      </c>
      <c r="B253">
        <v>5</v>
      </c>
      <c r="C253" t="str">
        <f t="shared" si="128"/>
        <v>PCM</v>
      </c>
      <c r="D253" s="205">
        <f t="shared" si="129"/>
        <v>570</v>
      </c>
      <c r="F253">
        <f t="shared" si="130"/>
        <v>4790.0002530000002</v>
      </c>
      <c r="G253">
        <v>5</v>
      </c>
      <c r="H253" t="str">
        <f t="shared" si="131"/>
        <v>Junior School-1,2&amp;3</v>
      </c>
      <c r="I253" s="205">
        <f t="shared" si="132"/>
        <v>10905</v>
      </c>
      <c r="K253">
        <f t="shared" si="133"/>
        <v>485.00025299999999</v>
      </c>
      <c r="L253">
        <v>5</v>
      </c>
      <c r="M253" t="str">
        <f t="shared" si="134"/>
        <v>SR11/12CB</v>
      </c>
      <c r="N253" s="205">
        <f t="shared" si="135"/>
        <v>2387</v>
      </c>
      <c r="P253">
        <f t="shared" si="136"/>
        <v>6770.0002530000002</v>
      </c>
      <c r="Q253">
        <v>5</v>
      </c>
      <c r="R253" t="str">
        <f t="shared" si="137"/>
        <v>Ss Laboratory</v>
      </c>
      <c r="S253" s="205">
        <f t="shared" si="138"/>
        <v>6643</v>
      </c>
    </row>
    <row r="254" spans="1:19" x14ac:dyDescent="0.2">
      <c r="A254">
        <f t="shared" si="127"/>
        <v>45.000253999999998</v>
      </c>
      <c r="B254">
        <v>6</v>
      </c>
      <c r="C254" t="str">
        <f t="shared" si="128"/>
        <v>SR-1</v>
      </c>
      <c r="D254" s="205">
        <f t="shared" si="129"/>
        <v>329</v>
      </c>
      <c r="F254">
        <f t="shared" si="130"/>
        <v>4692.0002539999996</v>
      </c>
      <c r="G254">
        <v>6</v>
      </c>
      <c r="H254" t="str">
        <f t="shared" si="131"/>
        <v>On call</v>
      </c>
      <c r="I254" s="205">
        <f t="shared" si="132"/>
        <v>10147</v>
      </c>
      <c r="K254">
        <f t="shared" si="133"/>
        <v>420.28025399999996</v>
      </c>
      <c r="L254">
        <v>6</v>
      </c>
      <c r="M254" t="str">
        <f t="shared" si="134"/>
        <v>SR9/10A</v>
      </c>
      <c r="N254" s="205">
        <f t="shared" si="135"/>
        <v>2376</v>
      </c>
      <c r="P254">
        <f t="shared" si="136"/>
        <v>44867.000253999999</v>
      </c>
      <c r="Q254">
        <v>6</v>
      </c>
      <c r="R254" t="str">
        <f t="shared" si="137"/>
        <v>Art And Music</v>
      </c>
      <c r="S254" s="205">
        <f t="shared" si="138"/>
        <v>4783</v>
      </c>
    </row>
    <row r="255" spans="1:19" x14ac:dyDescent="0.2">
      <c r="A255">
        <f t="shared" si="127"/>
        <v>710.00025500000004</v>
      </c>
      <c r="B255">
        <v>7</v>
      </c>
      <c r="C255" t="str">
        <f t="shared" si="128"/>
        <v>SR-2</v>
      </c>
      <c r="D255" s="205">
        <f t="shared" si="129"/>
        <v>312</v>
      </c>
      <c r="F255">
        <f t="shared" si="130"/>
        <v>5092.0002549999999</v>
      </c>
      <c r="G255">
        <v>7</v>
      </c>
      <c r="H255" t="str">
        <f t="shared" si="131"/>
        <v>Athletic Centre</v>
      </c>
      <c r="I255" s="205">
        <f t="shared" si="132"/>
        <v>9768</v>
      </c>
      <c r="K255">
        <f t="shared" si="133"/>
        <v>2376.0002549999999</v>
      </c>
      <c r="L255">
        <v>7</v>
      </c>
      <c r="M255" t="str">
        <f t="shared" si="134"/>
        <v>SR11/12CA</v>
      </c>
      <c r="N255" s="205">
        <f t="shared" si="135"/>
        <v>1331.6</v>
      </c>
      <c r="P255">
        <f t="shared" si="136"/>
        <v>4045.0002549999999</v>
      </c>
      <c r="Q255">
        <v>7</v>
      </c>
      <c r="R255" t="str">
        <f t="shared" si="137"/>
        <v>Squash Court</v>
      </c>
      <c r="S255" s="205">
        <f t="shared" si="138"/>
        <v>4047</v>
      </c>
    </row>
    <row r="256" spans="1:19" x14ac:dyDescent="0.2">
      <c r="A256">
        <f t="shared" si="127"/>
        <v>2.5599999999999999E-4</v>
      </c>
      <c r="B256">
        <v>8</v>
      </c>
      <c r="C256" t="str">
        <f t="shared" si="128"/>
        <v>Nursery</v>
      </c>
      <c r="D256" s="205">
        <f t="shared" si="129"/>
        <v>209</v>
      </c>
      <c r="F256">
        <f t="shared" si="130"/>
        <v>6408.0002560000003</v>
      </c>
      <c r="G256">
        <v>8</v>
      </c>
      <c r="H256" t="str">
        <f t="shared" si="131"/>
        <v>Senior School-1&amp;3</v>
      </c>
      <c r="I256" s="205">
        <f t="shared" si="132"/>
        <v>8760</v>
      </c>
      <c r="K256">
        <f t="shared" si="133"/>
        <v>2647.0002559999998</v>
      </c>
      <c r="L256">
        <v>8</v>
      </c>
      <c r="M256" t="str">
        <f t="shared" si="134"/>
        <v>SR2</v>
      </c>
      <c r="N256" s="205">
        <f t="shared" si="135"/>
        <v>1271</v>
      </c>
      <c r="P256">
        <f t="shared" si="136"/>
        <v>3820.0002559999998</v>
      </c>
      <c r="Q256">
        <v>8</v>
      </c>
      <c r="R256" t="str">
        <f t="shared" si="137"/>
        <v>Js Library</v>
      </c>
      <c r="S256" s="205">
        <f t="shared" si="138"/>
        <v>4045</v>
      </c>
    </row>
    <row r="257" spans="1:19" x14ac:dyDescent="0.2">
      <c r="A257">
        <f t="shared" si="127"/>
        <v>2.5700000000000001E-4</v>
      </c>
      <c r="B257">
        <v>9</v>
      </c>
      <c r="C257" t="str">
        <f t="shared" si="128"/>
        <v>SR-4</v>
      </c>
      <c r="D257" s="205">
        <f t="shared" si="129"/>
        <v>194</v>
      </c>
      <c r="F257">
        <f t="shared" si="130"/>
        <v>3576.0002570000001</v>
      </c>
      <c r="G257">
        <v>9</v>
      </c>
      <c r="H257" t="str">
        <f t="shared" si="131"/>
        <v>SR-11-12CB</v>
      </c>
      <c r="I257" s="205">
        <f t="shared" si="132"/>
        <v>8718</v>
      </c>
      <c r="K257">
        <f t="shared" si="133"/>
        <v>1331.6002569999998</v>
      </c>
      <c r="L257">
        <v>9</v>
      </c>
      <c r="M257" t="str">
        <f t="shared" si="134"/>
        <v>SR1</v>
      </c>
      <c r="N257" s="205">
        <f t="shared" si="135"/>
        <v>1137</v>
      </c>
      <c r="P257">
        <f t="shared" si="136"/>
        <v>4047.0002570000001</v>
      </c>
      <c r="Q257">
        <v>9</v>
      </c>
      <c r="R257" t="str">
        <f t="shared" si="137"/>
        <v>Athletic Centre</v>
      </c>
      <c r="S257" s="205">
        <f t="shared" si="138"/>
        <v>3955</v>
      </c>
    </row>
    <row r="258" spans="1:19" x14ac:dyDescent="0.2">
      <c r="A258">
        <f t="shared" si="127"/>
        <v>120.000258</v>
      </c>
      <c r="B258">
        <v>10</v>
      </c>
      <c r="C258" t="str">
        <f t="shared" si="128"/>
        <v>Laundry</v>
      </c>
      <c r="D258" s="205">
        <f t="shared" si="129"/>
        <v>135</v>
      </c>
      <c r="F258">
        <f t="shared" si="130"/>
        <v>12306.000258</v>
      </c>
      <c r="G258">
        <v>10</v>
      </c>
      <c r="H258" t="str">
        <f t="shared" si="131"/>
        <v>Senior School-2</v>
      </c>
      <c r="I258" s="205">
        <f t="shared" si="132"/>
        <v>8229</v>
      </c>
      <c r="K258">
        <f t="shared" si="133"/>
        <v>2387.000258</v>
      </c>
      <c r="L258">
        <v>10</v>
      </c>
      <c r="M258" t="str">
        <f t="shared" si="134"/>
        <v>SR3</v>
      </c>
      <c r="N258" s="205">
        <f t="shared" si="135"/>
        <v>485</v>
      </c>
      <c r="P258">
        <f t="shared" si="136"/>
        <v>6643.000258</v>
      </c>
      <c r="Q258">
        <v>10</v>
      </c>
      <c r="R258" t="str">
        <f t="shared" si="137"/>
        <v>Senior School 1</v>
      </c>
      <c r="S258" s="205">
        <f t="shared" si="138"/>
        <v>3820</v>
      </c>
    </row>
    <row r="259" spans="1:19" x14ac:dyDescent="0.2">
      <c r="A259">
        <f t="shared" si="127"/>
        <v>82.000259</v>
      </c>
      <c r="B259">
        <v>11</v>
      </c>
      <c r="C259" t="str">
        <f t="shared" si="128"/>
        <v>Junior School-3</v>
      </c>
      <c r="D259" s="205">
        <f t="shared" si="129"/>
        <v>120</v>
      </c>
      <c r="F259">
        <f t="shared" si="130"/>
        <v>5498.0002590000004</v>
      </c>
      <c r="G259">
        <v>11</v>
      </c>
      <c r="H259" t="str">
        <f t="shared" si="131"/>
        <v>SR-4</v>
      </c>
      <c r="I259" s="205">
        <f t="shared" si="132"/>
        <v>6408</v>
      </c>
      <c r="K259">
        <f t="shared" si="133"/>
        <v>2850.0002589999999</v>
      </c>
      <c r="L259">
        <v>11</v>
      </c>
      <c r="M259" t="str">
        <f t="shared" si="134"/>
        <v>SR4</v>
      </c>
      <c r="N259" s="205">
        <f t="shared" si="135"/>
        <v>420.28</v>
      </c>
    </row>
    <row r="260" spans="1:19" x14ac:dyDescent="0.2">
      <c r="A260">
        <f t="shared" si="127"/>
        <v>45.000259999999997</v>
      </c>
      <c r="B260">
        <v>12</v>
      </c>
      <c r="C260" t="str">
        <f t="shared" si="128"/>
        <v>Senior School-1</v>
      </c>
      <c r="D260" s="205">
        <f t="shared" si="129"/>
        <v>82</v>
      </c>
      <c r="F260">
        <f t="shared" si="130"/>
        <v>8718.0002600000007</v>
      </c>
      <c r="G260">
        <v>12</v>
      </c>
      <c r="H260" t="str">
        <f t="shared" si="131"/>
        <v>SR-11-12CA</v>
      </c>
      <c r="I260" s="205">
        <f t="shared" si="132"/>
        <v>5498</v>
      </c>
    </row>
    <row r="261" spans="1:19" x14ac:dyDescent="0.2">
      <c r="A261">
        <f t="shared" si="127"/>
        <v>2.61E-4</v>
      </c>
      <c r="B261">
        <v>13</v>
      </c>
      <c r="C261" t="str">
        <f t="shared" si="128"/>
        <v>SR-3</v>
      </c>
      <c r="D261" s="205">
        <f t="shared" si="129"/>
        <v>64</v>
      </c>
      <c r="F261">
        <f t="shared" si="130"/>
        <v>10905.000260999999</v>
      </c>
      <c r="G261">
        <v>13</v>
      </c>
      <c r="H261" t="str">
        <f t="shared" si="131"/>
        <v>SR-3</v>
      </c>
      <c r="I261" s="205">
        <f t="shared" si="132"/>
        <v>5092</v>
      </c>
    </row>
    <row r="262" spans="1:19" x14ac:dyDescent="0.2">
      <c r="A262">
        <f t="shared" si="127"/>
        <v>38.000261999999999</v>
      </c>
      <c r="B262">
        <v>14</v>
      </c>
      <c r="C262" t="str">
        <f t="shared" si="128"/>
        <v>Athletic Centre</v>
      </c>
      <c r="D262" s="205">
        <f t="shared" si="129"/>
        <v>54</v>
      </c>
      <c r="F262">
        <f t="shared" si="130"/>
        <v>8760.0002619999996</v>
      </c>
      <c r="G262">
        <v>14</v>
      </c>
      <c r="H262" t="str">
        <f t="shared" si="131"/>
        <v>Nursary</v>
      </c>
      <c r="I262" s="205">
        <f t="shared" si="132"/>
        <v>4852</v>
      </c>
    </row>
    <row r="263" spans="1:19" x14ac:dyDescent="0.2">
      <c r="A263">
        <f t="shared" si="127"/>
        <v>1094.0002629999999</v>
      </c>
      <c r="B263">
        <v>15</v>
      </c>
      <c r="C263" t="str">
        <f t="shared" si="128"/>
        <v>Senior School-2</v>
      </c>
      <c r="D263" s="205">
        <f t="shared" si="129"/>
        <v>45</v>
      </c>
      <c r="F263">
        <f t="shared" si="130"/>
        <v>8229.0002629999999</v>
      </c>
      <c r="G263">
        <v>15</v>
      </c>
      <c r="H263" t="str">
        <f t="shared" si="131"/>
        <v>SR-1</v>
      </c>
      <c r="I263" s="205">
        <f t="shared" si="132"/>
        <v>4790</v>
      </c>
    </row>
    <row r="264" spans="1:19" x14ac:dyDescent="0.2">
      <c r="A264">
        <f t="shared" si="127"/>
        <v>1559.000264</v>
      </c>
      <c r="B264">
        <v>16</v>
      </c>
      <c r="C264" t="str">
        <f t="shared" si="128"/>
        <v>SR-9-10B1B</v>
      </c>
      <c r="D264" s="205">
        <f t="shared" si="129"/>
        <v>45</v>
      </c>
      <c r="F264">
        <f t="shared" si="130"/>
        <v>18300.000263999998</v>
      </c>
      <c r="G264">
        <v>16</v>
      </c>
      <c r="H264" t="str">
        <f t="shared" si="131"/>
        <v>SR-2</v>
      </c>
      <c r="I264" s="205">
        <f t="shared" si="132"/>
        <v>4692</v>
      </c>
    </row>
    <row r="265" spans="1:19" x14ac:dyDescent="0.2">
      <c r="A265">
        <f t="shared" si="127"/>
        <v>54.000264999999999</v>
      </c>
      <c r="B265">
        <v>17</v>
      </c>
      <c r="C265" t="str">
        <f t="shared" si="128"/>
        <v>Academy Building</v>
      </c>
      <c r="D265" s="205">
        <f t="shared" si="129"/>
        <v>38</v>
      </c>
      <c r="F265">
        <f t="shared" si="130"/>
        <v>11500.000265000001</v>
      </c>
      <c r="G265">
        <v>17</v>
      </c>
      <c r="H265" t="str">
        <f t="shared" si="131"/>
        <v>WTP/STP</v>
      </c>
      <c r="I265" s="205">
        <f t="shared" si="132"/>
        <v>4300</v>
      </c>
    </row>
    <row r="266" spans="1:19" x14ac:dyDescent="0.2">
      <c r="A266">
        <f t="shared" si="127"/>
        <v>570.00026600000001</v>
      </c>
      <c r="B266">
        <v>18</v>
      </c>
      <c r="C266" t="str">
        <f t="shared" si="128"/>
        <v>Senior School-3</v>
      </c>
      <c r="D266" s="205">
        <f t="shared" si="129"/>
        <v>0</v>
      </c>
      <c r="F266">
        <f t="shared" si="130"/>
        <v>10147.000265999999</v>
      </c>
      <c r="G266">
        <v>18</v>
      </c>
      <c r="H266" t="str">
        <f t="shared" si="131"/>
        <v>PCM</v>
      </c>
      <c r="I266" s="205">
        <f t="shared" si="132"/>
        <v>3784</v>
      </c>
    </row>
    <row r="267" spans="1:19" x14ac:dyDescent="0.2">
      <c r="A267">
        <f t="shared" si="127"/>
        <v>209.00026700000001</v>
      </c>
      <c r="B267">
        <v>19</v>
      </c>
      <c r="C267" t="str">
        <f t="shared" si="128"/>
        <v>Junior School-1&amp;2</v>
      </c>
      <c r="D267" s="205">
        <f t="shared" si="129"/>
        <v>0</v>
      </c>
      <c r="F267">
        <f t="shared" si="130"/>
        <v>9768.0002669999994</v>
      </c>
      <c r="G267">
        <v>19</v>
      </c>
      <c r="H267" t="str">
        <f t="shared" si="131"/>
        <v>SR-9-10A</v>
      </c>
      <c r="I267" s="205">
        <f t="shared" si="132"/>
        <v>3576</v>
      </c>
    </row>
    <row r="268" spans="1:19" x14ac:dyDescent="0.2">
      <c r="A268">
        <f t="shared" si="127"/>
        <v>135.00026800000001</v>
      </c>
      <c r="B268">
        <v>20</v>
      </c>
      <c r="C268" t="str">
        <f t="shared" si="128"/>
        <v>SR-11-12CB</v>
      </c>
      <c r="D268" s="205">
        <f t="shared" si="129"/>
        <v>0</v>
      </c>
      <c r="F268">
        <f t="shared" si="130"/>
        <v>3784.0002679999998</v>
      </c>
      <c r="G268">
        <v>20</v>
      </c>
      <c r="H268" t="str">
        <f t="shared" si="131"/>
        <v>Laundry</v>
      </c>
      <c r="I268" s="205">
        <f t="shared" si="132"/>
        <v>3382</v>
      </c>
    </row>
    <row r="269" spans="1:19" x14ac:dyDescent="0.2">
      <c r="F269">
        <f t="shared" si="130"/>
        <v>212.000269</v>
      </c>
      <c r="G269">
        <v>21</v>
      </c>
      <c r="H269" t="str">
        <f t="shared" si="131"/>
        <v>SR 9&amp;10A,B 11-12A,B Emergency</v>
      </c>
      <c r="I269" s="205">
        <f t="shared" si="132"/>
        <v>1331</v>
      </c>
    </row>
    <row r="270" spans="1:19" x14ac:dyDescent="0.2">
      <c r="F270">
        <f>-1+ROW()/1000000</f>
        <v>-0.99973000000000001</v>
      </c>
      <c r="G270">
        <v>22</v>
      </c>
      <c r="H270" t="str">
        <f t="shared" si="131"/>
        <v>Substation</v>
      </c>
      <c r="I270" s="205">
        <f t="shared" si="132"/>
        <v>933</v>
      </c>
    </row>
    <row r="271" spans="1:19" x14ac:dyDescent="0.2">
      <c r="F271">
        <f>IF(ISNUMBER(Q158),Q158,0)+ROW()/1000000</f>
        <v>4300.0002709999999</v>
      </c>
      <c r="G271">
        <v>23</v>
      </c>
      <c r="H271" t="str">
        <f t="shared" si="131"/>
        <v>SR1,2,3&amp;4 Emergency</v>
      </c>
      <c r="I271" s="205">
        <f t="shared" si="132"/>
        <v>815</v>
      </c>
    </row>
    <row r="272" spans="1:19" x14ac:dyDescent="0.2">
      <c r="F272">
        <f>IF(ISNUMBER(Q159),Q159,0)+ROW()/1000000</f>
        <v>25640.000272000001</v>
      </c>
      <c r="G272">
        <v>24</v>
      </c>
      <c r="H272" t="str">
        <f t="shared" si="131"/>
        <v>Irrigation</v>
      </c>
      <c r="I272" s="205">
        <f t="shared" si="132"/>
        <v>212</v>
      </c>
    </row>
    <row r="273" spans="1:13" x14ac:dyDescent="0.2">
      <c r="F273">
        <f>IF(ISNUMBER(Q160),Q160,0)+ROW()/1000000</f>
        <v>4852.0002729999997</v>
      </c>
      <c r="G273">
        <v>25</v>
      </c>
      <c r="H273">
        <f t="shared" si="131"/>
        <v>0</v>
      </c>
      <c r="I273" s="205">
        <f t="shared" si="132"/>
        <v>0</v>
      </c>
    </row>
    <row r="277" spans="1:13" ht="15.75" x14ac:dyDescent="0.25">
      <c r="A277" s="208" t="s">
        <v>904</v>
      </c>
    </row>
    <row r="278" spans="1:13" ht="30" x14ac:dyDescent="0.2">
      <c r="A278" s="202" t="s">
        <v>716</v>
      </c>
      <c r="B278" s="202" t="s">
        <v>905</v>
      </c>
      <c r="C278" s="202" t="s">
        <v>142</v>
      </c>
      <c r="D278" s="202" t="s">
        <v>143</v>
      </c>
      <c r="E278" s="202" t="s">
        <v>906</v>
      </c>
      <c r="F278" s="202" t="s">
        <v>139</v>
      </c>
      <c r="G278" s="202" t="s">
        <v>145</v>
      </c>
      <c r="H278" s="202" t="s">
        <v>146</v>
      </c>
      <c r="I278" s="202" t="s">
        <v>907</v>
      </c>
      <c r="J278" s="202" t="s">
        <v>147</v>
      </c>
      <c r="K278" s="202" t="s">
        <v>908</v>
      </c>
      <c r="L278" s="202" t="s">
        <v>909</v>
      </c>
      <c r="M278" s="202" t="s">
        <v>910</v>
      </c>
    </row>
    <row r="279" spans="1:13" x14ac:dyDescent="0.2">
      <c r="A279" t="s">
        <v>800</v>
      </c>
      <c r="B279" t="s">
        <v>148</v>
      </c>
      <c r="C279" t="s">
        <v>149</v>
      </c>
      <c r="D279" t="s">
        <v>150</v>
      </c>
      <c r="E279" s="210">
        <f>MIS_Calc!$K$81</f>
        <v>108.11078286558346</v>
      </c>
      <c r="F279" s="210">
        <f>MIS_Calc!$H$81</f>
        <v>98.064623338257022</v>
      </c>
      <c r="G279" s="210">
        <f>MIS_Calc!$I$81</f>
        <v>136.58604135893648</v>
      </c>
      <c r="H279" s="221">
        <f>IFERROR(IF(OR(E279="",F279="",F279=0),"",E279/F279-1),"")</f>
        <v>0.10244427791940769</v>
      </c>
      <c r="I279" t="s">
        <v>911</v>
      </c>
      <c r="J279" t="str">
        <f>IF(H279="","– no data/baseline",IF(ABS(H279)&lt;=0.05,"● In line",IF((H279&lt;0)=(I279="lower"),"✔ Better","▲ Watch")))</f>
        <v>▲ Watch</v>
      </c>
      <c r="K279" s="212">
        <f>IF(OR(E279="",F279="",F279=0),"",IF(E279=0,IF(I279="lower",1.5,0.5),MAX(0.5,MIN(1.5,IF(I279="lower",F279/E279,E279/F279)))))</f>
        <v>0.90707532346873254</v>
      </c>
      <c r="L279">
        <v>1</v>
      </c>
      <c r="M279" t="s">
        <v>912</v>
      </c>
    </row>
    <row r="280" spans="1:13" x14ac:dyDescent="0.2">
      <c r="A280" t="s">
        <v>801</v>
      </c>
      <c r="B280" t="s">
        <v>148</v>
      </c>
      <c r="C280" t="s">
        <v>151</v>
      </c>
      <c r="D280" t="s">
        <v>152</v>
      </c>
      <c r="E280" s="205">
        <f>MIS_Calc!$K$82</f>
        <v>1351.2341211225996</v>
      </c>
      <c r="F280" s="205">
        <f>MIS_Calc!$H$82</f>
        <v>1286.0409029462924</v>
      </c>
      <c r="G280" s="205">
        <f>MIS_Calc!$I$82</f>
        <v>1705.8823347488849</v>
      </c>
      <c r="H280" s="221">
        <f>IFERROR(IF(OR(E280="",F280="",F280=0),"",E280/F280-1),"")</f>
        <v>5.0692958541949107E-2</v>
      </c>
      <c r="I280" t="s">
        <v>911</v>
      </c>
      <c r="J280" t="str">
        <f>IF(H280="","– no data/baseline",IF(ABS(H280)&lt;=0.05,"● In line",IF((H280&lt;0)=(I280="lower"),"✔ Better","▲ Watch")))</f>
        <v>▲ Watch</v>
      </c>
      <c r="K280" s="212">
        <f>IF(OR(E280="",F280="",F280=0),"",IF(E280=0,IF(I280="lower",1.5,0.5),MAX(0.5,MIN(1.5,IF(I280="lower",F280/E280,E280/F280)))))</f>
        <v>0.95175283308998671</v>
      </c>
      <c r="L280">
        <v>1</v>
      </c>
      <c r="M280" t="s">
        <v>913</v>
      </c>
    </row>
    <row r="281" spans="1:13" x14ac:dyDescent="0.2">
      <c r="A281" t="s">
        <v>768</v>
      </c>
      <c r="B281" t="s">
        <v>148</v>
      </c>
      <c r="C281" t="s">
        <v>153</v>
      </c>
      <c r="D281" t="s">
        <v>154</v>
      </c>
      <c r="E281" s="212">
        <f>MIS_Calc!$K$58</f>
        <v>2.7801652097282279</v>
      </c>
      <c r="F281" s="212">
        <f>MIS_Calc!$H$58</f>
        <v>2.5218192569107489</v>
      </c>
      <c r="G281" s="212">
        <f>MIS_Calc!$I$58</f>
        <v>3.5124318801089895</v>
      </c>
      <c r="H281" s="221">
        <f>IFERROR(IF(OR(E281="",F281="",F281=0),"",E281/F281-1),"")</f>
        <v>0.10244427791940769</v>
      </c>
      <c r="I281" t="s">
        <v>911</v>
      </c>
      <c r="J281" t="str">
        <f>IF(H281="","– no data/baseline",IF(ABS(H281)&lt;=0.05,"● In line",IF((H281&lt;0)=(I281="lower"),"✔ Better","▲ Watch")))</f>
        <v>▲ Watch</v>
      </c>
      <c r="K281" s="212">
        <f>IF(OR(E281="",F281="",F281=0),"",IF(E281=0,IF(I281="lower",1.5,0.5),MAX(0.5,MIN(1.5,IF(I281="lower",F281/E281,E281/F281)))))</f>
        <v>0.90707532346873254</v>
      </c>
      <c r="L281">
        <v>1</v>
      </c>
      <c r="M281" t="s">
        <v>914</v>
      </c>
    </row>
    <row r="282" spans="1:13" x14ac:dyDescent="0.2">
      <c r="A282" t="s">
        <v>802</v>
      </c>
      <c r="B282" t="s">
        <v>148</v>
      </c>
      <c r="C282" t="s">
        <v>155</v>
      </c>
      <c r="D282" t="s">
        <v>150</v>
      </c>
      <c r="E282" s="212">
        <f>MIS_Calc!$K$83</f>
        <v>16.21704579025111</v>
      </c>
      <c r="F282" s="212">
        <f>MIS_Calc!$H$83</f>
        <v>15.464608231502586</v>
      </c>
      <c r="G282" s="212">
        <f>MIS_Calc!$I$83</f>
        <v>52.585403420065809</v>
      </c>
      <c r="H282" s="221">
        <f>IFERROR(IF(OR(E282="",F282="",F282=0),"",E282/F282-1),"")</f>
        <v>4.8655455572146344E-2</v>
      </c>
      <c r="I282" t="s">
        <v>911</v>
      </c>
      <c r="J282" t="str">
        <f>IF(H282="","– no data/baseline",IF(ABS(H282)&lt;=0.05,"● In line",IF((H282&lt;0)=(I282="lower"),"✔ Better","▲ Watch")))</f>
        <v>● In line</v>
      </c>
      <c r="K282" s="212">
        <f>IF(OR(E282="",F282="",F282=0),"",IF(E282=0,IF(I282="lower",1.5,0.5),MAX(0.5,MIN(1.5,IF(I282="lower",F282/E282,E282/F282)))))</f>
        <v>0.95360205745975934</v>
      </c>
      <c r="L282">
        <v>1</v>
      </c>
      <c r="M282" t="s">
        <v>914</v>
      </c>
    </row>
    <row r="283" spans="1:13" x14ac:dyDescent="0.2">
      <c r="E283" s="212"/>
      <c r="F283" s="212"/>
      <c r="G283" s="212"/>
      <c r="H283" s="221"/>
      <c r="K283" s="212"/>
    </row>
    <row r="284" spans="1:13" x14ac:dyDescent="0.2">
      <c r="A284" t="s">
        <v>756</v>
      </c>
      <c r="B284" t="s">
        <v>148</v>
      </c>
      <c r="C284" t="s">
        <v>156</v>
      </c>
      <c r="D284" t="s">
        <v>157</v>
      </c>
      <c r="E284" s="211">
        <f>MIS_Calc!$K$53</f>
        <v>0.93618572524942445</v>
      </c>
      <c r="F284" s="211">
        <f>MIS_Calc!$H$53</f>
        <v>0.96442060459913714</v>
      </c>
      <c r="G284" s="211">
        <f>MIS_Calc!$I$53</f>
        <v>0.98417165496940306</v>
      </c>
      <c r="H284" s="221">
        <f t="shared" ref="H284:H294" si="139">IFERROR(IF(OR(E284="",F284="",F284=0),"",E284/F284-1),"")</f>
        <v>-2.9276520239266968E-2</v>
      </c>
      <c r="I284" t="s">
        <v>915</v>
      </c>
      <c r="J284" t="str">
        <f t="shared" ref="J284:J294" si="140">IF(H284="","– no data/baseline",IF(ABS(H284)&lt;=0.05,"● In line",IF((H284&lt;0)=(I284="lower"),"✔ Better","▲ Watch")))</f>
        <v>● In line</v>
      </c>
      <c r="K284" s="212">
        <f t="shared" ref="K284:K294" si="141">IF(OR(E284="",F284="",F284=0),"",IF(E284=0,IF(I284="lower",1.5,0.5),MAX(0.5,MIN(1.5,IF(I284="lower",F284/E284,E284/F284)))))</f>
        <v>0.97072347976073303</v>
      </c>
      <c r="L284">
        <v>1</v>
      </c>
      <c r="M284" t="s">
        <v>916</v>
      </c>
    </row>
    <row r="285" spans="1:13" x14ac:dyDescent="0.2">
      <c r="A285" t="s">
        <v>803</v>
      </c>
      <c r="B285" t="s">
        <v>148</v>
      </c>
      <c r="C285" t="s">
        <v>804</v>
      </c>
      <c r="D285" t="s">
        <v>159</v>
      </c>
      <c r="E285" s="213">
        <f>MIS_Calc!$K$85</f>
        <v>0.37225705329153608</v>
      </c>
      <c r="F285" s="213">
        <f>MIS_Calc!$H$85</f>
        <v>0.40049634273772178</v>
      </c>
      <c r="G285" s="213">
        <f>MIS_Calc!$I$85</f>
        <v>0.87539184952978055</v>
      </c>
      <c r="H285" s="221">
        <f t="shared" si="139"/>
        <v>-7.0510729893678792E-2</v>
      </c>
      <c r="I285" t="s">
        <v>911</v>
      </c>
      <c r="J285" t="str">
        <f t="shared" si="140"/>
        <v>✔ Better</v>
      </c>
      <c r="K285" s="212">
        <f t="shared" si="141"/>
        <v>1.0758596491228063</v>
      </c>
      <c r="L285">
        <v>0</v>
      </c>
      <c r="M285" t="s">
        <v>917</v>
      </c>
    </row>
    <row r="286" spans="1:13" x14ac:dyDescent="0.2">
      <c r="A286" t="s">
        <v>743</v>
      </c>
      <c r="B286" t="s">
        <v>160</v>
      </c>
      <c r="C286" t="s">
        <v>50</v>
      </c>
      <c r="D286" t="s">
        <v>161</v>
      </c>
      <c r="E286" s="210">
        <f>MIS_Calc!$K$46</f>
        <v>334.15924143517418</v>
      </c>
      <c r="F286" s="210">
        <f>MIS_Calc!$H$46</f>
        <v>2432.2130268509418</v>
      </c>
      <c r="G286" s="210">
        <f>MIS_Calc!$I$46</f>
        <v>1153.4701038020273</v>
      </c>
      <c r="H286" s="221">
        <f t="shared" si="139"/>
        <v>-0.86261103047054233</v>
      </c>
      <c r="I286" t="s">
        <v>911</v>
      </c>
      <c r="J286" t="str">
        <f t="shared" si="140"/>
        <v>✔ Better</v>
      </c>
      <c r="K286" s="212">
        <f t="shared" si="141"/>
        <v>1.5</v>
      </c>
      <c r="L286">
        <v>1</v>
      </c>
      <c r="M286" t="s">
        <v>912</v>
      </c>
    </row>
    <row r="287" spans="1:13" x14ac:dyDescent="0.2">
      <c r="A287" t="s">
        <v>805</v>
      </c>
      <c r="B287" t="s">
        <v>160</v>
      </c>
      <c r="C287" t="s">
        <v>162</v>
      </c>
      <c r="D287" t="s">
        <v>161</v>
      </c>
      <c r="E287" s="210">
        <f>MIS_Calc!$K$86</f>
        <v>285.77214466098059</v>
      </c>
      <c r="F287" s="210">
        <f>MIS_Calc!$H$86</f>
        <v>718.26294490196381</v>
      </c>
      <c r="G287" s="210">
        <f>MIS_Calc!$I$86</f>
        <v>420.01659213694495</v>
      </c>
      <c r="H287" s="221">
        <f t="shared" si="139"/>
        <v>-0.60213436222860439</v>
      </c>
      <c r="I287" t="s">
        <v>911</v>
      </c>
      <c r="J287" t="str">
        <f t="shared" si="140"/>
        <v>✔ Better</v>
      </c>
      <c r="K287" s="212">
        <f t="shared" si="141"/>
        <v>1.5</v>
      </c>
      <c r="L287">
        <v>1</v>
      </c>
      <c r="M287" t="s">
        <v>912</v>
      </c>
    </row>
    <row r="288" spans="1:13" x14ac:dyDescent="0.2">
      <c r="A288" t="s">
        <v>806</v>
      </c>
      <c r="B288" t="s">
        <v>163</v>
      </c>
      <c r="C288" t="s">
        <v>164</v>
      </c>
      <c r="D288" t="s">
        <v>161</v>
      </c>
      <c r="E288" s="210">
        <f>MIS_Calc!$K$87</f>
        <v>63.920522228045932</v>
      </c>
      <c r="F288" s="210">
        <f>MIS_Calc!$H$87</f>
        <v>110.1110863802836</v>
      </c>
      <c r="G288" s="210">
        <f>MIS_Calc!$I$87</f>
        <v>87.023734849557869</v>
      </c>
      <c r="H288" s="221">
        <f t="shared" si="139"/>
        <v>-0.4194905860134035</v>
      </c>
      <c r="I288" t="s">
        <v>915</v>
      </c>
      <c r="J288" t="str">
        <f t="shared" si="140"/>
        <v>▲ Watch</v>
      </c>
      <c r="K288" s="212">
        <f t="shared" si="141"/>
        <v>0.5805094139865965</v>
      </c>
      <c r="L288">
        <v>1</v>
      </c>
      <c r="M288" t="s">
        <v>912</v>
      </c>
    </row>
    <row r="289" spans="1:13" x14ac:dyDescent="0.2">
      <c r="A289" t="s">
        <v>811</v>
      </c>
      <c r="B289" t="s">
        <v>163</v>
      </c>
      <c r="C289" t="s">
        <v>165</v>
      </c>
      <c r="D289" t="s">
        <v>166</v>
      </c>
      <c r="E289" s="213">
        <f>MIS_Calc!$K$90</f>
        <v>0.182790570922469</v>
      </c>
      <c r="F289" s="213">
        <f>MIS_Calc!$H$90</f>
        <v>0.1329243581064965</v>
      </c>
      <c r="G289" s="213">
        <f>MIS_Calc!$I$90</f>
        <v>0.17163079585161753</v>
      </c>
      <c r="H289" s="221">
        <f t="shared" si="139"/>
        <v>0.37514729073222708</v>
      </c>
      <c r="I289" t="s">
        <v>915</v>
      </c>
      <c r="J289" t="str">
        <f t="shared" si="140"/>
        <v>✔ Better</v>
      </c>
      <c r="K289" s="212">
        <f t="shared" si="141"/>
        <v>1.3751472907322271</v>
      </c>
      <c r="L289">
        <v>1</v>
      </c>
      <c r="M289" t="s">
        <v>917</v>
      </c>
    </row>
    <row r="290" spans="1:13" x14ac:dyDescent="0.2">
      <c r="A290" t="s">
        <v>807</v>
      </c>
      <c r="B290" t="s">
        <v>163</v>
      </c>
      <c r="C290" t="s">
        <v>808</v>
      </c>
      <c r="D290" t="s">
        <v>161</v>
      </c>
      <c r="E290" s="210">
        <f>MIS_Calc!$K$88</f>
        <v>261.73345404297896</v>
      </c>
      <c r="F290" s="210">
        <f>MIS_Calc!$H$88</f>
        <v>260.26992574006999</v>
      </c>
      <c r="G290" s="210">
        <f>MIS_Calc!$I$88</f>
        <v>297.74185063029881</v>
      </c>
      <c r="H290" s="221">
        <f t="shared" si="139"/>
        <v>5.623117226269958E-3</v>
      </c>
      <c r="I290" t="s">
        <v>911</v>
      </c>
      <c r="J290" t="str">
        <f t="shared" si="140"/>
        <v>● In line</v>
      </c>
      <c r="K290" s="212">
        <f t="shared" si="141"/>
        <v>0.99440832541541047</v>
      </c>
      <c r="L290">
        <v>0</v>
      </c>
      <c r="M290" t="s">
        <v>912</v>
      </c>
    </row>
    <row r="291" spans="1:13" x14ac:dyDescent="0.2">
      <c r="A291" t="s">
        <v>809</v>
      </c>
      <c r="B291" t="s">
        <v>163</v>
      </c>
      <c r="C291" t="s">
        <v>810</v>
      </c>
      <c r="D291" t="s">
        <v>161</v>
      </c>
      <c r="E291" s="210">
        <f>MIS_Calc!$K$89</f>
        <v>59.584504693381618</v>
      </c>
      <c r="F291" s="210">
        <f>MIS_Calc!$H$89</f>
        <v>146.54094413306066</v>
      </c>
      <c r="G291" s="210">
        <f>MIS_Calc!$I$89</f>
        <v>97.353351814006274</v>
      </c>
      <c r="H291" s="221">
        <f t="shared" si="139"/>
        <v>-0.59339347070619197</v>
      </c>
      <c r="I291" t="s">
        <v>911</v>
      </c>
      <c r="J291" t="str">
        <f t="shared" si="140"/>
        <v>✔ Better</v>
      </c>
      <c r="K291" s="212">
        <f t="shared" si="141"/>
        <v>1.5</v>
      </c>
      <c r="L291">
        <v>0</v>
      </c>
      <c r="M291" t="s">
        <v>912</v>
      </c>
    </row>
    <row r="292" spans="1:13" x14ac:dyDescent="0.2">
      <c r="A292" t="s">
        <v>812</v>
      </c>
      <c r="B292" t="s">
        <v>169</v>
      </c>
      <c r="C292" t="s">
        <v>170</v>
      </c>
      <c r="D292" t="s">
        <v>150</v>
      </c>
      <c r="E292" s="210">
        <f>MIS_Calc!$K$91</f>
        <v>85.606351550960113</v>
      </c>
      <c r="F292" s="210">
        <f>MIS_Calc!$H$91</f>
        <v>63.396504185130503</v>
      </c>
      <c r="G292" s="210" t="str">
        <f>MIS_Calc!$I$91</f>
        <v/>
      </c>
      <c r="H292" s="221">
        <f t="shared" si="139"/>
        <v>0.35033236692314151</v>
      </c>
      <c r="I292" t="s">
        <v>915</v>
      </c>
      <c r="J292" t="str">
        <f t="shared" si="140"/>
        <v>✔ Better</v>
      </c>
      <c r="K292" s="212">
        <f t="shared" si="141"/>
        <v>1.3503323669231415</v>
      </c>
      <c r="L292">
        <v>1</v>
      </c>
      <c r="M292" t="s">
        <v>912</v>
      </c>
    </row>
    <row r="293" spans="1:13" x14ac:dyDescent="0.2">
      <c r="A293" t="s">
        <v>813</v>
      </c>
      <c r="B293" t="s">
        <v>169</v>
      </c>
      <c r="C293" t="s">
        <v>171</v>
      </c>
      <c r="D293" t="s">
        <v>166</v>
      </c>
      <c r="E293" s="213">
        <f>MIS_Calc!$K$92</f>
        <v>0.7918391605525269</v>
      </c>
      <c r="F293" s="213">
        <f>MIS_Calc!$H$92</f>
        <v>0.64647680302054678</v>
      </c>
      <c r="G293" s="213" t="str">
        <f>MIS_Calc!$I$92</f>
        <v/>
      </c>
      <c r="H293" s="221">
        <f t="shared" si="139"/>
        <v>0.22485316851710779</v>
      </c>
      <c r="I293" t="s">
        <v>915</v>
      </c>
      <c r="J293" t="str">
        <f t="shared" si="140"/>
        <v>✔ Better</v>
      </c>
      <c r="K293" s="212">
        <f t="shared" si="141"/>
        <v>1.2248531685171078</v>
      </c>
      <c r="L293">
        <v>1</v>
      </c>
      <c r="M293" t="s">
        <v>917</v>
      </c>
    </row>
    <row r="294" spans="1:13" x14ac:dyDescent="0.2">
      <c r="A294" t="s">
        <v>814</v>
      </c>
      <c r="B294" t="s">
        <v>169</v>
      </c>
      <c r="C294" t="s">
        <v>815</v>
      </c>
      <c r="D294" t="s">
        <v>152</v>
      </c>
      <c r="E294" s="205">
        <f>MIS_Calc!$K$93</f>
        <v>1010.1549483013295</v>
      </c>
      <c r="F294" s="205" t="str">
        <f>MIS_Calc!$H$93</f>
        <v/>
      </c>
      <c r="G294" s="205" t="str">
        <f>MIS_Calc!$I$93</f>
        <v/>
      </c>
      <c r="H294" s="221" t="str">
        <f t="shared" si="139"/>
        <v/>
      </c>
      <c r="I294" t="s">
        <v>915</v>
      </c>
      <c r="J294" t="str">
        <f t="shared" si="140"/>
        <v>– no data/baseline</v>
      </c>
      <c r="K294" s="212" t="str">
        <f t="shared" si="141"/>
        <v/>
      </c>
      <c r="L294">
        <v>0</v>
      </c>
      <c r="M294" t="s">
        <v>913</v>
      </c>
    </row>
    <row r="295" spans="1:13" x14ac:dyDescent="0.2">
      <c r="E295" s="212"/>
      <c r="F295" s="212"/>
      <c r="G295" s="212"/>
      <c r="H295" s="221"/>
      <c r="K295" s="212"/>
    </row>
    <row r="296" spans="1:13" x14ac:dyDescent="0.2">
      <c r="E296" s="212"/>
      <c r="F296" s="212"/>
      <c r="G296" s="212"/>
      <c r="H296" s="221"/>
      <c r="K296" s="212"/>
    </row>
    <row r="297" spans="1:13" x14ac:dyDescent="0.2">
      <c r="E297" s="212"/>
      <c r="F297" s="212"/>
      <c r="G297" s="212"/>
      <c r="H297" s="221"/>
      <c r="K297" s="212"/>
    </row>
    <row r="298" spans="1:13" x14ac:dyDescent="0.2">
      <c r="E298" s="212"/>
      <c r="F298" s="212"/>
      <c r="G298" s="212"/>
      <c r="H298" s="221"/>
      <c r="K298" s="212"/>
    </row>
    <row r="299" spans="1:13" x14ac:dyDescent="0.2">
      <c r="A299" t="s">
        <v>816</v>
      </c>
      <c r="B299" t="s">
        <v>173</v>
      </c>
      <c r="C299" t="s">
        <v>174</v>
      </c>
      <c r="D299" t="s">
        <v>175</v>
      </c>
      <c r="E299" s="212">
        <f>MIS_Calc!$K$97</f>
        <v>15.952732644017726</v>
      </c>
      <c r="F299" s="212">
        <f>MIS_Calc!$H$97</f>
        <v>6.277695716395864</v>
      </c>
      <c r="G299" s="212">
        <f>MIS_Calc!$I$97</f>
        <v>10.67823732151647</v>
      </c>
      <c r="H299" s="221">
        <f t="shared" ref="H299:H309" si="142">IFERROR(IF(OR(E299="",F299="",F299=0),"",E299/F299-1),"")</f>
        <v>1.5411764705882356</v>
      </c>
      <c r="I299" t="s">
        <v>911</v>
      </c>
      <c r="J299" t="str">
        <f t="shared" ref="J299:J309" si="143">IF(H299="","– no data/baseline",IF(ABS(H299)&lt;=0.05,"● In line",IF((H299&lt;0)=(I299="lower"),"✔ Better","▲ Watch")))</f>
        <v>▲ Watch</v>
      </c>
      <c r="K299" s="212">
        <f t="shared" ref="K299:K309" si="144">IF(OR(E299="",F299="",F299=0),"",IF(E299=0,IF(I299="lower",1.5,0.5),MAX(0.5,MIN(1.5,IF(I299="lower",F299/E299,E299/F299)))))</f>
        <v>0.5</v>
      </c>
      <c r="L299">
        <v>1</v>
      </c>
      <c r="M299" t="s">
        <v>914</v>
      </c>
    </row>
    <row r="300" spans="1:13" x14ac:dyDescent="0.2">
      <c r="A300" t="s">
        <v>817</v>
      </c>
      <c r="B300" t="s">
        <v>173</v>
      </c>
      <c r="C300" t="s">
        <v>176</v>
      </c>
      <c r="D300" t="s">
        <v>166</v>
      </c>
      <c r="E300" s="213">
        <f>MIS_Calc!$K$98</f>
        <v>0.67592592592592593</v>
      </c>
      <c r="F300" s="213">
        <f>MIS_Calc!$H$98</f>
        <v>1</v>
      </c>
      <c r="G300" s="213">
        <f>MIS_Calc!$I$98</f>
        <v>0.98559077809798501</v>
      </c>
      <c r="H300" s="221">
        <f t="shared" si="142"/>
        <v>-0.32407407407407407</v>
      </c>
      <c r="I300" t="s">
        <v>915</v>
      </c>
      <c r="J300" t="str">
        <f t="shared" si="143"/>
        <v>▲ Watch</v>
      </c>
      <c r="K300" s="212">
        <f t="shared" si="144"/>
        <v>0.67592592592592593</v>
      </c>
      <c r="L300">
        <v>1</v>
      </c>
      <c r="M300" t="s">
        <v>917</v>
      </c>
    </row>
    <row r="301" spans="1:13" x14ac:dyDescent="0.2">
      <c r="A301" t="s">
        <v>820</v>
      </c>
      <c r="B301" t="s">
        <v>173</v>
      </c>
      <c r="C301" t="s">
        <v>177</v>
      </c>
      <c r="D301" t="s">
        <v>178</v>
      </c>
      <c r="E301" s="212" t="str">
        <f>MIS_Calc!$K$100</f>
        <v/>
      </c>
      <c r="F301" s="212">
        <f>MIS_Calc!$H$100</f>
        <v>0</v>
      </c>
      <c r="G301" s="212">
        <f>MIS_Calc!$I$100</f>
        <v>0</v>
      </c>
      <c r="H301" s="221" t="str">
        <f t="shared" si="142"/>
        <v/>
      </c>
      <c r="I301" t="s">
        <v>911</v>
      </c>
      <c r="J301" t="str">
        <f t="shared" si="143"/>
        <v>– no data/baseline</v>
      </c>
      <c r="K301" s="212" t="str">
        <f t="shared" si="144"/>
        <v/>
      </c>
      <c r="L301">
        <v>1</v>
      </c>
      <c r="M301" t="s">
        <v>914</v>
      </c>
    </row>
    <row r="302" spans="1:13" x14ac:dyDescent="0.2">
      <c r="A302" t="s">
        <v>818</v>
      </c>
      <c r="B302" t="s">
        <v>173</v>
      </c>
      <c r="C302" t="s">
        <v>819</v>
      </c>
      <c r="D302" t="s">
        <v>166</v>
      </c>
      <c r="E302" s="213">
        <f>MIS_Calc!$K$99</f>
        <v>3.2407407407407406E-2</v>
      </c>
      <c r="F302" s="213">
        <f>MIS_Calc!$H$99</f>
        <v>2.3529411764705882E-2</v>
      </c>
      <c r="G302" s="213">
        <f>MIS_Calc!$I$99</f>
        <v>1.1527377521613882E-2</v>
      </c>
      <c r="H302" s="221">
        <f t="shared" si="142"/>
        <v>0.37731481481481466</v>
      </c>
      <c r="I302" t="s">
        <v>911</v>
      </c>
      <c r="J302" t="str">
        <f t="shared" si="143"/>
        <v>▲ Watch</v>
      </c>
      <c r="K302" s="212">
        <f t="shared" si="144"/>
        <v>0.72605042016806731</v>
      </c>
      <c r="L302">
        <v>0</v>
      </c>
      <c r="M302" t="s">
        <v>917</v>
      </c>
    </row>
    <row r="303" spans="1:13" x14ac:dyDescent="0.2">
      <c r="A303" t="s">
        <v>793</v>
      </c>
      <c r="B303" t="s">
        <v>180</v>
      </c>
      <c r="C303" t="s">
        <v>181</v>
      </c>
      <c r="D303" t="s">
        <v>166</v>
      </c>
      <c r="E303" s="213">
        <f>MIS_Calc!$K$77</f>
        <v>0.84843749999999996</v>
      </c>
      <c r="F303" s="213">
        <f>MIS_Calc!$H$77</f>
        <v>0.83111796819368666</v>
      </c>
      <c r="G303" s="213">
        <f>MIS_Calc!$I$77</f>
        <v>0.86282578875171467</v>
      </c>
      <c r="H303" s="221">
        <f t="shared" si="142"/>
        <v>2.0838836927030702E-2</v>
      </c>
      <c r="I303" t="s">
        <v>915</v>
      </c>
      <c r="J303" t="str">
        <f t="shared" si="143"/>
        <v>● In line</v>
      </c>
      <c r="K303" s="212">
        <f t="shared" si="144"/>
        <v>1.0208388369270307</v>
      </c>
      <c r="L303">
        <v>1</v>
      </c>
      <c r="M303" t="s">
        <v>917</v>
      </c>
    </row>
    <row r="304" spans="1:13" x14ac:dyDescent="0.2">
      <c r="A304" t="s">
        <v>824</v>
      </c>
      <c r="B304" t="s">
        <v>180</v>
      </c>
      <c r="C304" t="s">
        <v>182</v>
      </c>
      <c r="D304" t="s">
        <v>183</v>
      </c>
      <c r="E304" s="210" t="str">
        <f>MIS_Calc!$K$103</f>
        <v/>
      </c>
      <c r="F304" s="210">
        <f>MIS_Calc!$H$103</f>
        <v>22.182700920384704</v>
      </c>
      <c r="G304" s="210">
        <f>MIS_Calc!$I$103</f>
        <v>34.976152623211448</v>
      </c>
      <c r="H304" s="221" t="str">
        <f t="shared" si="142"/>
        <v/>
      </c>
      <c r="I304" t="s">
        <v>911</v>
      </c>
      <c r="J304" t="str">
        <f t="shared" si="143"/>
        <v>– no data/baseline</v>
      </c>
      <c r="K304" s="212" t="str">
        <f t="shared" si="144"/>
        <v/>
      </c>
      <c r="L304">
        <v>1</v>
      </c>
      <c r="M304" t="s">
        <v>912</v>
      </c>
    </row>
    <row r="305" spans="1:13" x14ac:dyDescent="0.2">
      <c r="A305" t="s">
        <v>821</v>
      </c>
      <c r="B305" t="s">
        <v>180</v>
      </c>
      <c r="C305" t="s">
        <v>184</v>
      </c>
      <c r="D305" t="s">
        <v>152</v>
      </c>
      <c r="E305" s="205" t="str">
        <f>MIS_Calc!$K$101</f>
        <v/>
      </c>
      <c r="F305" s="205">
        <f>MIS_Calc!$H$101</f>
        <v>553.98024372230429</v>
      </c>
      <c r="G305" s="205">
        <f>MIS_Calc!$I$101</f>
        <v>579.20236336779908</v>
      </c>
      <c r="H305" s="221" t="str">
        <f t="shared" si="142"/>
        <v/>
      </c>
      <c r="I305" t="s">
        <v>911</v>
      </c>
      <c r="J305" t="str">
        <f t="shared" si="143"/>
        <v>– no data/baseline</v>
      </c>
      <c r="K305" s="212" t="str">
        <f t="shared" si="144"/>
        <v/>
      </c>
      <c r="L305">
        <v>1</v>
      </c>
      <c r="M305" t="s">
        <v>913</v>
      </c>
    </row>
    <row r="306" spans="1:13" x14ac:dyDescent="0.2">
      <c r="A306" t="s">
        <v>829</v>
      </c>
      <c r="B306" t="s">
        <v>180</v>
      </c>
      <c r="C306" t="s">
        <v>830</v>
      </c>
      <c r="D306" t="s">
        <v>152</v>
      </c>
      <c r="E306" s="205" t="str">
        <f>MIS_Calc!$K$106</f>
        <v/>
      </c>
      <c r="F306" s="205">
        <f>MIS_Calc!$H$106</f>
        <v>1840.0211466685964</v>
      </c>
      <c r="G306" s="205">
        <f>MIS_Calc!$I$106</f>
        <v>2285.0846981166842</v>
      </c>
      <c r="H306" s="221" t="str">
        <f t="shared" si="142"/>
        <v/>
      </c>
      <c r="I306" t="s">
        <v>911</v>
      </c>
      <c r="J306" t="str">
        <f t="shared" si="143"/>
        <v>– no data/baseline</v>
      </c>
      <c r="K306" s="212" t="str">
        <f t="shared" si="144"/>
        <v/>
      </c>
      <c r="L306">
        <v>1</v>
      </c>
      <c r="M306" t="s">
        <v>913</v>
      </c>
    </row>
    <row r="307" spans="1:13" x14ac:dyDescent="0.2">
      <c r="A307" t="s">
        <v>822</v>
      </c>
      <c r="B307" t="s">
        <v>180</v>
      </c>
      <c r="C307" t="s">
        <v>823</v>
      </c>
      <c r="D307" t="s">
        <v>166</v>
      </c>
      <c r="E307" s="213" t="str">
        <f>MIS_Calc!$K$102</f>
        <v/>
      </c>
      <c r="F307" s="213">
        <f>MIS_Calc!$H$102</f>
        <v>0.69482839008890984</v>
      </c>
      <c r="G307" s="213">
        <f>MIS_Calc!$I$102</f>
        <v>0.76701289047982313</v>
      </c>
      <c r="H307" s="221" t="str">
        <f t="shared" si="142"/>
        <v/>
      </c>
      <c r="I307" t="s">
        <v>911</v>
      </c>
      <c r="J307" t="str">
        <f t="shared" si="143"/>
        <v>– no data/baseline</v>
      </c>
      <c r="K307" s="212" t="str">
        <f t="shared" si="144"/>
        <v/>
      </c>
      <c r="L307">
        <v>0</v>
      </c>
      <c r="M307" t="s">
        <v>917</v>
      </c>
    </row>
    <row r="308" spans="1:13" x14ac:dyDescent="0.2">
      <c r="A308" t="s">
        <v>825</v>
      </c>
      <c r="B308" t="s">
        <v>180</v>
      </c>
      <c r="C308" t="s">
        <v>826</v>
      </c>
      <c r="D308" t="s">
        <v>187</v>
      </c>
      <c r="E308" s="210">
        <f>MIS_Calc!$K$104</f>
        <v>50.148148148148145</v>
      </c>
      <c r="F308" s="210" t="str">
        <f>MIS_Calc!$H$104</f>
        <v/>
      </c>
      <c r="G308" s="210" t="str">
        <f>MIS_Calc!$I$104</f>
        <v/>
      </c>
      <c r="H308" s="221" t="str">
        <f t="shared" si="142"/>
        <v/>
      </c>
      <c r="I308" t="s">
        <v>911</v>
      </c>
      <c r="J308" t="str">
        <f t="shared" si="143"/>
        <v>– no data/baseline</v>
      </c>
      <c r="K308" s="212" t="str">
        <f t="shared" si="144"/>
        <v/>
      </c>
      <c r="L308">
        <v>0</v>
      </c>
      <c r="M308" t="s">
        <v>912</v>
      </c>
    </row>
    <row r="309" spans="1:13" x14ac:dyDescent="0.2">
      <c r="A309" t="s">
        <v>831</v>
      </c>
      <c r="B309" t="s">
        <v>180</v>
      </c>
      <c r="C309" t="s">
        <v>832</v>
      </c>
      <c r="D309" t="s">
        <v>150</v>
      </c>
      <c r="E309" s="212">
        <f>MIS_Calc!$K$107</f>
        <v>8.1240768094534704E-3</v>
      </c>
      <c r="F309" s="212">
        <f>MIS_Calc!$H$107</f>
        <v>0.36504632738015291</v>
      </c>
      <c r="G309" s="212">
        <f>MIS_Calc!$I$107</f>
        <v>0.73015952732643863</v>
      </c>
      <c r="H309" s="221">
        <f t="shared" si="142"/>
        <v>-0.97774508000735694</v>
      </c>
      <c r="I309" t="s">
        <v>911</v>
      </c>
      <c r="J309" t="str">
        <f t="shared" si="143"/>
        <v>✔ Better</v>
      </c>
      <c r="K309" s="212">
        <f t="shared" si="144"/>
        <v>1.5</v>
      </c>
      <c r="L309">
        <v>0</v>
      </c>
      <c r="M309" t="s">
        <v>914</v>
      </c>
    </row>
    <row r="312" spans="1:13" ht="30" x14ac:dyDescent="0.2">
      <c r="A312" s="202" t="s">
        <v>918</v>
      </c>
      <c r="B312" s="202" t="s">
        <v>899</v>
      </c>
      <c r="C312" s="202" t="s">
        <v>919</v>
      </c>
      <c r="D312" s="202" t="s">
        <v>147</v>
      </c>
      <c r="E312" s="202" t="s">
        <v>920</v>
      </c>
      <c r="F312" s="202" t="s">
        <v>921</v>
      </c>
      <c r="G312" s="202" t="s">
        <v>922</v>
      </c>
    </row>
    <row r="313" spans="1:13" x14ac:dyDescent="0.2">
      <c r="A313" t="s">
        <v>923</v>
      </c>
      <c r="B313" t="s">
        <v>148</v>
      </c>
      <c r="C313" s="209">
        <f t="shared" ref="C313:C318" si="145">IFERROR(AVERAGEIFS($K$279:$K$309,$B$279:$B$309,B313,$L$279:$L$309,1)*100,"")</f>
        <v>93.804580344958879</v>
      </c>
      <c r="D313" t="str">
        <f t="shared" ref="D313:D322" si="146">IF(C313="","– no data",IF(ABS(C313-100)&lt;=5,"● On par with 2025",IF(C313&gt;100,"✔ Better than 2025","▲ Below 2025")))</f>
        <v>▲ Below 2025</v>
      </c>
      <c r="E313" t="s">
        <v>149</v>
      </c>
      <c r="F313" s="210">
        <f>E279</f>
        <v>108.11078286558346</v>
      </c>
      <c r="G313">
        <f t="shared" ref="G313:G318" si="147">COUNTIFS($B$279:$B$309,B313,$L$279:$L$309,1,$K$279:$K$309,"&gt;0")</f>
        <v>5</v>
      </c>
    </row>
    <row r="314" spans="1:13" x14ac:dyDescent="0.2">
      <c r="A314" t="s">
        <v>923</v>
      </c>
      <c r="B314" t="s">
        <v>160</v>
      </c>
      <c r="C314" s="209">
        <f t="shared" si="145"/>
        <v>150</v>
      </c>
      <c r="D314" t="str">
        <f t="shared" si="146"/>
        <v>✔ Better than 2025</v>
      </c>
      <c r="E314" t="s">
        <v>50</v>
      </c>
      <c r="F314" s="210">
        <f>E286</f>
        <v>334.15924143517418</v>
      </c>
      <c r="G314">
        <f t="shared" si="147"/>
        <v>2</v>
      </c>
    </row>
    <row r="315" spans="1:13" x14ac:dyDescent="0.2">
      <c r="A315" t="s">
        <v>923</v>
      </c>
      <c r="B315" t="s">
        <v>169</v>
      </c>
      <c r="C315" s="209">
        <f t="shared" si="145"/>
        <v>128.75927677201247</v>
      </c>
      <c r="D315" t="str">
        <f t="shared" si="146"/>
        <v>✔ Better than 2025</v>
      </c>
      <c r="E315" t="s">
        <v>170</v>
      </c>
      <c r="F315" s="210">
        <f>E292</f>
        <v>85.606351550960113</v>
      </c>
      <c r="G315">
        <f t="shared" si="147"/>
        <v>2</v>
      </c>
    </row>
    <row r="316" spans="1:13" x14ac:dyDescent="0.2">
      <c r="A316" t="s">
        <v>923</v>
      </c>
      <c r="B316" t="s">
        <v>163</v>
      </c>
      <c r="C316" s="209">
        <f t="shared" si="145"/>
        <v>97.782835235941178</v>
      </c>
      <c r="D316" t="str">
        <f t="shared" si="146"/>
        <v>● On par with 2025</v>
      </c>
      <c r="E316" t="s">
        <v>924</v>
      </c>
      <c r="F316" s="212">
        <f>E288</f>
        <v>63.920522228045932</v>
      </c>
      <c r="G316">
        <f t="shared" si="147"/>
        <v>2</v>
      </c>
    </row>
    <row r="317" spans="1:13" x14ac:dyDescent="0.2">
      <c r="A317" t="s">
        <v>923</v>
      </c>
      <c r="B317" t="s">
        <v>173</v>
      </c>
      <c r="C317" s="209">
        <f t="shared" si="145"/>
        <v>58.796296296296305</v>
      </c>
      <c r="D317" t="str">
        <f t="shared" si="146"/>
        <v>▲ Below 2025</v>
      </c>
      <c r="E317" t="s">
        <v>174</v>
      </c>
      <c r="F317" s="212">
        <f>E299</f>
        <v>15.952732644017726</v>
      </c>
      <c r="G317">
        <f t="shared" si="147"/>
        <v>2</v>
      </c>
    </row>
    <row r="318" spans="1:13" x14ac:dyDescent="0.2">
      <c r="A318" t="s">
        <v>923</v>
      </c>
      <c r="B318" t="s">
        <v>180</v>
      </c>
      <c r="C318" s="209">
        <f t="shared" si="145"/>
        <v>102.08388369270307</v>
      </c>
      <c r="D318" t="str">
        <f t="shared" si="146"/>
        <v>● On par with 2025</v>
      </c>
      <c r="E318" t="s">
        <v>830</v>
      </c>
      <c r="F318" s="205" t="str">
        <f>E306</f>
        <v/>
      </c>
      <c r="G318">
        <f t="shared" si="147"/>
        <v>1</v>
      </c>
    </row>
    <row r="319" spans="1:13" x14ac:dyDescent="0.2">
      <c r="A319" t="s">
        <v>925</v>
      </c>
      <c r="B319" t="s">
        <v>926</v>
      </c>
      <c r="C319" s="209">
        <f>IFERROR(AVERAGE(C313,C314),"")</f>
        <v>121.90229017247944</v>
      </c>
      <c r="D319" t="str">
        <f t="shared" si="146"/>
        <v>✔ Better than 2025</v>
      </c>
    </row>
    <row r="320" spans="1:13" x14ac:dyDescent="0.2">
      <c r="A320" t="s">
        <v>925</v>
      </c>
      <c r="B320" t="s">
        <v>927</v>
      </c>
      <c r="C320" s="209">
        <f>IFERROR(AVERAGE(C315,C316),"")</f>
        <v>113.27105600397682</v>
      </c>
      <c r="D320" t="str">
        <f t="shared" si="146"/>
        <v>✔ Better than 2025</v>
      </c>
    </row>
    <row r="321" spans="1:13" x14ac:dyDescent="0.2">
      <c r="A321" t="s">
        <v>925</v>
      </c>
      <c r="B321" t="s">
        <v>928</v>
      </c>
      <c r="C321" s="209">
        <f>IFERROR(AVERAGE(C317,C318),"")</f>
        <v>80.440089994499687</v>
      </c>
      <c r="D321" t="str">
        <f t="shared" si="146"/>
        <v>▲ Below 2025</v>
      </c>
    </row>
    <row r="322" spans="1:13" x14ac:dyDescent="0.2">
      <c r="A322" t="s">
        <v>929</v>
      </c>
      <c r="B322" t="s">
        <v>930</v>
      </c>
      <c r="C322" s="209">
        <f>IFERROR(AVERAGE(C319,C320,C321),"")</f>
        <v>105.204478723652</v>
      </c>
      <c r="D322" t="str">
        <f t="shared" si="146"/>
        <v>✔ Better than 2025</v>
      </c>
      <c r="E322" t="str">
        <f>COUNTIF($J$279:$J$309,"✔*")&amp;" better  •  "&amp;COUNTIF($J$279:$J$309,"●*")&amp;" in line  •  "&amp;COUNTIF($J$279:$J$309,"▲*")&amp;" watch  •  "&amp;COUNTIF($J$279:$J$309,"–*")&amp;" no data"</f>
        <v>8 better  •  4 in line  •  7 watch  •  7 no data</v>
      </c>
    </row>
    <row r="324" spans="1:13" ht="15.75" x14ac:dyDescent="0.25">
      <c r="A324" s="208" t="s">
        <v>931</v>
      </c>
    </row>
    <row r="325" spans="1:13" ht="15" x14ac:dyDescent="0.2">
      <c r="A325" s="202" t="s">
        <v>897</v>
      </c>
      <c r="B325" s="202" t="s">
        <v>932</v>
      </c>
      <c r="C325" s="202" t="s">
        <v>899</v>
      </c>
      <c r="D325" s="202" t="s">
        <v>900</v>
      </c>
      <c r="E325" s="202" t="s">
        <v>933</v>
      </c>
      <c r="F325" s="202" t="s">
        <v>934</v>
      </c>
      <c r="H325" s="202" t="s">
        <v>901</v>
      </c>
      <c r="I325" s="202" t="s">
        <v>932</v>
      </c>
      <c r="J325" s="202" t="s">
        <v>899</v>
      </c>
      <c r="K325" s="202" t="s">
        <v>900</v>
      </c>
      <c r="L325" s="202" t="s">
        <v>933</v>
      </c>
      <c r="M325" s="202" t="s">
        <v>934</v>
      </c>
    </row>
    <row r="326" spans="1:13" x14ac:dyDescent="0.2">
      <c r="A326">
        <f t="shared" ref="A326:A343" si="148">IF(ISNUMBER($AN194),$AN194,0)+ROW()/1000000</f>
        <v>329.00032599999997</v>
      </c>
      <c r="B326">
        <v>10</v>
      </c>
      <c r="C326" t="str">
        <f t="shared" ref="C326:C335" si="149">INDEX($A$194:$A$211,MATCH(LARGE($A$326:$A$343,B326),$A$326:$A$343,0))</f>
        <v>Laundry</v>
      </c>
      <c r="D326" s="215">
        <f t="shared" ref="D326:D335" si="150">IFERROR(N(INDEX($AN$194:$AN$211,MATCH(LARGE($A$326:$A$343,B326),$A$326:$A$343,0))),0)</f>
        <v>135</v>
      </c>
      <c r="E326" s="205">
        <f t="shared" ref="E326:E335" si="151">(MAX($D$326:$D$335)-D326)/2</f>
        <v>712</v>
      </c>
      <c r="F326" s="223">
        <f t="shared" ref="F326:F335" si="152">-IFERROR(N(INDEX($AB$194:$AB$211,MATCH(LARGE($A$326:$A$343,B326),$A$326:$A$343,0))),0)</f>
        <v>0</v>
      </c>
      <c r="H326">
        <f t="shared" ref="H326:H343" si="153">IF(ISNUMBER($AO194),$AO194,0)+ROW()/1000000</f>
        <v>4790.0003260000003</v>
      </c>
      <c r="I326">
        <v>10</v>
      </c>
      <c r="J326" t="str">
        <f t="shared" ref="J326:J335" si="154">INDEX($A$194:$A$211,MATCH(LARGE($H$326:$H$343,I326),$H$326:$H$343,0))</f>
        <v>SR-11/12 CA</v>
      </c>
      <c r="K326" s="215">
        <f t="shared" ref="K326:K335" si="155">IFERROR(N(INDEX($AO$194:$AO$211,MATCH(LARGE($H$326:$H$343,I326),$H$326:$H$343,0))),0)</f>
        <v>5498</v>
      </c>
      <c r="L326" s="205">
        <f t="shared" ref="L326:L335" si="156">(MAX($K$326:$K$335)-K326)/2</f>
        <v>10071</v>
      </c>
      <c r="M326" s="223">
        <f t="shared" ref="M326:M335" si="157">-IFERROR(N(INDEX($AE$194:$AE$211,MATCH(LARGE($H$326:$H$343,I326),$H$326:$H$343,0))),0)</f>
        <v>-4599.3999999999896</v>
      </c>
    </row>
    <row r="327" spans="1:13" x14ac:dyDescent="0.2">
      <c r="A327">
        <f t="shared" si="148"/>
        <v>312.00032700000003</v>
      </c>
      <c r="B327">
        <v>9</v>
      </c>
      <c r="C327" t="str">
        <f t="shared" si="149"/>
        <v>SR-4</v>
      </c>
      <c r="D327" s="215">
        <f t="shared" si="150"/>
        <v>194</v>
      </c>
      <c r="E327" s="205">
        <f t="shared" si="151"/>
        <v>682.5</v>
      </c>
      <c r="F327" s="223">
        <f t="shared" si="152"/>
        <v>-162.083333333333</v>
      </c>
      <c r="H327">
        <f t="shared" si="153"/>
        <v>4692.0003269999997</v>
      </c>
      <c r="I327">
        <v>9</v>
      </c>
      <c r="J327" t="str">
        <f t="shared" si="154"/>
        <v>SR-4</v>
      </c>
      <c r="K327" s="215">
        <f t="shared" si="155"/>
        <v>6408</v>
      </c>
      <c r="L327" s="205">
        <f t="shared" si="156"/>
        <v>9616</v>
      </c>
      <c r="M327" s="223">
        <f t="shared" si="157"/>
        <v>-3604.75</v>
      </c>
    </row>
    <row r="328" spans="1:13" x14ac:dyDescent="0.2">
      <c r="A328">
        <f t="shared" si="148"/>
        <v>64.000327999999996</v>
      </c>
      <c r="B328">
        <v>8</v>
      </c>
      <c r="C328" t="str">
        <f t="shared" si="149"/>
        <v>Nursery</v>
      </c>
      <c r="D328" s="215">
        <f t="shared" si="150"/>
        <v>209</v>
      </c>
      <c r="E328" s="205">
        <f t="shared" si="151"/>
        <v>675</v>
      </c>
      <c r="F328" s="223">
        <f t="shared" si="152"/>
        <v>0</v>
      </c>
      <c r="H328">
        <f t="shared" si="153"/>
        <v>5092.0003280000001</v>
      </c>
      <c r="I328">
        <v>8</v>
      </c>
      <c r="J328" t="str">
        <f t="shared" si="154"/>
        <v>Senior School 2</v>
      </c>
      <c r="K328" s="215">
        <f t="shared" si="155"/>
        <v>8229</v>
      </c>
      <c r="L328" s="205">
        <f t="shared" si="156"/>
        <v>8705.5</v>
      </c>
      <c r="M328" s="223">
        <f t="shared" si="157"/>
        <v>-7514.75</v>
      </c>
    </row>
    <row r="329" spans="1:13" x14ac:dyDescent="0.2">
      <c r="A329">
        <f t="shared" si="148"/>
        <v>194.00032899999999</v>
      </c>
      <c r="B329">
        <v>7</v>
      </c>
      <c r="C329" t="str">
        <f t="shared" si="149"/>
        <v>SR-2</v>
      </c>
      <c r="D329" s="215">
        <f t="shared" si="150"/>
        <v>312</v>
      </c>
      <c r="E329" s="205">
        <f t="shared" si="151"/>
        <v>623.5</v>
      </c>
      <c r="F329" s="223">
        <f t="shared" si="152"/>
        <v>-199.333333333333</v>
      </c>
      <c r="H329">
        <f t="shared" si="153"/>
        <v>6408.0003290000004</v>
      </c>
      <c r="I329">
        <v>7</v>
      </c>
      <c r="J329" t="str">
        <f t="shared" si="154"/>
        <v>SR-11/12 CB</v>
      </c>
      <c r="K329" s="215">
        <f t="shared" si="155"/>
        <v>8718</v>
      </c>
      <c r="L329" s="205">
        <f t="shared" si="156"/>
        <v>8461</v>
      </c>
      <c r="M329" s="223">
        <f t="shared" si="157"/>
        <v>-5202.8500000000004</v>
      </c>
    </row>
    <row r="330" spans="1:13" x14ac:dyDescent="0.2">
      <c r="A330">
        <f t="shared" si="148"/>
        <v>1468.0003300000001</v>
      </c>
      <c r="B330">
        <v>6</v>
      </c>
      <c r="C330" t="str">
        <f t="shared" si="149"/>
        <v>SR-1</v>
      </c>
      <c r="D330" s="215">
        <f t="shared" si="150"/>
        <v>329</v>
      </c>
      <c r="E330" s="205">
        <f t="shared" si="151"/>
        <v>615</v>
      </c>
      <c r="F330" s="223">
        <f t="shared" si="152"/>
        <v>-388.5</v>
      </c>
      <c r="H330">
        <f t="shared" si="153"/>
        <v>3576.0003299999998</v>
      </c>
      <c r="I330">
        <v>6</v>
      </c>
      <c r="J330" t="str">
        <f t="shared" si="154"/>
        <v>Senior School 1 &amp; 3</v>
      </c>
      <c r="K330" s="215">
        <f t="shared" si="155"/>
        <v>8760</v>
      </c>
      <c r="L330" s="205">
        <f t="shared" si="156"/>
        <v>8440</v>
      </c>
      <c r="M330" s="223">
        <f t="shared" si="157"/>
        <v>-9621.1666666666606</v>
      </c>
    </row>
    <row r="331" spans="1:13" x14ac:dyDescent="0.2">
      <c r="A331">
        <f t="shared" si="148"/>
        <v>45.000331000000003</v>
      </c>
      <c r="B331">
        <v>5</v>
      </c>
      <c r="C331" t="str">
        <f t="shared" si="149"/>
        <v>PCM</v>
      </c>
      <c r="D331" s="215">
        <f t="shared" si="150"/>
        <v>570</v>
      </c>
      <c r="E331" s="205">
        <f t="shared" si="151"/>
        <v>494.5</v>
      </c>
      <c r="F331" s="223">
        <f t="shared" si="152"/>
        <v>-1140.6666666666599</v>
      </c>
      <c r="H331">
        <f t="shared" si="153"/>
        <v>12306.000330999999</v>
      </c>
      <c r="I331">
        <v>5</v>
      </c>
      <c r="J331" t="str">
        <f t="shared" si="154"/>
        <v>Athletic Centre</v>
      </c>
      <c r="K331" s="215">
        <f t="shared" si="155"/>
        <v>9768</v>
      </c>
      <c r="L331" s="205">
        <f t="shared" si="156"/>
        <v>7936</v>
      </c>
      <c r="M331" s="223">
        <f t="shared" si="157"/>
        <v>-5689.2583333333196</v>
      </c>
    </row>
    <row r="332" spans="1:13" x14ac:dyDescent="0.2">
      <c r="A332">
        <f t="shared" si="148"/>
        <v>710.00033199999996</v>
      </c>
      <c r="B332">
        <v>4</v>
      </c>
      <c r="C332" t="str">
        <f t="shared" si="149"/>
        <v>SR-11/12 CA</v>
      </c>
      <c r="D332" s="215">
        <f t="shared" si="150"/>
        <v>710</v>
      </c>
      <c r="E332" s="205">
        <f t="shared" si="151"/>
        <v>424.5</v>
      </c>
      <c r="F332" s="223">
        <f t="shared" si="152"/>
        <v>-341.25</v>
      </c>
      <c r="H332">
        <f t="shared" si="153"/>
        <v>5498.0003319999996</v>
      </c>
      <c r="I332">
        <v>4</v>
      </c>
      <c r="J332" t="str">
        <f t="shared" si="154"/>
        <v>Junior School</v>
      </c>
      <c r="K332" s="215">
        <f t="shared" si="155"/>
        <v>10905</v>
      </c>
      <c r="L332" s="205">
        <f t="shared" si="156"/>
        <v>7367.5</v>
      </c>
      <c r="M332" s="223">
        <f t="shared" si="157"/>
        <v>-8438.25</v>
      </c>
    </row>
    <row r="333" spans="1:13" x14ac:dyDescent="0.2">
      <c r="A333">
        <f t="shared" si="148"/>
        <v>3.3300000000000002E-4</v>
      </c>
      <c r="B333">
        <v>3</v>
      </c>
      <c r="C333" t="str">
        <f t="shared" si="149"/>
        <v>Commons</v>
      </c>
      <c r="D333" s="215">
        <f t="shared" si="150"/>
        <v>1094</v>
      </c>
      <c r="E333" s="205">
        <f t="shared" si="151"/>
        <v>232.5</v>
      </c>
      <c r="F333" s="223">
        <f t="shared" si="152"/>
        <v>-183.25</v>
      </c>
      <c r="H333">
        <f t="shared" si="153"/>
        <v>8718.000333</v>
      </c>
      <c r="I333">
        <v>3</v>
      </c>
      <c r="J333" t="str">
        <f t="shared" si="154"/>
        <v>SR-9/10 B</v>
      </c>
      <c r="K333" s="215">
        <f t="shared" si="155"/>
        <v>12306</v>
      </c>
      <c r="L333" s="205">
        <f t="shared" si="156"/>
        <v>6667</v>
      </c>
      <c r="M333" s="223">
        <f t="shared" si="157"/>
        <v>-5468.95</v>
      </c>
    </row>
    <row r="334" spans="1:13" x14ac:dyDescent="0.2">
      <c r="A334">
        <f t="shared" si="148"/>
        <v>120.000334</v>
      </c>
      <c r="B334">
        <v>2</v>
      </c>
      <c r="C334" t="str">
        <f t="shared" si="149"/>
        <v>SR-9/10 A</v>
      </c>
      <c r="D334" s="215">
        <f t="shared" si="150"/>
        <v>1468</v>
      </c>
      <c r="E334" s="205">
        <f t="shared" si="151"/>
        <v>45.5</v>
      </c>
      <c r="F334" s="223">
        <f t="shared" si="152"/>
        <v>-458.75</v>
      </c>
      <c r="H334">
        <f t="shared" si="153"/>
        <v>10905.000334</v>
      </c>
      <c r="I334">
        <v>2</v>
      </c>
      <c r="J334" t="str">
        <f t="shared" si="154"/>
        <v>Academy Building</v>
      </c>
      <c r="K334" s="215">
        <f t="shared" si="155"/>
        <v>18300</v>
      </c>
      <c r="L334" s="205">
        <f t="shared" si="156"/>
        <v>3670</v>
      </c>
      <c r="M334" s="223">
        <f t="shared" si="157"/>
        <v>-18408.333333333201</v>
      </c>
    </row>
    <row r="335" spans="1:13" x14ac:dyDescent="0.2">
      <c r="A335">
        <f t="shared" si="148"/>
        <v>82.000335000000007</v>
      </c>
      <c r="B335">
        <v>1</v>
      </c>
      <c r="C335" t="str">
        <f t="shared" si="149"/>
        <v>Swimming Pool</v>
      </c>
      <c r="D335" s="215">
        <f t="shared" si="150"/>
        <v>1559</v>
      </c>
      <c r="E335" s="205">
        <f t="shared" si="151"/>
        <v>0</v>
      </c>
      <c r="F335" s="223">
        <f t="shared" si="152"/>
        <v>-452.91666666666703</v>
      </c>
      <c r="H335">
        <f t="shared" si="153"/>
        <v>8760.0003350000006</v>
      </c>
      <c r="I335">
        <v>1</v>
      </c>
      <c r="J335" t="str">
        <f t="shared" si="154"/>
        <v>Commons</v>
      </c>
      <c r="K335" s="215">
        <f t="shared" si="155"/>
        <v>25640</v>
      </c>
      <c r="L335" s="205">
        <f t="shared" si="156"/>
        <v>0</v>
      </c>
      <c r="M335" s="223">
        <f t="shared" si="157"/>
        <v>-25376.833333333201</v>
      </c>
    </row>
    <row r="336" spans="1:13" x14ac:dyDescent="0.2">
      <c r="A336">
        <f t="shared" si="148"/>
        <v>45.000335999999997</v>
      </c>
      <c r="H336">
        <f t="shared" si="153"/>
        <v>8229.0003359999992</v>
      </c>
    </row>
    <row r="337" spans="1:8" x14ac:dyDescent="0.2">
      <c r="A337">
        <f t="shared" si="148"/>
        <v>38.000337000000002</v>
      </c>
      <c r="H337">
        <f t="shared" si="153"/>
        <v>18300.000337000001</v>
      </c>
    </row>
    <row r="338" spans="1:8" x14ac:dyDescent="0.2">
      <c r="A338">
        <f t="shared" si="148"/>
        <v>1094.0003380000001</v>
      </c>
      <c r="H338">
        <f t="shared" si="153"/>
        <v>25640.000338000002</v>
      </c>
    </row>
    <row r="339" spans="1:8" x14ac:dyDescent="0.2">
      <c r="A339">
        <f t="shared" si="148"/>
        <v>54.000338999999997</v>
      </c>
      <c r="H339">
        <f t="shared" si="153"/>
        <v>9768.0003390000002</v>
      </c>
    </row>
    <row r="340" spans="1:8" x14ac:dyDescent="0.2">
      <c r="A340">
        <f t="shared" si="148"/>
        <v>1559.0003400000001</v>
      </c>
      <c r="H340">
        <f t="shared" si="153"/>
        <v>3.4000000000000002E-4</v>
      </c>
    </row>
    <row r="341" spans="1:8" x14ac:dyDescent="0.2">
      <c r="A341">
        <f t="shared" si="148"/>
        <v>570.00034100000005</v>
      </c>
      <c r="H341">
        <f t="shared" si="153"/>
        <v>3784.0003409999999</v>
      </c>
    </row>
    <row r="342" spans="1:8" x14ac:dyDescent="0.2">
      <c r="A342">
        <f t="shared" si="148"/>
        <v>209.00034199999999</v>
      </c>
      <c r="H342">
        <f t="shared" si="153"/>
        <v>4852.0003420000003</v>
      </c>
    </row>
    <row r="343" spans="1:8" x14ac:dyDescent="0.2">
      <c r="A343">
        <f t="shared" si="148"/>
        <v>135.00034299999999</v>
      </c>
      <c r="H343">
        <f t="shared" si="153"/>
        <v>3382.0003430000002</v>
      </c>
    </row>
    <row r="353" spans="1:13" ht="15" x14ac:dyDescent="0.2">
      <c r="A353" s="202" t="s">
        <v>903</v>
      </c>
      <c r="B353" s="202" t="s">
        <v>932</v>
      </c>
      <c r="C353" s="202" t="s">
        <v>899</v>
      </c>
      <c r="D353" s="202" t="s">
        <v>900</v>
      </c>
      <c r="E353" s="202" t="s">
        <v>933</v>
      </c>
      <c r="F353" s="202" t="s">
        <v>934</v>
      </c>
      <c r="H353" s="202" t="s">
        <v>902</v>
      </c>
      <c r="I353" s="202" t="s">
        <v>932</v>
      </c>
      <c r="J353" s="202" t="s">
        <v>899</v>
      </c>
      <c r="K353" s="202" t="s">
        <v>900</v>
      </c>
      <c r="L353" s="202" t="s">
        <v>933</v>
      </c>
      <c r="M353" s="202" t="s">
        <v>934</v>
      </c>
    </row>
    <row r="354" spans="1:13" x14ac:dyDescent="0.2">
      <c r="A354">
        <f t="shared" ref="A354:A363" si="158">IF(ISNUMBER($U180),$U180,0)+ROW()/1000000</f>
        <v>19530.000354</v>
      </c>
      <c r="B354">
        <v>10</v>
      </c>
      <c r="C354" t="str">
        <f t="shared" ref="C354:C363" si="159">INDEX($A$180:$A$189,MATCH(LARGE($A$354:$A$363,B354),$A$354:$A$363,0))</f>
        <v>Senior School 1</v>
      </c>
      <c r="D354" s="215">
        <f t="shared" ref="D354:D363" si="160">IFERROR(N(INDEX($U$180:$U$189,MATCH(LARGE($A$354:$A$363,B354),$A$354:$A$363,0))),0)</f>
        <v>3820</v>
      </c>
      <c r="E354" s="205">
        <f t="shared" ref="E354:E363" si="161">(MAX($D$354:$D$363)-D354)/2</f>
        <v>20523.5</v>
      </c>
      <c r="H354">
        <f t="shared" ref="H354:H364" si="162">IF(ISNUMBER($U165),$U165,0)+ROW()/1000000</f>
        <v>2457.0003539999998</v>
      </c>
      <c r="I354">
        <v>11</v>
      </c>
      <c r="J354" t="str">
        <f t="shared" ref="J354:J364" si="163">INDEX($A$165:$A$175,MATCH(LARGE($H$354:$H$364,I354),$H$354:$H$364,0))</f>
        <v>SR4</v>
      </c>
      <c r="K354" s="215">
        <f t="shared" ref="K354:K364" si="164">IFERROR(N(INDEX($U$165:$U$175,MATCH(LARGE($H$354:$H$364,I354),$H$354:$H$364,0))),0)</f>
        <v>420.28</v>
      </c>
      <c r="L354" s="205">
        <f t="shared" ref="L354:L364" si="165">(MAX($K$354:$K$364)-K354)/2</f>
        <v>2087.86</v>
      </c>
    </row>
    <row r="355" spans="1:13" x14ac:dyDescent="0.2">
      <c r="A355">
        <f t="shared" si="158"/>
        <v>4783.0003550000001</v>
      </c>
      <c r="B355">
        <v>9</v>
      </c>
      <c r="C355" t="str">
        <f t="shared" si="159"/>
        <v>Athletic Centre</v>
      </c>
      <c r="D355" s="215">
        <f t="shared" si="160"/>
        <v>3955</v>
      </c>
      <c r="E355" s="205">
        <f t="shared" si="161"/>
        <v>20456</v>
      </c>
      <c r="H355">
        <f t="shared" si="162"/>
        <v>4596.0003550000001</v>
      </c>
      <c r="I355">
        <v>10</v>
      </c>
      <c r="J355" t="str">
        <f t="shared" si="163"/>
        <v>SR3</v>
      </c>
      <c r="K355" s="215">
        <f t="shared" si="164"/>
        <v>485</v>
      </c>
      <c r="L355" s="205">
        <f t="shared" si="165"/>
        <v>2055.5</v>
      </c>
    </row>
    <row r="356" spans="1:13" x14ac:dyDescent="0.2">
      <c r="A356">
        <f t="shared" si="158"/>
        <v>3955.000356</v>
      </c>
      <c r="B356">
        <v>8</v>
      </c>
      <c r="C356" t="str">
        <f t="shared" si="159"/>
        <v>Js Library</v>
      </c>
      <c r="D356" s="215">
        <f t="shared" si="160"/>
        <v>4045</v>
      </c>
      <c r="E356" s="205">
        <f t="shared" si="161"/>
        <v>20411</v>
      </c>
      <c r="H356">
        <f t="shared" si="162"/>
        <v>1137.000356</v>
      </c>
      <c r="I356">
        <v>9</v>
      </c>
      <c r="J356" t="str">
        <f t="shared" si="163"/>
        <v>SR1</v>
      </c>
      <c r="K356" s="215">
        <f t="shared" si="164"/>
        <v>1137</v>
      </c>
      <c r="L356" s="205">
        <f t="shared" si="165"/>
        <v>1729.5</v>
      </c>
    </row>
    <row r="357" spans="1:13" x14ac:dyDescent="0.2">
      <c r="A357">
        <f t="shared" si="158"/>
        <v>17451.000357000001</v>
      </c>
      <c r="B357">
        <v>7</v>
      </c>
      <c r="C357" t="str">
        <f t="shared" si="159"/>
        <v>Squash Court</v>
      </c>
      <c r="D357" s="215">
        <f t="shared" si="160"/>
        <v>4047</v>
      </c>
      <c r="E357" s="205">
        <f t="shared" si="161"/>
        <v>20410</v>
      </c>
      <c r="H357">
        <f t="shared" si="162"/>
        <v>1271.0003569999999</v>
      </c>
      <c r="I357">
        <v>8</v>
      </c>
      <c r="J357" t="str">
        <f t="shared" si="163"/>
        <v>SR2</v>
      </c>
      <c r="K357" s="215">
        <f t="shared" si="164"/>
        <v>1271</v>
      </c>
      <c r="L357" s="205">
        <f t="shared" si="165"/>
        <v>1662.5</v>
      </c>
    </row>
    <row r="358" spans="1:13" x14ac:dyDescent="0.2">
      <c r="A358">
        <f t="shared" si="158"/>
        <v>6770.0003580000002</v>
      </c>
      <c r="B358">
        <v>6</v>
      </c>
      <c r="C358" t="str">
        <f t="shared" si="159"/>
        <v>Art And Music</v>
      </c>
      <c r="D358" s="215">
        <f t="shared" si="160"/>
        <v>4783</v>
      </c>
      <c r="E358" s="205">
        <f t="shared" si="161"/>
        <v>20042</v>
      </c>
      <c r="H358">
        <f t="shared" si="162"/>
        <v>485.00035800000001</v>
      </c>
      <c r="I358">
        <v>7</v>
      </c>
      <c r="J358" t="str">
        <f t="shared" si="163"/>
        <v>SR11/12CA</v>
      </c>
      <c r="K358" s="215">
        <f t="shared" si="164"/>
        <v>1331.6</v>
      </c>
      <c r="L358" s="205">
        <f t="shared" si="165"/>
        <v>1632.2</v>
      </c>
    </row>
    <row r="359" spans="1:13" x14ac:dyDescent="0.2">
      <c r="A359">
        <f t="shared" si="158"/>
        <v>44867.000358999998</v>
      </c>
      <c r="B359">
        <v>5</v>
      </c>
      <c r="C359" t="str">
        <f t="shared" si="159"/>
        <v>Ss Laboratory</v>
      </c>
      <c r="D359" s="215">
        <f t="shared" si="160"/>
        <v>6643</v>
      </c>
      <c r="E359" s="205">
        <f t="shared" si="161"/>
        <v>19112</v>
      </c>
      <c r="H359">
        <f t="shared" si="162"/>
        <v>420.28035899999998</v>
      </c>
      <c r="I359">
        <v>6</v>
      </c>
      <c r="J359" t="str">
        <f t="shared" si="163"/>
        <v>SR9/10A</v>
      </c>
      <c r="K359" s="215">
        <f t="shared" si="164"/>
        <v>2376</v>
      </c>
      <c r="L359" s="205">
        <f t="shared" si="165"/>
        <v>1110</v>
      </c>
    </row>
    <row r="360" spans="1:13" x14ac:dyDescent="0.2">
      <c r="A360">
        <f t="shared" si="158"/>
        <v>4045.00036</v>
      </c>
      <c r="B360">
        <v>4</v>
      </c>
      <c r="C360" t="str">
        <f t="shared" si="159"/>
        <v>Facility Block</v>
      </c>
      <c r="D360" s="215">
        <f t="shared" si="160"/>
        <v>6770</v>
      </c>
      <c r="E360" s="205">
        <f t="shared" si="161"/>
        <v>19048.5</v>
      </c>
      <c r="H360">
        <f t="shared" si="162"/>
        <v>2376.00036</v>
      </c>
      <c r="I360">
        <v>5</v>
      </c>
      <c r="J360" t="str">
        <f t="shared" si="163"/>
        <v>SR11/12CB</v>
      </c>
      <c r="K360" s="215">
        <f t="shared" si="164"/>
        <v>2387</v>
      </c>
      <c r="L360" s="205">
        <f t="shared" si="165"/>
        <v>1104.5</v>
      </c>
    </row>
    <row r="361" spans="1:13" x14ac:dyDescent="0.2">
      <c r="A361">
        <f t="shared" si="158"/>
        <v>3820.0003609999999</v>
      </c>
      <c r="B361">
        <v>3</v>
      </c>
      <c r="C361" t="str">
        <f t="shared" si="159"/>
        <v>Commons Building</v>
      </c>
      <c r="D361" s="215">
        <f t="shared" si="160"/>
        <v>17451</v>
      </c>
      <c r="E361" s="205">
        <f t="shared" si="161"/>
        <v>13708</v>
      </c>
      <c r="H361">
        <f t="shared" si="162"/>
        <v>2647.0003609999999</v>
      </c>
      <c r="I361">
        <v>4</v>
      </c>
      <c r="J361" t="str">
        <f t="shared" si="163"/>
        <v>JS</v>
      </c>
      <c r="K361" s="215">
        <f t="shared" si="164"/>
        <v>2457</v>
      </c>
      <c r="L361" s="205">
        <f t="shared" si="165"/>
        <v>1069.5</v>
      </c>
    </row>
    <row r="362" spans="1:13" x14ac:dyDescent="0.2">
      <c r="A362">
        <f t="shared" si="158"/>
        <v>4047.0003620000002</v>
      </c>
      <c r="B362">
        <v>2</v>
      </c>
      <c r="C362" t="str">
        <f t="shared" si="159"/>
        <v>Ab Building</v>
      </c>
      <c r="D362" s="215">
        <f t="shared" si="160"/>
        <v>19530</v>
      </c>
      <c r="E362" s="205">
        <f t="shared" si="161"/>
        <v>12668.5</v>
      </c>
      <c r="H362">
        <f t="shared" si="162"/>
        <v>1331.6003619999999</v>
      </c>
      <c r="I362">
        <v>3</v>
      </c>
      <c r="J362" t="str">
        <f t="shared" si="163"/>
        <v>SR9/10B</v>
      </c>
      <c r="K362" s="215">
        <f t="shared" si="164"/>
        <v>2647</v>
      </c>
      <c r="L362" s="205">
        <f t="shared" si="165"/>
        <v>974.5</v>
      </c>
    </row>
    <row r="363" spans="1:13" x14ac:dyDescent="0.2">
      <c r="A363">
        <f t="shared" si="158"/>
        <v>6643.0003630000001</v>
      </c>
      <c r="B363">
        <v>1</v>
      </c>
      <c r="C363" t="str">
        <f t="shared" si="159"/>
        <v>Ground Mount And Substation</v>
      </c>
      <c r="D363" s="215">
        <f t="shared" si="160"/>
        <v>44867</v>
      </c>
      <c r="E363" s="205">
        <f t="shared" si="161"/>
        <v>0</v>
      </c>
      <c r="H363">
        <f t="shared" si="162"/>
        <v>2387.0003630000001</v>
      </c>
      <c r="I363">
        <v>2</v>
      </c>
      <c r="J363" t="str">
        <f t="shared" si="163"/>
        <v>Nursery</v>
      </c>
      <c r="K363" s="215">
        <f t="shared" si="164"/>
        <v>2850</v>
      </c>
      <c r="L363" s="205">
        <f t="shared" si="165"/>
        <v>873</v>
      </c>
    </row>
    <row r="364" spans="1:13" x14ac:dyDescent="0.2">
      <c r="H364">
        <f t="shared" si="162"/>
        <v>2850.000364</v>
      </c>
      <c r="I364">
        <v>1</v>
      </c>
      <c r="J364" t="str">
        <f t="shared" si="163"/>
        <v>SS</v>
      </c>
      <c r="K364" s="215">
        <f t="shared" si="164"/>
        <v>4596</v>
      </c>
      <c r="L364" s="205">
        <f t="shared" si="165"/>
        <v>0</v>
      </c>
    </row>
    <row r="383" spans="1:7" ht="30" x14ac:dyDescent="0.2">
      <c r="A383" s="202" t="s">
        <v>191</v>
      </c>
      <c r="B383" s="202" t="s">
        <v>935</v>
      </c>
      <c r="C383" s="202" t="s">
        <v>936</v>
      </c>
      <c r="D383" s="202" t="s">
        <v>937</v>
      </c>
      <c r="E383" s="202" t="s">
        <v>938</v>
      </c>
      <c r="F383" s="202" t="s">
        <v>939</v>
      </c>
      <c r="G383" s="202" t="s">
        <v>940</v>
      </c>
    </row>
    <row r="384" spans="1:7" x14ac:dyDescent="0.2">
      <c r="A384" t="s">
        <v>123</v>
      </c>
      <c r="B384" s="223">
        <f t="shared" ref="B384:B395" si="166">IF(N21="",0,-N21)</f>
        <v>-66600</v>
      </c>
      <c r="C384" s="223">
        <f t="shared" ref="C384:C395" si="167">IF(V21="",0,V21)</f>
        <v>95805.700000000012</v>
      </c>
      <c r="D384" s="223">
        <f t="shared" ref="D384:D395" si="168">IF(J21="",0,-J21)</f>
        <v>-15002</v>
      </c>
      <c r="E384" s="223">
        <f t="shared" ref="E384:E395" si="169">IF(K21="",0,K21)</f>
        <v>3596</v>
      </c>
      <c r="F384" s="223">
        <f t="shared" ref="F384:F395" si="170">IF(AM21="",0,-AM21)</f>
        <v>-633</v>
      </c>
      <c r="G384" s="223">
        <f t="shared" ref="G384:G395" si="171">IF(AL21="",0,AL21)</f>
        <v>551</v>
      </c>
    </row>
    <row r="385" spans="1:7" x14ac:dyDescent="0.2">
      <c r="A385" t="s">
        <v>124</v>
      </c>
      <c r="B385" s="223">
        <f t="shared" si="166"/>
        <v>-95736</v>
      </c>
      <c r="C385" s="223">
        <f t="shared" si="167"/>
        <v>119500.8</v>
      </c>
      <c r="D385" s="223">
        <f t="shared" si="168"/>
        <v>-19302.669999999998</v>
      </c>
      <c r="E385" s="223">
        <f t="shared" si="169"/>
        <v>5654</v>
      </c>
      <c r="F385" s="223">
        <f t="shared" si="170"/>
        <v>-645</v>
      </c>
      <c r="G385" s="223">
        <f t="shared" si="171"/>
        <v>529</v>
      </c>
    </row>
    <row r="386" spans="1:7" x14ac:dyDescent="0.2">
      <c r="A386" t="s">
        <v>125</v>
      </c>
      <c r="B386" s="223">
        <f t="shared" si="166"/>
        <v>-125154</v>
      </c>
      <c r="C386" s="223">
        <f t="shared" si="167"/>
        <v>152604.70000000001</v>
      </c>
      <c r="D386" s="223">
        <f t="shared" si="168"/>
        <v>-17647.45</v>
      </c>
      <c r="E386" s="223">
        <f t="shared" si="169"/>
        <v>4885</v>
      </c>
      <c r="F386" s="223">
        <f t="shared" si="170"/>
        <v>-653</v>
      </c>
      <c r="G386" s="223">
        <f t="shared" si="171"/>
        <v>545</v>
      </c>
    </row>
    <row r="387" spans="1:7" x14ac:dyDescent="0.2">
      <c r="A387" t="s">
        <v>126</v>
      </c>
      <c r="B387" s="223">
        <f t="shared" si="166"/>
        <v>-198066</v>
      </c>
      <c r="C387" s="223">
        <f t="shared" si="167"/>
        <v>136018.1</v>
      </c>
      <c r="D387" s="223">
        <f t="shared" si="168"/>
        <v>-18490.490000000002</v>
      </c>
      <c r="E387" s="223">
        <f t="shared" si="169"/>
        <v>3764</v>
      </c>
      <c r="F387" s="223">
        <f t="shared" si="170"/>
        <v>-676</v>
      </c>
      <c r="G387" s="223">
        <f t="shared" si="171"/>
        <v>530</v>
      </c>
    </row>
    <row r="388" spans="1:7" x14ac:dyDescent="0.2">
      <c r="A388" t="s">
        <v>127</v>
      </c>
      <c r="B388" s="223">
        <f t="shared" si="166"/>
        <v>-222144</v>
      </c>
      <c r="C388" s="223">
        <f t="shared" si="167"/>
        <v>145805.6</v>
      </c>
      <c r="D388" s="223">
        <f t="shared" si="168"/>
        <v>-21759.4</v>
      </c>
      <c r="E388" s="223">
        <f t="shared" si="169"/>
        <v>1496</v>
      </c>
      <c r="F388" s="223">
        <f t="shared" si="170"/>
        <v>-655</v>
      </c>
      <c r="G388" s="223">
        <f t="shared" si="171"/>
        <v>550</v>
      </c>
    </row>
    <row r="389" spans="1:7" x14ac:dyDescent="0.2">
      <c r="A389" t="s">
        <v>128</v>
      </c>
      <c r="B389" s="223">
        <f t="shared" si="166"/>
        <v>-72912</v>
      </c>
      <c r="C389" s="223">
        <f t="shared" si="167"/>
        <v>128018</v>
      </c>
      <c r="D389" s="223">
        <f t="shared" si="168"/>
        <v>-11528.59</v>
      </c>
      <c r="E389" s="223">
        <f t="shared" si="169"/>
        <v>1929</v>
      </c>
      <c r="F389" s="223">
        <f t="shared" si="170"/>
        <v>-663</v>
      </c>
      <c r="G389" s="223">
        <f t="shared" si="171"/>
        <v>580</v>
      </c>
    </row>
    <row r="390" spans="1:7" x14ac:dyDescent="0.2">
      <c r="A390" t="s">
        <v>129</v>
      </c>
      <c r="B390" s="223">
        <f t="shared" si="166"/>
        <v>-122658</v>
      </c>
      <c r="C390" s="223">
        <f t="shared" si="167"/>
        <v>100380</v>
      </c>
      <c r="D390" s="223">
        <f t="shared" si="168"/>
        <v>-15618.59</v>
      </c>
      <c r="E390" s="223">
        <f t="shared" si="169"/>
        <v>2303</v>
      </c>
      <c r="F390" s="223">
        <f t="shared" si="170"/>
        <v>-634</v>
      </c>
      <c r="G390" s="223">
        <f t="shared" si="171"/>
        <v>595</v>
      </c>
    </row>
    <row r="391" spans="1:7" x14ac:dyDescent="0.2">
      <c r="A391" t="s">
        <v>7</v>
      </c>
      <c r="B391" s="223">
        <f t="shared" si="166"/>
        <v>-146382</v>
      </c>
      <c r="C391" s="223">
        <f t="shared" si="167"/>
        <v>115911</v>
      </c>
      <c r="D391" s="223">
        <f t="shared" si="168"/>
        <v>-11995</v>
      </c>
      <c r="E391" s="223">
        <f t="shared" si="169"/>
        <v>2683</v>
      </c>
      <c r="F391" s="223">
        <f t="shared" si="170"/>
        <v>-640</v>
      </c>
      <c r="G391" s="223">
        <f t="shared" si="171"/>
        <v>543</v>
      </c>
    </row>
    <row r="392" spans="1:7" x14ac:dyDescent="0.2">
      <c r="A392" t="s">
        <v>130</v>
      </c>
      <c r="B392" s="223">
        <f t="shared" si="166"/>
        <v>0</v>
      </c>
      <c r="C392" s="223">
        <f t="shared" si="167"/>
        <v>0</v>
      </c>
      <c r="D392" s="223">
        <f t="shared" si="168"/>
        <v>0</v>
      </c>
      <c r="E392" s="223">
        <f t="shared" si="169"/>
        <v>0</v>
      </c>
      <c r="F392" s="223">
        <f t="shared" si="170"/>
        <v>0</v>
      </c>
      <c r="G392" s="223">
        <f t="shared" si="171"/>
        <v>0</v>
      </c>
    </row>
    <row r="393" spans="1:7" x14ac:dyDescent="0.2">
      <c r="A393" t="s">
        <v>131</v>
      </c>
      <c r="B393" s="223">
        <f t="shared" si="166"/>
        <v>0</v>
      </c>
      <c r="C393" s="223">
        <f t="shared" si="167"/>
        <v>0</v>
      </c>
      <c r="D393" s="223">
        <f t="shared" si="168"/>
        <v>0</v>
      </c>
      <c r="E393" s="223">
        <f t="shared" si="169"/>
        <v>0</v>
      </c>
      <c r="F393" s="223">
        <f t="shared" si="170"/>
        <v>0</v>
      </c>
      <c r="G393" s="223">
        <f t="shared" si="171"/>
        <v>0</v>
      </c>
    </row>
    <row r="394" spans="1:7" x14ac:dyDescent="0.2">
      <c r="A394" t="s">
        <v>132</v>
      </c>
      <c r="B394" s="223">
        <f t="shared" si="166"/>
        <v>0</v>
      </c>
      <c r="C394" s="223">
        <f t="shared" si="167"/>
        <v>0</v>
      </c>
      <c r="D394" s="223">
        <f t="shared" si="168"/>
        <v>0</v>
      </c>
      <c r="E394" s="223">
        <f t="shared" si="169"/>
        <v>0</v>
      </c>
      <c r="F394" s="223">
        <f t="shared" si="170"/>
        <v>0</v>
      </c>
      <c r="G394" s="223">
        <f t="shared" si="171"/>
        <v>0</v>
      </c>
    </row>
    <row r="395" spans="1:7" x14ac:dyDescent="0.2">
      <c r="A395" t="s">
        <v>133</v>
      </c>
      <c r="B395" s="223">
        <f t="shared" si="166"/>
        <v>0</v>
      </c>
      <c r="C395" s="223">
        <f t="shared" si="167"/>
        <v>0</v>
      </c>
      <c r="D395" s="223">
        <f t="shared" si="168"/>
        <v>0</v>
      </c>
      <c r="E395" s="223">
        <f t="shared" si="169"/>
        <v>0</v>
      </c>
      <c r="F395" s="223">
        <f t="shared" si="170"/>
        <v>0</v>
      </c>
      <c r="G395" s="223">
        <f t="shared" si="171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</vt:i4>
      </vt:variant>
    </vt:vector>
  </HeadingPairs>
  <TitlesOfParts>
    <vt:vector size="20" baseType="lpstr">
      <vt:lpstr>FM_Dashboard</vt:lpstr>
      <vt:lpstr>PerCapita_Pyramid</vt:lpstr>
      <vt:lpstr>Complaints summary</vt:lpstr>
      <vt:lpstr>Building wise water</vt:lpstr>
      <vt:lpstr>LPCD</vt:lpstr>
      <vt:lpstr>EPI</vt:lpstr>
      <vt:lpstr>Power data</vt:lpstr>
      <vt:lpstr>Power Building wise</vt:lpstr>
      <vt:lpstr>Solar Power</vt:lpstr>
      <vt:lpstr>HVAC consumption</vt:lpstr>
      <vt:lpstr>Technical manpower cost</vt:lpstr>
      <vt:lpstr>Attendance</vt:lpstr>
      <vt:lpstr>DG Units Generated</vt:lpstr>
      <vt:lpstr>WQ</vt:lpstr>
      <vt:lpstr>Monthly KPI Report</vt:lpstr>
      <vt:lpstr>Building_Master</vt:lpstr>
      <vt:lpstr>MIS_Calc</vt:lpstr>
      <vt:lpstr>FM_Dashboard!Print_Area</vt:lpstr>
      <vt:lpstr>PerCapita_Pyramid!Print_Area</vt:lpstr>
      <vt:lpstr>'Building wise water'!Print_Titles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Jinudev Changrambalath</dc:creator>
  <cp:lastModifiedBy>CHANGRAMBALATH, Jinudev</cp:lastModifiedBy>
  <dcterms:created xsi:type="dcterms:W3CDTF">2026-09-10T15:14:07Z</dcterms:created>
  <dcterms:modified xsi:type="dcterms:W3CDTF">2026-10-05T18:36:28Z</dcterms:modified>
</cp:coreProperties>
</file>